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e831455f0cdded8/MARCO/Documents/2026/Semiconductor Working Group/"/>
    </mc:Choice>
  </mc:AlternateContent>
  <xr:revisionPtr revIDLastSave="40" documentId="8_{57257AE8-BCF5-4A37-92F2-31662BD9D678}" xr6:coauthVersionLast="47" xr6:coauthVersionMax="47" xr10:uidLastSave="{118A8704-5017-4124-8A0C-A417F4BC0DB6}"/>
  <bookViews>
    <workbookView xWindow="-28920" yWindow="-120" windowWidth="29040" windowHeight="15720" activeTab="2" xr2:uid="{33FECC71-F665-0A41-A4F3-2D2CD23A2162}"/>
  </bookViews>
  <sheets>
    <sheet name="Updated" sheetId="4" r:id="rId1"/>
    <sheet name="Official Courses" sheetId="10" r:id="rId2"/>
    <sheet name="Data" sheetId="8" r:id="rId3"/>
    <sheet name="Categories" sheetId="5" r:id="rId4"/>
    <sheet name="Sheet3" sheetId="9" state="hidden" r:id="rId5"/>
    <sheet name="Pre-reqs" sheetId="6" state="hidden" r:id="rId6"/>
    <sheet name="changes tracked" sheetId="2" state="hidden" r:id="rId7"/>
  </sheets>
  <definedNames>
    <definedName name="_xlnm._FilterDatabase" localSheetId="2" hidden="1">Data!$B$1:$G$260</definedName>
    <definedName name="_xlnm._FilterDatabase" localSheetId="0" hidden="1">Updated!$A$2:$BL$262</definedName>
    <definedName name="electronicspackagingheterogeneousintegrationandthermalmanagement" localSheetId="1">'Official Courses'!#REF!</definedName>
    <definedName name="integratedcircuitsystemdesignelectronicdesignautomation" localSheetId="1">'Official Courses'!#REF!</definedName>
    <definedName name="semiconductormanufacturingandglobalsupplychainmanagement" localSheetId="1">'Official Courses'!#REF!</definedName>
    <definedName name="semiconductormateriralscharacterizationandprocessing" localSheetId="1">'Official Courses'!#REF!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100" i="4" l="1"/>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U2" i="4"/>
  <c r="T2" i="4"/>
  <c r="S2" i="4"/>
  <c r="R2" i="4"/>
  <c r="Q2" i="4"/>
  <c r="P2" i="4"/>
  <c r="O2" i="4"/>
  <c r="N2"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3" i="4"/>
  <c r="K254" i="4"/>
  <c r="K255" i="4"/>
  <c r="K256" i="4"/>
  <c r="K257" i="4"/>
  <c r="K258" i="4"/>
  <c r="K259" i="4"/>
  <c r="K260" i="4"/>
  <c r="K261" i="4"/>
  <c r="K262" i="4"/>
  <c r="K3" i="4"/>
  <c r="L54" i="4"/>
  <c r="J54" i="4"/>
  <c r="C252" i="4"/>
  <c r="L252" i="4" s="1"/>
  <c r="H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1" i="10"/>
  <c r="A67"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2" i="10"/>
  <c r="A3" i="10"/>
  <c r="A4" i="10"/>
  <c r="A5" i="10"/>
  <c r="A6" i="10"/>
  <c r="A7" i="10"/>
  <c r="A8" i="10"/>
  <c r="A9" i="10"/>
  <c r="A10" i="10"/>
  <c r="A11" i="10"/>
  <c r="A12" i="10"/>
  <c r="A13" i="10"/>
  <c r="A1" i="10"/>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54" i="4"/>
  <c r="M251" i="4"/>
  <c r="M255" i="4"/>
  <c r="M256" i="4"/>
  <c r="M252" i="4"/>
  <c r="M253" i="4"/>
  <c r="M212" i="4"/>
  <c r="M203" i="4"/>
  <c r="M204" i="4"/>
  <c r="M205" i="4"/>
  <c r="M206" i="4"/>
  <c r="M207" i="4"/>
  <c r="M208" i="4"/>
  <c r="M209" i="4"/>
  <c r="M210" i="4"/>
  <c r="M211"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7" i="4"/>
  <c r="M258" i="4"/>
  <c r="M259" i="4"/>
  <c r="M260" i="4"/>
  <c r="M261" i="4"/>
  <c r="M262" i="4"/>
  <c r="M3" i="4"/>
  <c r="L108" i="4"/>
  <c r="H120" i="4"/>
  <c r="H233" i="4"/>
  <c r="L232" i="4"/>
  <c r="J232" i="4"/>
  <c r="H232" i="4"/>
  <c r="E232" i="4"/>
  <c r="H23" i="4"/>
  <c r="L34" i="4"/>
  <c r="J34" i="4"/>
  <c r="H34" i="4"/>
  <c r="H261" i="4"/>
  <c r="E135" i="4"/>
  <c r="E115" i="4"/>
  <c r="E116" i="4"/>
  <c r="E117" i="4"/>
  <c r="E118" i="4"/>
  <c r="E127" i="4"/>
  <c r="E128" i="4"/>
  <c r="E129" i="4"/>
  <c r="E130" i="4"/>
  <c r="E131" i="4"/>
  <c r="E132" i="4"/>
  <c r="E133" i="4"/>
  <c r="E134" i="4"/>
  <c r="E136" i="4"/>
  <c r="E110" i="4"/>
  <c r="E111" i="4"/>
  <c r="E112" i="4"/>
  <c r="E113" i="4"/>
  <c r="E114" i="4"/>
  <c r="H9" i="4"/>
  <c r="H10" i="4"/>
  <c r="H12" i="4"/>
  <c r="H15" i="4"/>
  <c r="H18" i="4"/>
  <c r="H19" i="4"/>
  <c r="H20" i="4"/>
  <c r="H21" i="4"/>
  <c r="H22" i="4"/>
  <c r="H24" i="4"/>
  <c r="H25" i="4"/>
  <c r="H26" i="4"/>
  <c r="H27" i="4"/>
  <c r="H28" i="4"/>
  <c r="H29" i="4"/>
  <c r="H30" i="4"/>
  <c r="H31" i="4"/>
  <c r="H32" i="4"/>
  <c r="H39" i="4"/>
  <c r="H40" i="4"/>
  <c r="H45" i="4"/>
  <c r="H46" i="4"/>
  <c r="H47" i="4"/>
  <c r="H48" i="4"/>
  <c r="H49" i="4"/>
  <c r="H50" i="4"/>
  <c r="H51" i="4"/>
  <c r="H52" i="4"/>
  <c r="H53" i="4"/>
  <c r="H57" i="4"/>
  <c r="H58" i="4"/>
  <c r="H59" i="4"/>
  <c r="H60" i="4"/>
  <c r="H65" i="4"/>
  <c r="H68" i="4"/>
  <c r="H69" i="4"/>
  <c r="H75" i="4"/>
  <c r="H76" i="4"/>
  <c r="H77" i="4"/>
  <c r="H78" i="4"/>
  <c r="H79" i="4"/>
  <c r="H80" i="4"/>
  <c r="H82" i="4"/>
  <c r="H89" i="4"/>
  <c r="H91" i="4"/>
  <c r="H98" i="4"/>
  <c r="H105" i="4"/>
  <c r="H106" i="4"/>
  <c r="H107" i="4"/>
  <c r="H108" i="4"/>
  <c r="H119" i="4"/>
  <c r="H121" i="4"/>
  <c r="H122" i="4"/>
  <c r="H123" i="4"/>
  <c r="H124" i="4"/>
  <c r="H125" i="4"/>
  <c r="H126" i="4"/>
  <c r="H109" i="4"/>
  <c r="H110" i="4"/>
  <c r="H111" i="4"/>
  <c r="H116" i="4"/>
  <c r="H127" i="4"/>
  <c r="H129" i="4"/>
  <c r="H131" i="4"/>
  <c r="H132" i="4"/>
  <c r="H133" i="4"/>
  <c r="H134" i="4"/>
  <c r="H135" i="4"/>
  <c r="H136" i="4"/>
  <c r="H137" i="4"/>
  <c r="H139" i="4"/>
  <c r="H140" i="4"/>
  <c r="H141" i="4"/>
  <c r="H142" i="4"/>
  <c r="H143" i="4"/>
  <c r="H145" i="4"/>
  <c r="H146" i="4"/>
  <c r="H147" i="4"/>
  <c r="H154" i="4"/>
  <c r="H155" i="4"/>
  <c r="H156" i="4"/>
  <c r="H162" i="4"/>
  <c r="H163" i="4"/>
  <c r="H165" i="4"/>
  <c r="H166" i="4"/>
  <c r="H167" i="4"/>
  <c r="H168" i="4"/>
  <c r="H169" i="4"/>
  <c r="H170" i="4"/>
  <c r="H171" i="4"/>
  <c r="H172" i="4"/>
  <c r="H173" i="4"/>
  <c r="H174" i="4"/>
  <c r="H175" i="4"/>
  <c r="H179" i="4"/>
  <c r="H188" i="4"/>
  <c r="H189" i="4"/>
  <c r="H190" i="4"/>
  <c r="H191" i="4"/>
  <c r="H193" i="4"/>
  <c r="H194" i="4"/>
  <c r="H195" i="4"/>
  <c r="H197" i="4"/>
  <c r="H199" i="4"/>
  <c r="H200" i="4"/>
  <c r="H201" i="4"/>
  <c r="H254" i="4"/>
  <c r="H212" i="4"/>
  <c r="H203" i="4"/>
  <c r="H205" i="4"/>
  <c r="H206" i="4"/>
  <c r="H208" i="4"/>
  <c r="H211" i="4"/>
  <c r="H213" i="4"/>
  <c r="H214" i="4"/>
  <c r="H215" i="4"/>
  <c r="H216" i="4"/>
  <c r="H217" i="4"/>
  <c r="H219" i="4"/>
  <c r="H221" i="4"/>
  <c r="H223" i="4"/>
  <c r="H224" i="4"/>
  <c r="H225" i="4"/>
  <c r="H231" i="4"/>
  <c r="H235" i="4"/>
  <c r="H236" i="4"/>
  <c r="H240" i="4"/>
  <c r="H241" i="4"/>
  <c r="H242" i="4"/>
  <c r="H243" i="4"/>
  <c r="H244" i="4"/>
  <c r="H245" i="4"/>
  <c r="H246" i="4"/>
  <c r="H247" i="4"/>
  <c r="H248" i="4"/>
  <c r="H249" i="4"/>
  <c r="H250" i="4"/>
  <c r="H257" i="4"/>
  <c r="H258" i="4"/>
  <c r="H259" i="4"/>
  <c r="H260" i="4"/>
  <c r="H43" i="4"/>
  <c r="H44" i="4"/>
  <c r="H55" i="4"/>
  <c r="H56" i="4"/>
  <c r="H72" i="4"/>
  <c r="H73" i="4"/>
  <c r="H74" i="4"/>
  <c r="H81" i="4"/>
  <c r="H86" i="4"/>
  <c r="H87" i="4"/>
  <c r="H88" i="4"/>
  <c r="H90" i="4"/>
  <c r="H103" i="4"/>
  <c r="H144" i="4"/>
  <c r="H159" i="4"/>
  <c r="H180" i="4"/>
  <c r="H181" i="4"/>
  <c r="H183" i="4"/>
  <c r="H187" i="4"/>
  <c r="H192" i="4"/>
  <c r="H196" i="4"/>
  <c r="H198" i="4"/>
  <c r="H202" i="4"/>
  <c r="H253" i="4"/>
  <c r="H204" i="4"/>
  <c r="H220" i="4"/>
  <c r="H228" i="4"/>
  <c r="H239" i="4"/>
  <c r="H102" i="4"/>
  <c r="H128" i="4"/>
  <c r="H158" i="4"/>
  <c r="H184" i="4"/>
  <c r="H7" i="4"/>
  <c r="H11" i="4"/>
  <c r="H35" i="4"/>
  <c r="H64" i="4"/>
  <c r="H95" i="4"/>
  <c r="H96" i="4"/>
  <c r="H99" i="4"/>
  <c r="H115" i="4"/>
  <c r="H151" i="4"/>
  <c r="H152" i="4"/>
  <c r="L230" i="4"/>
  <c r="J230" i="4"/>
  <c r="H230" i="4"/>
  <c r="L85" i="4"/>
  <c r="L84" i="4"/>
  <c r="L83" i="4"/>
  <c r="L262" i="4"/>
  <c r="L261" i="4"/>
  <c r="L260" i="4"/>
  <c r="L259" i="4"/>
  <c r="L258" i="4"/>
  <c r="L257" i="4"/>
  <c r="L250" i="4"/>
  <c r="L249" i="4"/>
  <c r="L248" i="4"/>
  <c r="L247" i="4"/>
  <c r="L246" i="4"/>
  <c r="L245" i="4"/>
  <c r="L244" i="4"/>
  <c r="L243" i="4"/>
  <c r="L242" i="4"/>
  <c r="L241" i="4"/>
  <c r="L240" i="4"/>
  <c r="L239" i="4"/>
  <c r="L238" i="4"/>
  <c r="L237" i="4"/>
  <c r="L236" i="4"/>
  <c r="L235" i="4"/>
  <c r="L234" i="4"/>
  <c r="L233" i="4"/>
  <c r="L231" i="4"/>
  <c r="L229" i="4"/>
  <c r="L228" i="4"/>
  <c r="L227" i="4"/>
  <c r="L226" i="4"/>
  <c r="L225" i="4"/>
  <c r="L224" i="4"/>
  <c r="L223" i="4"/>
  <c r="L222" i="4"/>
  <c r="L221" i="4"/>
  <c r="L220" i="4"/>
  <c r="L219" i="4"/>
  <c r="L218" i="4"/>
  <c r="L217" i="4"/>
  <c r="L216" i="4"/>
  <c r="L215" i="4"/>
  <c r="L214" i="4"/>
  <c r="L213" i="4"/>
  <c r="L211" i="4"/>
  <c r="L210" i="4"/>
  <c r="L209" i="4"/>
  <c r="L208" i="4"/>
  <c r="L207" i="4"/>
  <c r="L206" i="4"/>
  <c r="L205" i="4"/>
  <c r="L204" i="4"/>
  <c r="L203" i="4"/>
  <c r="L212" i="4"/>
  <c r="L253" i="4"/>
  <c r="L256" i="4"/>
  <c r="L255" i="4"/>
  <c r="L251" i="4"/>
  <c r="L254"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18" i="4"/>
  <c r="L117" i="4"/>
  <c r="L116" i="4"/>
  <c r="L115" i="4"/>
  <c r="L114" i="4"/>
  <c r="L113" i="4"/>
  <c r="L112" i="4"/>
  <c r="L111" i="4"/>
  <c r="L110" i="4"/>
  <c r="L109" i="4"/>
  <c r="L126" i="4"/>
  <c r="L125" i="4"/>
  <c r="L124" i="4"/>
  <c r="L123" i="4"/>
  <c r="L122" i="4"/>
  <c r="L121" i="4"/>
  <c r="L120" i="4"/>
  <c r="L119" i="4"/>
  <c r="L107" i="4"/>
  <c r="L106" i="4"/>
  <c r="L105" i="4"/>
  <c r="L104" i="4"/>
  <c r="L103" i="4"/>
  <c r="L102" i="4"/>
  <c r="L101" i="4"/>
  <c r="L100" i="4"/>
  <c r="L99" i="4"/>
  <c r="L98" i="4"/>
  <c r="L97" i="4"/>
  <c r="L96" i="4"/>
  <c r="L95" i="4"/>
  <c r="L94" i="4"/>
  <c r="L93" i="4"/>
  <c r="L92" i="4"/>
  <c r="L91" i="4"/>
  <c r="L90" i="4"/>
  <c r="L89" i="4"/>
  <c r="L88" i="4"/>
  <c r="L87" i="4"/>
  <c r="L86"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3" i="4"/>
  <c r="L52" i="4"/>
  <c r="L51" i="4"/>
  <c r="L50" i="4"/>
  <c r="L49" i="4"/>
  <c r="L48" i="4"/>
  <c r="L47" i="4"/>
  <c r="L46" i="4"/>
  <c r="L45" i="4"/>
  <c r="L44" i="4"/>
  <c r="L43" i="4"/>
  <c r="L42" i="4"/>
  <c r="L41" i="4"/>
  <c r="L40" i="4"/>
  <c r="L39" i="4"/>
  <c r="L38" i="4"/>
  <c r="L37" i="4"/>
  <c r="L36" i="4"/>
  <c r="L35" i="4"/>
  <c r="L23" i="4"/>
  <c r="L33" i="4"/>
  <c r="L32" i="4"/>
  <c r="L31" i="4"/>
  <c r="L30" i="4"/>
  <c r="L29" i="4"/>
  <c r="L28" i="4"/>
  <c r="L27" i="4"/>
  <c r="L26" i="4"/>
  <c r="L25" i="4"/>
  <c r="L24" i="4"/>
  <c r="L22" i="4"/>
  <c r="L21" i="4"/>
  <c r="L20" i="4"/>
  <c r="L19" i="4"/>
  <c r="L18" i="4"/>
  <c r="L17" i="4"/>
  <c r="L16" i="4"/>
  <c r="L15" i="4"/>
  <c r="L14" i="4"/>
  <c r="L13" i="4"/>
  <c r="L12" i="4"/>
  <c r="L11" i="4"/>
  <c r="L10" i="4"/>
  <c r="L9" i="4"/>
  <c r="L8" i="4"/>
  <c r="L7" i="4"/>
  <c r="L5" i="4"/>
  <c r="L4" i="4"/>
  <c r="L3" i="4"/>
  <c r="L6" i="4"/>
  <c r="J85" i="4"/>
  <c r="J84" i="4"/>
  <c r="J83" i="4"/>
  <c r="J262" i="4"/>
  <c r="J261" i="4"/>
  <c r="J260" i="4"/>
  <c r="J259" i="4"/>
  <c r="J258" i="4"/>
  <c r="J257" i="4"/>
  <c r="J250" i="4"/>
  <c r="J249" i="4"/>
  <c r="J248" i="4"/>
  <c r="J247" i="4"/>
  <c r="J246" i="4"/>
  <c r="J245" i="4"/>
  <c r="J244" i="4"/>
  <c r="J243" i="4"/>
  <c r="J242" i="4"/>
  <c r="J241" i="4"/>
  <c r="J240" i="4"/>
  <c r="J239" i="4"/>
  <c r="J238" i="4"/>
  <c r="J237" i="4"/>
  <c r="J236" i="4"/>
  <c r="J235" i="4"/>
  <c r="J234" i="4"/>
  <c r="J233" i="4"/>
  <c r="J231" i="4"/>
  <c r="J229" i="4"/>
  <c r="J228" i="4"/>
  <c r="J227" i="4"/>
  <c r="J226" i="4"/>
  <c r="J225" i="4"/>
  <c r="J224" i="4"/>
  <c r="J223" i="4"/>
  <c r="J222" i="4"/>
  <c r="J221" i="4"/>
  <c r="J220" i="4"/>
  <c r="J219" i="4"/>
  <c r="J218" i="4"/>
  <c r="J217" i="4"/>
  <c r="J216" i="4"/>
  <c r="J215" i="4"/>
  <c r="J214" i="4"/>
  <c r="J213" i="4"/>
  <c r="J211" i="4"/>
  <c r="J210" i="4"/>
  <c r="J209" i="4"/>
  <c r="J208" i="4"/>
  <c r="J207" i="4"/>
  <c r="J206" i="4"/>
  <c r="J205" i="4"/>
  <c r="J204" i="4"/>
  <c r="J203" i="4"/>
  <c r="J212" i="4"/>
  <c r="J253" i="4"/>
  <c r="J256" i="4"/>
  <c r="J255" i="4"/>
  <c r="J251" i="4"/>
  <c r="J254"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18" i="4"/>
  <c r="J117" i="4"/>
  <c r="J116" i="4"/>
  <c r="J115" i="4"/>
  <c r="J114" i="4"/>
  <c r="J113" i="4"/>
  <c r="J112" i="4"/>
  <c r="J111" i="4"/>
  <c r="J110" i="4"/>
  <c r="J109" i="4"/>
  <c r="J126" i="4"/>
  <c r="J125" i="4"/>
  <c r="J124" i="4"/>
  <c r="J123" i="4"/>
  <c r="J122" i="4"/>
  <c r="J121" i="4"/>
  <c r="J120" i="4"/>
  <c r="J119" i="4"/>
  <c r="J108" i="4"/>
  <c r="J107" i="4"/>
  <c r="J106" i="4"/>
  <c r="J105" i="4"/>
  <c r="J104" i="4"/>
  <c r="J103" i="4"/>
  <c r="J102" i="4"/>
  <c r="J101" i="4"/>
  <c r="J100" i="4"/>
  <c r="J99" i="4"/>
  <c r="J98" i="4"/>
  <c r="J97" i="4"/>
  <c r="J96" i="4"/>
  <c r="J95" i="4"/>
  <c r="J94" i="4"/>
  <c r="J93" i="4"/>
  <c r="J92" i="4"/>
  <c r="J91" i="4"/>
  <c r="J90" i="4"/>
  <c r="J89" i="4"/>
  <c r="J88" i="4"/>
  <c r="J87" i="4"/>
  <c r="J86"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3" i="4"/>
  <c r="J52" i="4"/>
  <c r="J51" i="4"/>
  <c r="J50" i="4"/>
  <c r="J49" i="4"/>
  <c r="J48" i="4"/>
  <c r="J47" i="4"/>
  <c r="J46" i="4"/>
  <c r="J45" i="4"/>
  <c r="J44" i="4"/>
  <c r="J43" i="4"/>
  <c r="J42" i="4"/>
  <c r="J41" i="4"/>
  <c r="J40" i="4"/>
  <c r="J39" i="4"/>
  <c r="J38" i="4"/>
  <c r="J37" i="4"/>
  <c r="J36" i="4"/>
  <c r="J35" i="4"/>
  <c r="J23" i="4"/>
  <c r="J33" i="4"/>
  <c r="J32" i="4"/>
  <c r="J31" i="4"/>
  <c r="J30" i="4"/>
  <c r="J29" i="4"/>
  <c r="J28" i="4"/>
  <c r="J27" i="4"/>
  <c r="J26" i="4"/>
  <c r="J25" i="4"/>
  <c r="J24" i="4"/>
  <c r="J22" i="4"/>
  <c r="J21" i="4"/>
  <c r="J20" i="4"/>
  <c r="J19" i="4"/>
  <c r="J18" i="4"/>
  <c r="J17" i="4"/>
  <c r="J16" i="4"/>
  <c r="J15" i="4"/>
  <c r="J14" i="4"/>
  <c r="J13" i="4"/>
  <c r="J12" i="4"/>
  <c r="J11" i="4"/>
  <c r="J10" i="4"/>
  <c r="J9" i="4"/>
  <c r="J8" i="4"/>
  <c r="J7" i="4"/>
  <c r="J6" i="4"/>
  <c r="J5" i="4"/>
  <c r="J4" i="4"/>
  <c r="J3" i="4"/>
  <c r="H4" i="4"/>
  <c r="H5" i="4"/>
  <c r="H6" i="4"/>
  <c r="H8" i="4"/>
  <c r="H13" i="4"/>
  <c r="H14" i="4"/>
  <c r="H16" i="4"/>
  <c r="H17" i="4"/>
  <c r="H33" i="4"/>
  <c r="H36" i="4"/>
  <c r="H37" i="4"/>
  <c r="H38" i="4"/>
  <c r="H41" i="4"/>
  <c r="H42" i="4"/>
  <c r="H61" i="4"/>
  <c r="H62" i="4"/>
  <c r="H63" i="4"/>
  <c r="H66" i="4"/>
  <c r="H67" i="4"/>
  <c r="H70" i="4"/>
  <c r="H71" i="4"/>
  <c r="H92" i="4"/>
  <c r="H93" i="4"/>
  <c r="H94" i="4"/>
  <c r="H97" i="4"/>
  <c r="H101" i="4"/>
  <c r="H104" i="4"/>
  <c r="H112" i="4"/>
  <c r="H113" i="4"/>
  <c r="H114" i="4"/>
  <c r="H117" i="4"/>
  <c r="H118" i="4"/>
  <c r="H130" i="4"/>
  <c r="H138" i="4"/>
  <c r="H148" i="4"/>
  <c r="H149" i="4"/>
  <c r="H150" i="4"/>
  <c r="H153" i="4"/>
  <c r="H157" i="4"/>
  <c r="H160" i="4"/>
  <c r="H161" i="4"/>
  <c r="H164" i="4"/>
  <c r="H176" i="4"/>
  <c r="H177" i="4"/>
  <c r="H178" i="4"/>
  <c r="H182" i="4"/>
  <c r="H185" i="4"/>
  <c r="H186" i="4"/>
  <c r="H251" i="4"/>
  <c r="H255" i="4"/>
  <c r="H256" i="4"/>
  <c r="H207" i="4"/>
  <c r="H209" i="4"/>
  <c r="H210" i="4"/>
  <c r="H218" i="4"/>
  <c r="H222" i="4"/>
  <c r="H226" i="4"/>
  <c r="H227" i="4"/>
  <c r="H229" i="4"/>
  <c r="H234" i="4"/>
  <c r="H237" i="4"/>
  <c r="H238" i="4"/>
  <c r="H262" i="4"/>
  <c r="H83" i="4"/>
  <c r="H84" i="4"/>
  <c r="H85" i="4"/>
  <c r="H3" i="4"/>
  <c r="E262" i="4"/>
  <c r="E261" i="4"/>
  <c r="E260" i="4"/>
  <c r="E259" i="4"/>
  <c r="E258" i="4"/>
  <c r="E257" i="4"/>
  <c r="E250" i="4"/>
  <c r="E249" i="4"/>
  <c r="E248" i="4"/>
  <c r="E247" i="4"/>
  <c r="E246" i="4"/>
  <c r="E245" i="4"/>
  <c r="E244" i="4"/>
  <c r="E243" i="4"/>
  <c r="E242" i="4"/>
  <c r="E241" i="4"/>
  <c r="E240" i="4"/>
  <c r="E239" i="4"/>
  <c r="E238" i="4"/>
  <c r="E237" i="4"/>
  <c r="E236" i="4"/>
  <c r="E235" i="4"/>
  <c r="E234" i="4"/>
  <c r="E233" i="4"/>
  <c r="E231" i="4"/>
  <c r="E229" i="4"/>
  <c r="E228" i="4"/>
  <c r="E227" i="4"/>
  <c r="E226" i="4"/>
  <c r="E225" i="4"/>
  <c r="E224" i="4"/>
  <c r="E223" i="4"/>
  <c r="E222" i="4"/>
  <c r="E221" i="4"/>
  <c r="E220" i="4"/>
  <c r="E219" i="4"/>
  <c r="E218" i="4"/>
  <c r="E217" i="4"/>
  <c r="E216" i="4"/>
  <c r="E215" i="4"/>
  <c r="E214" i="4"/>
  <c r="E213" i="4"/>
  <c r="E211" i="4"/>
  <c r="E210" i="4"/>
  <c r="E209" i="4"/>
  <c r="E208" i="4"/>
  <c r="E207" i="4"/>
  <c r="E206" i="4"/>
  <c r="E205" i="4"/>
  <c r="E204" i="4"/>
  <c r="E203" i="4"/>
  <c r="E212" i="4"/>
  <c r="E253" i="4"/>
  <c r="E252" i="4"/>
  <c r="E256" i="4"/>
  <c r="E255" i="4"/>
  <c r="E251" i="4"/>
  <c r="E254"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09" i="4"/>
  <c r="E126" i="4"/>
  <c r="E125" i="4"/>
  <c r="E124" i="4"/>
  <c r="E123" i="4"/>
  <c r="E122" i="4"/>
  <c r="E121" i="4"/>
  <c r="E120" i="4"/>
  <c r="E119" i="4"/>
  <c r="E108" i="4"/>
  <c r="E107" i="4"/>
  <c r="E106" i="4"/>
  <c r="E105" i="4"/>
  <c r="E104" i="4"/>
  <c r="E103" i="4"/>
  <c r="E102" i="4"/>
  <c r="E101" i="4"/>
  <c r="E100" i="4"/>
  <c r="E99" i="4"/>
  <c r="E98" i="4"/>
  <c r="E97" i="4"/>
  <c r="E96" i="4"/>
  <c r="E95" i="4"/>
  <c r="E94" i="4"/>
  <c r="E93" i="4"/>
  <c r="E92" i="4"/>
  <c r="E91" i="4"/>
  <c r="E90" i="4"/>
  <c r="E89" i="4"/>
  <c r="E88" i="4"/>
  <c r="E87" i="4"/>
  <c r="E86"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3" i="4"/>
  <c r="E52" i="4"/>
  <c r="E51" i="4"/>
  <c r="E50" i="4"/>
  <c r="E49" i="4"/>
  <c r="E48" i="4"/>
  <c r="E47" i="4"/>
  <c r="E46" i="4"/>
  <c r="E45" i="4"/>
  <c r="E44" i="4"/>
  <c r="E43" i="4"/>
  <c r="E42" i="4"/>
  <c r="E41" i="4"/>
  <c r="E40" i="4"/>
  <c r="E39" i="4"/>
  <c r="E38" i="4"/>
  <c r="E37" i="4"/>
  <c r="E36" i="4"/>
  <c r="E35" i="4"/>
  <c r="E33" i="4"/>
  <c r="E32" i="4"/>
  <c r="E31" i="4"/>
  <c r="E30" i="4"/>
  <c r="E29" i="4"/>
  <c r="E28" i="4"/>
  <c r="E27" i="4"/>
  <c r="E26" i="4"/>
  <c r="E25" i="4"/>
  <c r="E24" i="4"/>
  <c r="E22" i="4"/>
  <c r="E21" i="4"/>
  <c r="E20" i="4"/>
  <c r="E19" i="4"/>
  <c r="E18" i="4"/>
  <c r="E17" i="4"/>
  <c r="E16" i="4"/>
  <c r="E15" i="4"/>
  <c r="E14" i="4"/>
  <c r="E13" i="4"/>
  <c r="E12" i="4"/>
  <c r="E11" i="4"/>
  <c r="E10" i="4"/>
  <c r="E9" i="4"/>
  <c r="E8" i="4"/>
  <c r="E7" i="4"/>
  <c r="E6" i="4"/>
  <c r="E5" i="4"/>
  <c r="E4" i="4"/>
  <c r="E3" i="4"/>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3" i="2"/>
  <c r="J252" i="4" l="1"/>
  <c r="K252" i="4"/>
  <c r="H25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tc={BC23CA88-8A19-47AC-8110-F865B74BF337}</author>
  </authors>
  <commentList>
    <comment ref="B1" authorId="0" shapeId="0" xr:uid="{BC23CA88-8A19-47AC-8110-F865B74BF337}">
      <text>
        <t>[Threaded comment]
Your version of Excel allows you to read this threaded comment; however, any edits to it will get removed if the file is opened in a newer version of Excel. Learn more: https://go.microsoft.com/fwlink/?linkid=870924
Comment:
    Retrieved from https://sswis.mypurdue.purdue.edu/PurdueFacAdvSS/flow/PreReqReport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tc={93A25ABE-A9C8-41EF-8822-4C86DEDDD54B}</author>
    <author>tc={B7BDEAD6-B3F9-4C75-B15B-AE5C66804E5F}</author>
    <author>tc={A54E8B21-CB3C-4688-8939-A8FF199EDFD1}</author>
    <author>tc={D0EAF73D-4A39-467F-BFE2-4AAA683FA394}</author>
    <author>tc={CDE4C3E1-97AC-448D-B7AA-B1C759F752A1}</author>
    <author>tc={3BF82F6E-E168-4C4E-9BA4-F99F118F41FB}</author>
    <author>tc={D9179983-09C2-40DD-8345-B42462534830}</author>
    <author>tc={18903066-9631-4F14-BFE0-9B6F72EA248E}</author>
    <author>tc={381C768C-E952-4032-870B-4E6199A68270}</author>
    <author>tc={1D873400-8EC4-43C7-9760-3E734814680E}</author>
    <author>tc={57569E71-3525-44B8-B6E9-D5EDEA9FC6E5}</author>
    <author>tc={991E55D2-A48E-42FD-B772-333A9CAE8E6A}</author>
    <author>tc={7A26AD72-B48B-403D-9C57-9A5FCEECDCBB}</author>
    <author>tc={DE86287F-C386-4979-901B-2F657769E767}</author>
    <author>tc={934F18D7-6545-47D0-BEDD-46A16771EEF3}</author>
    <author>tc={4B14545A-590E-45B0-9AEB-EDA5C8CC0BA1}</author>
    <author>tc={BF2CCE5F-D7F3-47A2-9279-2C05CB4991E3}</author>
    <author>tc={76921AE8-8954-4166-B89C-1BF033F4C022}</author>
    <author>tc={711F8C19-B12E-4383-AF27-32C23A41915F}</author>
    <author>tc={05C01C38-90DE-47BF-8F3F-7A10315ACA64}</author>
    <author>tc={A7C41ED2-AC98-496E-A0A2-175CBAECB735}</author>
    <author>tc={C1D3DBB7-922C-4542-82C2-B309C553B1BC}</author>
    <author>tc={155FCEDF-5A3F-4BF2-813D-C6FBA39E368C}</author>
    <author>tc={34FF3757-5DA2-4C58-B2D5-7A7FBC819B79}</author>
    <author>tc={AB554DFE-4B3A-4095-9ECD-729A06E430E7}</author>
    <author>tc={60EB767E-A8E8-4D1E-9F49-1B89E1016AE5}</author>
    <author>tc={C274A650-0D73-494F-B24B-B4595F0CA858}</author>
    <author>tc={DB7CB955-7967-4417-8825-E741428F9FA2}</author>
  </authors>
  <commentList>
    <comment ref="C1" authorId="0" shapeId="0" xr:uid="{93A25ABE-A9C8-41EF-8822-4C86DEDDD54B}">
      <text>
        <t>[Threaded comment]
Your version of Excel allows you to read this threaded comment; however, any edits to it will get removed if the file is opened in a newer version of Excel. Learn more: https://go.microsoft.com/fwlink/?linkid=870924
Comment:
    VIP courses and 59X courses often have the same number for many titles. This is why I moved to a single column with the course number and name for sorting</t>
      </text>
    </comment>
    <comment ref="D1" authorId="1" shapeId="0" xr:uid="{B7BDEAD6-B3F9-4C75-B15B-AE5C66804E5F}">
      <text>
        <t>[Threaded comment]
Your version of Excel allows you to read this threaded comment; however, any edits to it will get removed if the file is opened in a newer version of Excel. Learn more: https://go.microsoft.com/fwlink/?linkid=870924
Comment:
    This column is not needed</t>
      </text>
    </comment>
    <comment ref="H1" authorId="2" shapeId="0" xr:uid="{A54E8B21-CB3C-4688-8939-A8FF199EDFD1}">
      <text>
        <t>[Threaded comment]
Your version of Excel allows you to read this threaded comment; however, any edits to it will get removed if the file is opened in a newer version of Excel. Learn more: https://go.microsoft.com/fwlink/?linkid=870924
Comment:
    Combined with column I</t>
      </text>
    </comment>
    <comment ref="L1" authorId="3" shapeId="0" xr:uid="{D0EAF73D-4A39-467F-BFE2-4AAA683FA394}">
      <text>
        <t>[Threaded comment]
Your version of Excel allows you to read this threaded comment; however, any edits to it will get removed if the file is opened in a newer version of Excel. Learn more: https://go.microsoft.com/fwlink/?linkid=870924
Comment:
    No classes here --&gt; EDA category</t>
      </text>
    </comment>
    <comment ref="Z1" authorId="4" shapeId="0" xr:uid="{CDE4C3E1-97AC-448D-B7AA-B1C759F752A1}">
      <text>
        <t>[Threaded comment]
Your version of Excel allows you to read this threaded comment; however, any edits to it will get removed if the file is opened in a newer version of Excel. Learn more: https://go.microsoft.com/fwlink/?linkid=870924
Comment:
    Merged with column AA</t>
      </text>
    </comment>
    <comment ref="AJ1" authorId="5" shapeId="0" xr:uid="{3BF82F6E-E168-4C4E-9BA4-F99F118F41FB}">
      <text>
        <t>[Threaded comment]
Your version of Excel allows you to read this threaded comment; however, any edits to it will get removed if the file is opened in a newer version of Excel. Learn more: https://go.microsoft.com/fwlink/?linkid=870924
Comment:
    Merged with the next column</t>
      </text>
    </comment>
    <comment ref="AT1" authorId="6" shapeId="0" xr:uid="{D9179983-09C2-40DD-8345-B42462534830}">
      <text>
        <t xml:space="preserve">[Threaded comment]
Your version of Excel allows you to read this threaded comment; however, any edits to it will get removed if the file is opened in a newer version of Excel. Learn more: https://go.microsoft.com/fwlink/?linkid=870924
Comment:
    Split into AU and AV
</t>
      </text>
    </comment>
    <comment ref="BA1" authorId="7" shapeId="0" xr:uid="{18903066-9631-4F14-BFE0-9B6F72EA248E}">
      <text>
        <t>[Threaded comment]
Your version of Excel allows you to read this threaded comment; however, any edits to it will get removed if the file is opened in a newer version of Excel. Learn more: https://go.microsoft.com/fwlink/?linkid=870924
Comment:
    Titles updated</t>
      </text>
    </comment>
    <comment ref="BD1" authorId="8" shapeId="0" xr:uid="{381C768C-E952-4032-870B-4E6199A68270}">
      <text>
        <t>[Threaded comment]
Your version of Excel allows you to read this threaded comment; however, any edits to it will get removed if the file is opened in a newer version of Excel. Learn more: https://go.microsoft.com/fwlink/?linkid=870924
Comment:
    These courses count only in the experiential learning requirement</t>
      </text>
    </comment>
    <comment ref="BE1" authorId="9" shapeId="0" xr:uid="{1D873400-8EC4-43C7-9760-3E734814680E}">
      <text>
        <t xml:space="preserve">[Threaded comment]
Your version of Excel allows you to read this threaded comment; however, any edits to it will get removed if the file is opened in a newer version of Excel. Learn more: https://go.microsoft.com/fwlink/?linkid=870924
Comment:
    Combined into column V
</t>
      </text>
    </comment>
    <comment ref="BF1" authorId="10" shapeId="0" xr:uid="{57569E71-3525-44B8-B6E9-D5EDEA9FC6E5}">
      <text>
        <t>[Threaded comment]
Your version of Excel allows you to read this threaded comment; however, any edits to it will get removed if the file is opened in a newer version of Excel. Learn more: https://go.microsoft.com/fwlink/?linkid=870924
Comment:
    Combined with column AA</t>
      </text>
    </comment>
    <comment ref="BG1" authorId="11" shapeId="0" xr:uid="{991E55D2-A48E-42FD-B772-333A9CAE8E6A}">
      <text>
        <t>[Threaded comment]
Your version of Excel allows you to read this threaded comment; however, any edits to it will get removed if the file is opened in a newer version of Excel. Learn more: https://go.microsoft.com/fwlink/?linkid=870924
Comment:
    Combined with AB</t>
      </text>
    </comment>
    <comment ref="BH1" authorId="12" shapeId="0" xr:uid="{7A26AD72-B48B-403D-9C57-9A5FCEECDCBB}">
      <text>
        <t>[Threaded comment]
Your version of Excel allows you to read this threaded comment; however, any edits to it will get removed if the file is opened in a newer version of Excel. Learn more: https://go.microsoft.com/fwlink/?linkid=870924
Comment:
    Combined with AC</t>
      </text>
    </comment>
    <comment ref="BI1" authorId="13" shapeId="0" xr:uid="{DE86287F-C386-4979-901B-2F657769E767}">
      <text>
        <t>[Threaded comment]
Your version of Excel allows you to read this threaded comment; however, any edits to it will get removed if the file is opened in a newer version of Excel. Learn more: https://go.microsoft.com/fwlink/?linkid=870924
Comment:
    Captured in columns AD-AF</t>
      </text>
    </comment>
    <comment ref="BJ1" authorId="14" shapeId="0" xr:uid="{934F18D7-6545-47D0-BEDD-46A16771EEF3}">
      <text>
        <t>[Threaded comment]
Your version of Excel allows you to read this threaded comment; however, any edits to it will get removed if the file is opened in a newer version of Excel. Learn more: https://go.microsoft.com/fwlink/?linkid=870924
Comment:
    Col AG</t>
      </text>
    </comment>
    <comment ref="BK1" authorId="15" shapeId="0" xr:uid="{4B14545A-590E-45B0-9AEB-EDA5C8CC0BA1}">
      <text>
        <t>[Threaded comment]
Your version of Excel allows you to read this threaded comment; however, any edits to it will get removed if the file is opened in a newer version of Excel. Learn more: https://go.microsoft.com/fwlink/?linkid=870924
Comment:
    Caputred in AH-AI</t>
      </text>
    </comment>
    <comment ref="BL1" authorId="16" shapeId="0" xr:uid="{BF2CCE5F-D7F3-47A2-9279-2C05CB4991E3}">
      <text>
        <t>[Threaded comment]
Your version of Excel allows you to read this threaded comment; however, any edits to it will get removed if the file is opened in a newer version of Excel. Learn more: https://go.microsoft.com/fwlink/?linkid=870924
Comment:
    Captured in AK</t>
      </text>
    </comment>
    <comment ref="BM1" authorId="17" shapeId="0" xr:uid="{76921AE8-8954-4166-B89C-1BF033F4C022}">
      <text>
        <t>[Threaded comment]
Your version of Excel allows you to read this threaded comment; however, any edits to it will get removed if the file is opened in a newer version of Excel. Learn more: https://go.microsoft.com/fwlink/?linkid=870924
Comment:
    Column AL</t>
      </text>
    </comment>
    <comment ref="BN1" authorId="18" shapeId="0" xr:uid="{711F8C19-B12E-4383-AF27-32C23A41915F}">
      <text>
        <t>[Threaded comment]
Your version of Excel allows you to read this threaded comment; however, any edits to it will get removed if the file is opened in a newer version of Excel. Learn more: https://go.microsoft.com/fwlink/?linkid=870924
Comment:
    Combined with AO</t>
      </text>
    </comment>
    <comment ref="BO1" authorId="19" shapeId="0" xr:uid="{05C01C38-90DE-47BF-8F3F-7A10315ACA64}">
      <text>
        <t>[Threaded comment]
Your version of Excel allows you to read this threaded comment; however, any edits to it will get removed if the file is opened in a newer version of Excel. Learn more: https://go.microsoft.com/fwlink/?linkid=870924
Comment:
    Comb w AP</t>
      </text>
    </comment>
    <comment ref="BP1" authorId="20" shapeId="0" xr:uid="{A7C41ED2-AC98-496E-A0A2-175CBAECB735}">
      <text>
        <t>[Threaded comment]
Your version of Excel allows you to read this threaded comment; however, any edits to it will get removed if the file is opened in a newer version of Excel. Learn more: https://go.microsoft.com/fwlink/?linkid=870924
Comment:
    Cols AU-AV</t>
      </text>
    </comment>
    <comment ref="BQ1" authorId="21" shapeId="0" xr:uid="{C1D3DBB7-922C-4542-82C2-B309C553B1BC}">
      <text>
        <t>[Threaded comment]
Your version of Excel allows you to read this threaded comment; however, any edits to it will get removed if the file is opened in a newer version of Excel. Learn more: https://go.microsoft.com/fwlink/?linkid=870924
Comment:
    Col AW</t>
      </text>
    </comment>
    <comment ref="BR1" authorId="22" shapeId="0" xr:uid="{155FCEDF-5A3F-4BF2-813D-C6FBA39E368C}">
      <text>
        <t>[Threaded comment]
Your version of Excel allows you to read this threaded comment; however, any edits to it will get removed if the file is opened in a newer version of Excel. Learn more: https://go.microsoft.com/fwlink/?linkid=870924
Comment:
    Cols  AY-AZ</t>
      </text>
    </comment>
    <comment ref="BS1" authorId="23" shapeId="0" xr:uid="{34FF3757-5DA2-4C58-B2D5-7A7FBC819B79}">
      <text>
        <t>[Threaded comment]
Your version of Excel allows you to read this threaded comment; however, any edits to it will get removed if the file is opened in a newer version of Excel. Learn more: https://go.microsoft.com/fwlink/?linkid=870924
Comment:
    Columns BA-BB</t>
      </text>
    </comment>
    <comment ref="BT1" authorId="24" shapeId="0" xr:uid="{AB554DFE-4B3A-4095-9ECD-729A06E430E7}">
      <text>
        <t>[Threaded comment]
Your version of Excel allows you to read this threaded comment; however, any edits to it will get removed if the file is opened in a newer version of Excel. Learn more: https://go.microsoft.com/fwlink/?linkid=870924
Comment:
    BC</t>
      </text>
    </comment>
    <comment ref="BU1" authorId="25" shapeId="0" xr:uid="{60EB767E-A8E8-4D1E-9F49-1B89E1016AE5}">
      <text>
        <t xml:space="preserve">[Threaded comment]
Your version of Excel allows you to read this threaded comment; however, any edits to it will get removed if the file is opened in a newer version of Excel. Learn more: https://go.microsoft.com/fwlink/?linkid=870924
Comment:
    Combined with BD
</t>
      </text>
    </comment>
    <comment ref="A2" authorId="26" shapeId="0" xr:uid="{C274A650-0D73-494F-B24B-B4595F0CA858}">
      <text>
        <t xml:space="preserve">[Threaded comment]
Your version of Excel allows you to read this threaded comment; however, any edits to it will get removed if the file is opened in a newer version of Excel. Learn more: https://go.microsoft.com/fwlink/?linkid=870924
Comment:
    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Reply:
    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
      </text>
    </comment>
    <comment ref="B3" authorId="27" shapeId="0" xr:uid="{DB7CB955-7967-4417-8825-E741428F9FA2}">
      <text>
        <t>[Threaded comment]
Your version of Excel allows you to read this threaded comment; however, any edits to it will get removed if the file is opened in a newer version of Excel. Learn more: https://go.microsoft.com/fwlink/?linkid=870924
Comment:
    Uncategorized generally means it is not part of the certificate</t>
      </text>
    </comment>
  </commentList>
</comments>
</file>

<file path=xl/sharedStrings.xml><?xml version="1.0" encoding="utf-8"?>
<sst xmlns="http://schemas.openxmlformats.org/spreadsheetml/2006/main" count="30072" uniqueCount="1576">
  <si>
    <t>AI Acceleration (Hardware)</t>
  </si>
  <si>
    <t>Analog Design</t>
  </si>
  <si>
    <t>Analog IC Design</t>
  </si>
  <si>
    <t>ASIC RTL Design</t>
  </si>
  <si>
    <t>Custom Digital IC Design</t>
  </si>
  <si>
    <t>Device and Circuit Concepts</t>
  </si>
  <si>
    <t>FPGA Prototyping</t>
  </si>
  <si>
    <t>Functional verification of ASiC/SoC</t>
  </si>
  <si>
    <t>Memory design</t>
  </si>
  <si>
    <t>Mixed Signal IC Design</t>
  </si>
  <si>
    <t>Physical layout and verification of ICs</t>
  </si>
  <si>
    <t>Power Electronics</t>
  </si>
  <si>
    <t>Processor
Design</t>
  </si>
  <si>
    <t>RF IC design</t>
  </si>
  <si>
    <t>Semiconductor Fundamentals &amp; Device Theory</t>
  </si>
  <si>
    <t>VLSI Design for Test</t>
  </si>
  <si>
    <t>Timing Analysis</t>
  </si>
  <si>
    <t>Digital Design</t>
  </si>
  <si>
    <t>Optics and Photonics</t>
  </si>
  <si>
    <t>Quantum Science</t>
  </si>
  <si>
    <t>Sensors and Actuators</t>
  </si>
  <si>
    <t>Fabrication Concepts</t>
  </si>
  <si>
    <t>Lithography</t>
  </si>
  <si>
    <t>Process Development &amp; Assembly</t>
  </si>
  <si>
    <t>Radiation Hardening</t>
  </si>
  <si>
    <t>Manufacturing &amp; Control Strategies</t>
  </si>
  <si>
    <t>Statistical Process Control</t>
  </si>
  <si>
    <t>Characterization &amp; Metrology</t>
  </si>
  <si>
    <t>Advanced Materials (Innovation and Integration)</t>
  </si>
  <si>
    <t>Design for Sustainability</t>
  </si>
  <si>
    <t>Substrates, Materials, and Encapsulation</t>
  </si>
  <si>
    <t>Advanced Packaging</t>
  </si>
  <si>
    <t>Interconnects &amp; Re-Distribution Layers</t>
  </si>
  <si>
    <t>System on Chip Architecture</t>
  </si>
  <si>
    <t>Embedded Systems</t>
  </si>
  <si>
    <t>Power and Thermal Management</t>
  </si>
  <si>
    <t>Power Delivery</t>
  </si>
  <si>
    <t>Thermal Management</t>
  </si>
  <si>
    <t>Data Center Infrastructure</t>
  </si>
  <si>
    <t>AI &amp; ML</t>
  </si>
  <si>
    <t>Data Analysis</t>
  </si>
  <si>
    <t>Statistical Analysis</t>
  </si>
  <si>
    <t>Reliability &amp; Failure Analysis</t>
  </si>
  <si>
    <t>Supply Chain Management</t>
  </si>
  <si>
    <t>Workforce Development</t>
  </si>
  <si>
    <t>Fabrication, Process Development, and Assembly</t>
  </si>
  <si>
    <t>Manufacturing &amp; Process Control</t>
  </si>
  <si>
    <t>Design, EDA, and Digital Twins</t>
  </si>
  <si>
    <t>Advanced Packaging, Interconnects, &amp; Redistribution Layers</t>
  </si>
  <si>
    <t>AI, Machine Learning, Data Analysis, Statistics</t>
  </si>
  <si>
    <t>Reliability, Uncertainty, and Failure Analysis</t>
  </si>
  <si>
    <t>Workforce development</t>
  </si>
  <si>
    <t>Primary Certificate Area</t>
  </si>
  <si>
    <t>Course Number</t>
  </si>
  <si>
    <t>???</t>
  </si>
  <si>
    <t>Course</t>
  </si>
  <si>
    <t>Credits</t>
  </si>
  <si>
    <t>Skills</t>
  </si>
  <si>
    <t>Topics</t>
  </si>
  <si>
    <t>uncategorized</t>
  </si>
  <si>
    <t>CHE 20500</t>
  </si>
  <si>
    <t>CHE</t>
  </si>
  <si>
    <t>CHE 20500 Chemical Engineering Calculations</t>
  </si>
  <si>
    <t/>
  </si>
  <si>
    <t>x</t>
  </si>
  <si>
    <t>CHE 21100</t>
  </si>
  <si>
    <t>CHE 21100 Introductory Chemical Engineering Thermodynamics</t>
  </si>
  <si>
    <t>CHE 30600</t>
  </si>
  <si>
    <t>CHE 30600 Design Of Staged Separation Processes</t>
  </si>
  <si>
    <t>Electronics Packaging, Heterogeneous Integration, and Thermal Management</t>
  </si>
  <si>
    <t>ECE 59500</t>
  </si>
  <si>
    <t>ECE 59500 Introduction to Electronics Packaging and Heterogeneous Integration (Cross-listed as ME 597/ECE 595/MSE 497)</t>
  </si>
  <si>
    <t>CHE 34800</t>
  </si>
  <si>
    <t>CHE 34800 Chemical Reaction Engineering</t>
  </si>
  <si>
    <t>CHE 37700</t>
  </si>
  <si>
    <t>CHE 37700 Momentum Transfer</t>
  </si>
  <si>
    <t>ME 50300</t>
  </si>
  <si>
    <t>ME</t>
  </si>
  <si>
    <t>ME 503 Micro-and-Nano Scale Energy Transfer Process</t>
  </si>
  <si>
    <t>ME 51100</t>
  </si>
  <si>
    <t>ME 511 Heat Transfer in Electronics Packaging</t>
  </si>
  <si>
    <t>CHE 43500</t>
  </si>
  <si>
    <t>CHE 43500 Chemical Engineering Laboratory</t>
  </si>
  <si>
    <t>CHE 45000</t>
  </si>
  <si>
    <t>CHE 45000 Design And Analysis Of Processing Systems</t>
  </si>
  <si>
    <t>ME 597</t>
  </si>
  <si>
    <t>ME 597 Introduction to Electronics Packaging and Heterogeneous Integration (Cross-listed as ME 597/ECE 595/MSE 497)</t>
  </si>
  <si>
    <t>CHE 53600</t>
  </si>
  <si>
    <t>CHE 53600 Particulate Systems</t>
  </si>
  <si>
    <t>CHE 53800</t>
  </si>
  <si>
    <t>CHE 53800 Design And Processing Of Particulate Products</t>
  </si>
  <si>
    <t>ME 59700</t>
  </si>
  <si>
    <t>ME59700 Fundamentals of Microsystems Packaging</t>
  </si>
  <si>
    <t>CHE 54300</t>
  </si>
  <si>
    <t>CHE 54300 Polym Reaction Engr &amp; Reactor Analy</t>
  </si>
  <si>
    <t>PHYS 536</t>
  </si>
  <si>
    <t>PHYS/ME</t>
  </si>
  <si>
    <t>PHYS 536 Electronic Techniques for Research</t>
  </si>
  <si>
    <t>CHE 55000</t>
  </si>
  <si>
    <t>CHE 55000 Optimization In Chemical Engineering</t>
  </si>
  <si>
    <t>CHE 55500</t>
  </si>
  <si>
    <t>CHE 55500 Computer Integrated Process Operations</t>
  </si>
  <si>
    <t>CHE 55700</t>
  </si>
  <si>
    <t>CHE 55700 Intelligent Systems In Process Engineering</t>
  </si>
  <si>
    <t>CHE 55800</t>
  </si>
  <si>
    <t>CHE 55800 Rate Control Sep Process</t>
  </si>
  <si>
    <t>Semiconductor Materials, Characterization, and Processing</t>
  </si>
  <si>
    <t>CHE 56400</t>
  </si>
  <si>
    <t>CHE 56400 Organic Electronic Materials And Devices</t>
  </si>
  <si>
    <t>CHE 59700</t>
  </si>
  <si>
    <t>CHE 59700 Crystallization Systems in Engr</t>
  </si>
  <si>
    <t>CHE 59700 Industial Catalytic Processes</t>
  </si>
  <si>
    <t>CHE 59700 Industrial Chemical Technology</t>
  </si>
  <si>
    <t>CHE 59700 Org Elec Materials and Devices</t>
  </si>
  <si>
    <t>CHE 59700 Process Synthesis</t>
  </si>
  <si>
    <t>CHE 59700 System Analysis of Energy Prod/ Energy Systems</t>
  </si>
  <si>
    <t>Integrated Circuit &amp; System Design, Electronic Design Automation</t>
  </si>
  <si>
    <t>ECE 33700</t>
  </si>
  <si>
    <t>ECE1 / ME</t>
  </si>
  <si>
    <t>ECE 33700 ASIC Design Laboratory</t>
  </si>
  <si>
    <t>CHE 59700 Data Science in ChE</t>
  </si>
  <si>
    <t>CHE 59700A</t>
  </si>
  <si>
    <t>CHE 59700A Risk Mgmt. Proc. Develop</t>
  </si>
  <si>
    <t>CHE 59700B</t>
  </si>
  <si>
    <t>CHE 59700B Battery Systems Lab</t>
  </si>
  <si>
    <t>CHE 59700C</t>
  </si>
  <si>
    <t>CHE 59700C Intro to Energy Stor Sys</t>
  </si>
  <si>
    <t>CHE 59700N</t>
  </si>
  <si>
    <t>CHE 59700N Intro to Nanoscale</t>
  </si>
  <si>
    <t>CHE 59700Q</t>
  </si>
  <si>
    <t>CHE 59700Q Intr. Quantum Cntrl Engr</t>
  </si>
  <si>
    <t>CHE 59700S</t>
  </si>
  <si>
    <t>CHE 59700S Advanced Solar Conversion</t>
  </si>
  <si>
    <t>ECE 36200</t>
  </si>
  <si>
    <t>ME / ECE 1</t>
  </si>
  <si>
    <t>ECE 36200 Microprocessor Systems And Interfacing</t>
  </si>
  <si>
    <t>ECE 40655</t>
  </si>
  <si>
    <t>ECE 40655 Digital Integrated Circuit Analysis and Design</t>
  </si>
  <si>
    <t>CHM 22404</t>
  </si>
  <si>
    <t>CHEM</t>
  </si>
  <si>
    <t>CHM 22404 Quantitative Analysis</t>
  </si>
  <si>
    <t>CHM 24100</t>
  </si>
  <si>
    <t>CHM 24100 Introductory Inorganic Chemistry</t>
  </si>
  <si>
    <t>CHM 26100</t>
  </si>
  <si>
    <t>CHM 26100 Organic Chemistry I</t>
  </si>
  <si>
    <t>CHM 26200</t>
  </si>
  <si>
    <t>CHM 26200 Organic Chemistry II</t>
  </si>
  <si>
    <t>CHM 32100</t>
  </si>
  <si>
    <t>CHM 32100 Analytical Chemistry I</t>
  </si>
  <si>
    <t>ECE 40656</t>
  </si>
  <si>
    <t>ECE 40656 CMOS Analog and Mixed Signal Integrated Circuits</t>
  </si>
  <si>
    <t>CHM 37300</t>
  </si>
  <si>
    <t>CHM 37300 Physical Chemistry I</t>
  </si>
  <si>
    <t>CHM 37301</t>
  </si>
  <si>
    <t>CHM 37301 Physical Chemistry Laboratory I</t>
  </si>
  <si>
    <t>CHM 37400</t>
  </si>
  <si>
    <t>CHM 37400 Physical Chemistry II</t>
  </si>
  <si>
    <t>CHM 37401</t>
  </si>
  <si>
    <t>CHM 37401 Physical Chemistry Laboratory II</t>
  </si>
  <si>
    <t>CHM 42400</t>
  </si>
  <si>
    <t>CHM 42400 Instrumental Analysis</t>
  </si>
  <si>
    <t>CHM 46200</t>
  </si>
  <si>
    <t>CHM 46200 Intermediate Organic Chemistry</t>
  </si>
  <si>
    <t>CHM 48100</t>
  </si>
  <si>
    <t>CHM 48100 Environmental Chemistry</t>
  </si>
  <si>
    <t>CHM 48700</t>
  </si>
  <si>
    <t>CHM 48700 Cooperative Work Experience V</t>
  </si>
  <si>
    <t>CHM 57900</t>
  </si>
  <si>
    <t>CHM 57900 Computational Chemistry</t>
  </si>
  <si>
    <t>CHM 58100</t>
  </si>
  <si>
    <t>CHM 58100 Atmospheric Chemistry</t>
  </si>
  <si>
    <t>CHM 60500</t>
  </si>
  <si>
    <t>CHM 60500 Safety In The Chemistry Laboratory</t>
  </si>
  <si>
    <t>CHM 62000</t>
  </si>
  <si>
    <t>CHM 62000 Spectrochemical Instrumentation</t>
  </si>
  <si>
    <t>CHM 62100</t>
  </si>
  <si>
    <t>CHM 62100 Advanced Analytical Chemistry</t>
  </si>
  <si>
    <t>CHM 64100</t>
  </si>
  <si>
    <t>CHM 64100 Advanced Inorganic Chemistry-I</t>
  </si>
  <si>
    <t>CHM 64200</t>
  </si>
  <si>
    <t>CHM 64200 Advanced Inorganic Chemistry-II</t>
  </si>
  <si>
    <t>ECE 51214</t>
  </si>
  <si>
    <t>ECE1</t>
  </si>
  <si>
    <t>ECE 51214 CMOS Analog IC Design</t>
  </si>
  <si>
    <t>CHM 64600</t>
  </si>
  <si>
    <t>CHM 64600 Kinetics. Mech. Inorganic Reactions</t>
  </si>
  <si>
    <t>CHM 64700</t>
  </si>
  <si>
    <t>CHM 64700 Transition Metal-Organomet. Chem.</t>
  </si>
  <si>
    <t>CHM 65100</t>
  </si>
  <si>
    <t>CHM 65100 Advanced Organic Chemistry</t>
  </si>
  <si>
    <t>CHM 66800</t>
  </si>
  <si>
    <t>CHM 66800 Physical Organic Chemistry</t>
  </si>
  <si>
    <t>?</t>
  </si>
  <si>
    <t>CHM 67100</t>
  </si>
  <si>
    <t>CHM 67100 Advanced Physical Chemistry</t>
  </si>
  <si>
    <t>CHM 67300</t>
  </si>
  <si>
    <t>CHM 67300 Computational Quantum Chemistry</t>
  </si>
  <si>
    <t>CHM 67500</t>
  </si>
  <si>
    <t>CHM 67500 Chemical Kinetics</t>
  </si>
  <si>
    <t>CHM 67605</t>
  </si>
  <si>
    <t>CHM 67605 Molecular Spectroscopy</t>
  </si>
  <si>
    <t>CHM 67900</t>
  </si>
  <si>
    <t>CHM 67900 Chemical Thermodynamics</t>
  </si>
  <si>
    <t>CHM 68200</t>
  </si>
  <si>
    <t>CHM 68200 Statistical Thermodynamics</t>
  </si>
  <si>
    <t>CHM 69600</t>
  </si>
  <si>
    <t>CHM 69600-12 Sustainability and Green Chemistry</t>
  </si>
  <si>
    <t>CHM 69600-18 Foundations of Soft Materials</t>
  </si>
  <si>
    <t>ECE 20001</t>
  </si>
  <si>
    <t>ECE2</t>
  </si>
  <si>
    <t>ECE 20001 Electrical Engineering Fundamentals I</t>
  </si>
  <si>
    <t>ECE 20002</t>
  </si>
  <si>
    <t>ECE 20002 Electrical Engineering Fundamentals II</t>
  </si>
  <si>
    <t>ECE 51220</t>
  </si>
  <si>
    <t>ECE 51220 Applied Algorithms</t>
  </si>
  <si>
    <t>ECE 30600</t>
  </si>
  <si>
    <t>ECE 30600 Electronic Circuits and Systems Laboratory</t>
  </si>
  <si>
    <t>ECE 30653</t>
  </si>
  <si>
    <t>ECE 30653 Introduction to Nanotechnology and Quantum Science and Technology</t>
  </si>
  <si>
    <t>ECE 31033</t>
  </si>
  <si>
    <t>ECE 31033 Power Electronics</t>
  </si>
  <si>
    <t>ECE 55900</t>
  </si>
  <si>
    <t>ECE 55900 MOS VLSI Design</t>
  </si>
  <si>
    <t>ECE 56800</t>
  </si>
  <si>
    <t>ECE 56800 Embedded Systems</t>
  </si>
  <si>
    <t>ECE 39595</t>
  </si>
  <si>
    <t>ECE 59500 Computer Vision for Embedded Systems</t>
  </si>
  <si>
    <t>ECE 59500 CMOS Analog IC Design</t>
  </si>
  <si>
    <t>ECE 43300</t>
  </si>
  <si>
    <t>ECE 43300 Power Electronics</t>
  </si>
  <si>
    <t>ECE 43700</t>
  </si>
  <si>
    <t>ECE 43700 Computer Design and Prototyping</t>
  </si>
  <si>
    <t>ECE 59500 Digital Systems Design Automation</t>
  </si>
  <si>
    <t>ECE 45500</t>
  </si>
  <si>
    <t>ECE1 / ECE2 / ME</t>
  </si>
  <si>
    <t>ECE 45500 Integrated Circuit Engineering</t>
  </si>
  <si>
    <t>ECE 45600</t>
  </si>
  <si>
    <t>ECE 45600 Digital Integrated Circuit Analysis And Design</t>
  </si>
  <si>
    <t>VIP</t>
  </si>
  <si>
    <t>VIP STARS</t>
  </si>
  <si>
    <t>VIP Intro to SOCET</t>
  </si>
  <si>
    <t>Semiconductor and Microelectronic Devices</t>
  </si>
  <si>
    <t>ECE 30500</t>
  </si>
  <si>
    <t>ECE2 / ME</t>
  </si>
  <si>
    <t>ECE 30500 Semiconductor Devices</t>
  </si>
  <si>
    <t>ECE 45300</t>
  </si>
  <si>
    <t>ECE 45300 Fundamentals Of Nanoelectronics</t>
  </si>
  <si>
    <t>ECE 50616</t>
  </si>
  <si>
    <t>ECE 50616 Physics And Manufacturing Of Solar Cells</t>
  </si>
  <si>
    <t>ECE 50631</t>
  </si>
  <si>
    <t>ECE 50631 Fundamentals Of Current Flow</t>
  </si>
  <si>
    <t>ECE 50632</t>
  </si>
  <si>
    <t>ECE 50632 Introduction to Quantum Transport</t>
  </si>
  <si>
    <t>ECE 50633</t>
  </si>
  <si>
    <t>ECE 50633 Boltzmann Law: Physics to Machine Learning</t>
  </si>
  <si>
    <t>ECE 50641</t>
  </si>
  <si>
    <t>ECE 50641 Semiconductor Fundamentals</t>
  </si>
  <si>
    <t>ECE 51300</t>
  </si>
  <si>
    <t>ECE 51300 Diffracton, Fourier Optics and Imaging</t>
  </si>
  <si>
    <t>ECE 52600</t>
  </si>
  <si>
    <t>ECE 52600 Fundamentals of BioMEMS and Micro-Integrated Systems</t>
  </si>
  <si>
    <t>ECE 55700</t>
  </si>
  <si>
    <t>ECE 55700 Integrated Circuit Fabrication Laboratory [Now ECE 595IC]</t>
  </si>
  <si>
    <t>ECE 50642</t>
  </si>
  <si>
    <t>ECE 50642 Fundamentals of Transistors</t>
  </si>
  <si>
    <t>ECE 50653</t>
  </si>
  <si>
    <t>ECE 50653 Fundamentals Of Nanoelectronics</t>
  </si>
  <si>
    <t>ECE 59500 Advanced Lithography</t>
  </si>
  <si>
    <t xml:space="preserve"> </t>
  </si>
  <si>
    <t>ECE 59500 Essentials of Transistors</t>
  </si>
  <si>
    <t>ECE 59500 Application-Oriented Computational Nanotechnology</t>
  </si>
  <si>
    <t>ECE 59500 Boltzmann Law: Physics to Computing</t>
  </si>
  <si>
    <t>ECE 59500 MEMS I: Microfabrication and Materials for MEMS</t>
  </si>
  <si>
    <t>ECE 59500 Computational Lithography</t>
  </si>
  <si>
    <t>ECE 59500 MEMS II: Fundamentals of MEMS Design</t>
  </si>
  <si>
    <t>ECE 59500 MEMS III: Applications in MEMS</t>
  </si>
  <si>
    <t>ECE 59500 Fundamentals of Current Flow</t>
  </si>
  <si>
    <t>ECE 59500 Introduction to Quantum Transport</t>
  </si>
  <si>
    <t>ECE 59500 Microfabrication Fundamentals</t>
  </si>
  <si>
    <t>ECE 59500 Primer on Semiconductors</t>
  </si>
  <si>
    <t>ECE 59500 Semiconductor Fundamentals</t>
  </si>
  <si>
    <t>ECE 59500 Semiconductor Manufacturing</t>
  </si>
  <si>
    <t>ECE 59500 Theory &amp; Practice of Solar Cells: A Cell to System Perspec</t>
  </si>
  <si>
    <t>ECE 59500IC</t>
  </si>
  <si>
    <t>ECE 59500IC Integrated Circuit/MEMS Fabrication</t>
  </si>
  <si>
    <t>PHYS 322</t>
  </si>
  <si>
    <t>PHYS</t>
  </si>
  <si>
    <t>PHYS 322 Optics</t>
  </si>
  <si>
    <t>PHYS 349</t>
  </si>
  <si>
    <t>PHYS 349 Introduction to Quantum Computing</t>
  </si>
  <si>
    <t>PHYS 422</t>
  </si>
  <si>
    <t>PHYS 422 Waves and Oscillation</t>
  </si>
  <si>
    <t>PHYS 450</t>
  </si>
  <si>
    <t>PHYS 450 Optics Laboratory I</t>
  </si>
  <si>
    <t>ECE 60420</t>
  </si>
  <si>
    <t>ECE 60420 Radio Frequency Integrated Circuits</t>
  </si>
  <si>
    <t>ECE 60421</t>
  </si>
  <si>
    <t>ECE 60421 Nanophotonics and Metamaterials</t>
  </si>
  <si>
    <t>ECE 60422</t>
  </si>
  <si>
    <t>ECE1 / ECE2</t>
  </si>
  <si>
    <t>ECE 60422 Primer on RF Circuit Design</t>
  </si>
  <si>
    <t>ECE 60423</t>
  </si>
  <si>
    <t>ECE 60423 RF System Design</t>
  </si>
  <si>
    <t>ECE 60424</t>
  </si>
  <si>
    <t>ECE 60424 RF Design: Passive And Active Components</t>
  </si>
  <si>
    <t>ECE 60431</t>
  </si>
  <si>
    <t>ECE 60431 Fiber Optic Communications</t>
  </si>
  <si>
    <t>ECE 60614</t>
  </si>
  <si>
    <t>ECE 60614 Reliab Phys Nanoelectr Trans</t>
  </si>
  <si>
    <t>ECE 68800</t>
  </si>
  <si>
    <t>ECE 68800 VLSI Testing and Verification</t>
  </si>
  <si>
    <t>ECE 69500</t>
  </si>
  <si>
    <t>ECE 69500 (experimental) AI Hardware</t>
  </si>
  <si>
    <t>ECET 22700</t>
  </si>
  <si>
    <t>PPI</t>
  </si>
  <si>
    <t>ECET 22700 DC and Pulse Electronics</t>
  </si>
  <si>
    <t>ECET 22900</t>
  </si>
  <si>
    <t>ECET 22900 Concurrent Digital Systems</t>
  </si>
  <si>
    <t>ECET 32900</t>
  </si>
  <si>
    <t>ECET 32900 Advanced embedded systems</t>
  </si>
  <si>
    <t>ECET 33300</t>
  </si>
  <si>
    <t>ECET 33300 Power Electronic Energy Systems</t>
  </si>
  <si>
    <t>ECET 33300 Power Electronics in Energy Systems</t>
  </si>
  <si>
    <t>ECET 34900</t>
  </si>
  <si>
    <t>ECET 34900 Advanced Digital Systems</t>
  </si>
  <si>
    <t>ECET 36900</t>
  </si>
  <si>
    <t>ECET 36900 Applied computer vision for sensing and automation</t>
  </si>
  <si>
    <t>ECET 37300</t>
  </si>
  <si>
    <t>ECET 37300 Applied Electronic Drives</t>
  </si>
  <si>
    <t>ECET 38800</t>
  </si>
  <si>
    <t>ECET 38800 Analog IC Applications</t>
  </si>
  <si>
    <t>ECET 41500</t>
  </si>
  <si>
    <t>ECET 41500 Digital HW Model using HDL</t>
  </si>
  <si>
    <t>ECET 41500 Digital Hardware Modeling Using HDL</t>
  </si>
  <si>
    <t>ECET 42301</t>
  </si>
  <si>
    <t>ECET 42301 Electric Vehicle Integration and Fabrication</t>
  </si>
  <si>
    <t>ECET 49900</t>
  </si>
  <si>
    <t>ECET 49900 Computing with FPGAs</t>
  </si>
  <si>
    <t>PHYS 445</t>
  </si>
  <si>
    <t>PHYS 445 Introduction to Semiconductor Phyiscs</t>
  </si>
  <si>
    <t>PHYS 526</t>
  </si>
  <si>
    <t>PHYS 526 Physics Of Quantum Computing And Quantum Information</t>
  </si>
  <si>
    <t>PHYS 545</t>
  </si>
  <si>
    <t>PHYS 545 Solid State Physics</t>
  </si>
  <si>
    <t>VIP Intro to Semiconductor Manufacturing</t>
  </si>
  <si>
    <t>IE 48400</t>
  </si>
  <si>
    <t>IE/ME</t>
  </si>
  <si>
    <t>IE 48400 Integrated Production Systems II</t>
  </si>
  <si>
    <t>Semiconductor Manufacturing and Global Supply Chain Management</t>
  </si>
  <si>
    <t>CHE 32000</t>
  </si>
  <si>
    <t>CHE/ME</t>
  </si>
  <si>
    <t>CHE 32000 Statistical Modeling And Quality Enhancement</t>
  </si>
  <si>
    <t>IE 38600</t>
  </si>
  <si>
    <t>IE</t>
  </si>
  <si>
    <t>IE 38600 Work Analysis And Design I</t>
  </si>
  <si>
    <t>IE 48600</t>
  </si>
  <si>
    <t>IE 48600 Work Analysis And Design II</t>
  </si>
  <si>
    <t>IE 49000</t>
  </si>
  <si>
    <t>IE 49000 Special Topics In Industrial Engineering : Semiconductor Manufacturing and Supply Chain</t>
  </si>
  <si>
    <t>IE 49000 Special Topics In Industrial Engineering : Supply Chain Engineering</t>
  </si>
  <si>
    <t>IE 53200</t>
  </si>
  <si>
    <t>IE 53200 Reliability</t>
  </si>
  <si>
    <t>IE 53300</t>
  </si>
  <si>
    <t>IE 53300 Industrial Applications Of Statistics</t>
  </si>
  <si>
    <t>IE 55800</t>
  </si>
  <si>
    <t>IE 55800 Safety Engineering</t>
  </si>
  <si>
    <t>IE 56600</t>
  </si>
  <si>
    <t>IE 56600 Production Management Control</t>
  </si>
  <si>
    <t>IE 58200</t>
  </si>
  <si>
    <t>IE 58200 Advanced Facilities Design</t>
  </si>
  <si>
    <t>MGMT 26100</t>
  </si>
  <si>
    <t>MGMT 26100 Introduction To Supply Chain Management</t>
  </si>
  <si>
    <t>IET 34300</t>
  </si>
  <si>
    <t>IET 34300 Technical Service and Selling</t>
  </si>
  <si>
    <t>MGMT 40500</t>
  </si>
  <si>
    <t>MGMT 40500 Six Sigma And Quality Analytics</t>
  </si>
  <si>
    <t>ME 415</t>
  </si>
  <si>
    <t>ME 415 Energy Systems Engineering</t>
  </si>
  <si>
    <t>ME 444</t>
  </si>
  <si>
    <t>ME 444 Computer-Aided Design and Prototyping</t>
  </si>
  <si>
    <t>ME 475</t>
  </si>
  <si>
    <t>ME 475 Automatic Control Systems</t>
  </si>
  <si>
    <t>ME 489</t>
  </si>
  <si>
    <t>ME 489 Introduction to Finite Element Analysis</t>
  </si>
  <si>
    <t>MGMT 46200</t>
  </si>
  <si>
    <t>MGMT 46200 Advanced Manufacturing Planning And Control Systems</t>
  </si>
  <si>
    <t>ME 506</t>
  </si>
  <si>
    <t>ME 506 Two-Phase Flow and Heat Transfer</t>
  </si>
  <si>
    <t>MGMT 46300</t>
  </si>
  <si>
    <t>MGMT 46300 Supply Chain Analytics</t>
  </si>
  <si>
    <t>ME 518</t>
  </si>
  <si>
    <t>ME 518 Analysis of Thermal Systems</t>
  </si>
  <si>
    <t>ME 522</t>
  </si>
  <si>
    <t>ME 522 Indoor Environmental Analysis and Design</t>
  </si>
  <si>
    <t>ME 541</t>
  </si>
  <si>
    <t>ME 541 Engineering Design: A Decision-Based Perspective</t>
  </si>
  <si>
    <t>ME 553</t>
  </si>
  <si>
    <t>ME 553 Product Design and Process</t>
  </si>
  <si>
    <t>ME 556</t>
  </si>
  <si>
    <t>ME 556 Lubrication, Friction, and Wear</t>
  </si>
  <si>
    <t>MGMT 47300</t>
  </si>
  <si>
    <t>MGMT 47300 Data Mining</t>
  </si>
  <si>
    <t>ME 559</t>
  </si>
  <si>
    <t>ME 559 Micromechanics of Materials</t>
  </si>
  <si>
    <t>ME 563</t>
  </si>
  <si>
    <t>ME 56300 Mechanical Vibrations</t>
  </si>
  <si>
    <t>ME 571</t>
  </si>
  <si>
    <t>ME 57100 Reliability Based Design</t>
  </si>
  <si>
    <t>ME 576</t>
  </si>
  <si>
    <t>ME 57600 Computer Control Of Manufacturing Processes</t>
  </si>
  <si>
    <t>ME 578</t>
  </si>
  <si>
    <t>ME 578 Digital Control</t>
  </si>
  <si>
    <t>ME 579</t>
  </si>
  <si>
    <t>ME 579 Digital Signal Processing</t>
  </si>
  <si>
    <t>ME 581</t>
  </si>
  <si>
    <t>ME 581 Numerical Methods in Mechanical Engineering</t>
  </si>
  <si>
    <t>ME 586</t>
  </si>
  <si>
    <t>ME 586 Microprocessors in Electromechanical Systems</t>
  </si>
  <si>
    <t>ME 587</t>
  </si>
  <si>
    <t>ME 587 Engineering Optics</t>
  </si>
  <si>
    <t>ME 588</t>
  </si>
  <si>
    <t>ME 588 Mechatronics</t>
  </si>
  <si>
    <t>ME 597  Artificial Intelligence in Thermal Systems</t>
  </si>
  <si>
    <t>MGMT 47400</t>
  </si>
  <si>
    <t>MGMT 47400 Predictive Analytics</t>
  </si>
  <si>
    <t>MGMT 47900</t>
  </si>
  <si>
    <t>MGMT 47900 Data Visualization</t>
  </si>
  <si>
    <t>ME 68100</t>
  </si>
  <si>
    <t>ME 68100 Finite And Boundary Element Methods</t>
  </si>
  <si>
    <t>MET 43600</t>
  </si>
  <si>
    <t>MET 43600 Pneumatic Motion Control Systems</t>
  </si>
  <si>
    <t>MFET 34100</t>
  </si>
  <si>
    <t>MFET 34100 Process And Continuous Control Applications</t>
  </si>
  <si>
    <t>MFET 35000</t>
  </si>
  <si>
    <t>MFET 35000 Smart Manufacturing Systems Modeling &amp; Simulation</t>
  </si>
  <si>
    <t>MFET 35200</t>
  </si>
  <si>
    <t>MFET 35200 Smart Manufacturing Production Information Systems</t>
  </si>
  <si>
    <t>MFET 36100</t>
  </si>
  <si>
    <t>MFET 36100 Machine Learning and Manufacturing Analytics</t>
  </si>
  <si>
    <t>MFET 36300</t>
  </si>
  <si>
    <t>MFET 36300 Intelligent Manufacturing Systems I</t>
  </si>
  <si>
    <t>MFET 36400</t>
  </si>
  <si>
    <t>MFET 36400 Intelligent Manufacturing Systems II</t>
  </si>
  <si>
    <t>MFET 37400</t>
  </si>
  <si>
    <t>MFET 37400 Manufacturing Integration I</t>
  </si>
  <si>
    <t>CHE 37800</t>
  </si>
  <si>
    <t>CHE 37800 Heat And Mass Transfer</t>
  </si>
  <si>
    <t>CHE 42000</t>
  </si>
  <si>
    <t>CHE 42000 Process Safety Management And Analysis</t>
  </si>
  <si>
    <t>CHE 45600</t>
  </si>
  <si>
    <t>CHE 45600 Process Dynamics And Control</t>
  </si>
  <si>
    <t>CHE 54000</t>
  </si>
  <si>
    <t>CHE 54000 Transport Penomena</t>
  </si>
  <si>
    <t>CHE 54400</t>
  </si>
  <si>
    <t>CHE 54400 Struct &amp; Behav of Polymer Sys</t>
  </si>
  <si>
    <t>CHE 59700 Manufacturing Advanced Composites</t>
  </si>
  <si>
    <t>CHM 11500</t>
  </si>
  <si>
    <t>CHM 11500 General Chemistry-I (UCC: SCI)</t>
  </si>
  <si>
    <t>MGMT 56000</t>
  </si>
  <si>
    <t>MGMT 56000 Manufacturing Planning And Control</t>
  </si>
  <si>
    <t>MGMT 56500</t>
  </si>
  <si>
    <t>MGMT 56500 Strategic Sourcing And Procurement</t>
  </si>
  <si>
    <t>MGMT 56600</t>
  </si>
  <si>
    <t>MGMT 56600 Global Supply Chain Management</t>
  </si>
  <si>
    <t>MGMT 56800</t>
  </si>
  <si>
    <t>MGMT 56800 Supply Chain Analytics</t>
  </si>
  <si>
    <t>MGMT 56900</t>
  </si>
  <si>
    <t>MGMT 56900 Ethical And Sustainable Supply Chain Management</t>
  </si>
  <si>
    <t>MGMT 59000</t>
  </si>
  <si>
    <t>MGMT 59000 Directed Readings In Management</t>
  </si>
  <si>
    <t>MGMT 66000</t>
  </si>
  <si>
    <t>MGMT 66000 Introduction To Operations Management</t>
  </si>
  <si>
    <t>MGMT 66400</t>
  </si>
  <si>
    <t>MGMT 66400 Supply Chain Management</t>
  </si>
  <si>
    <t>MGMT 67000</t>
  </si>
  <si>
    <t>MGMT 67000 Business Analytics</t>
  </si>
  <si>
    <t>CHM 11600</t>
  </si>
  <si>
    <t>CHM 11600 General Chemistry-II (UCC: SCI)</t>
  </si>
  <si>
    <t>MSE 26000</t>
  </si>
  <si>
    <t>MSE 26000 Thermodynamics Of Materials</t>
  </si>
  <si>
    <t>MSE 27000</t>
  </si>
  <si>
    <t>MSE 27000 Atomistic Materials Science</t>
  </si>
  <si>
    <t>CHM 34200</t>
  </si>
  <si>
    <t>CHM 34200 Inorganic Chemistry</t>
  </si>
  <si>
    <t>MSE 33500</t>
  </si>
  <si>
    <t>MSE 33500 Materials Characterization Laboratory</t>
  </si>
  <si>
    <t>CHM 64400</t>
  </si>
  <si>
    <t>CHM 64400 Solid State Chemistry</t>
  </si>
  <si>
    <t>IE 37000</t>
  </si>
  <si>
    <t>IE 37000 Manufacturing Processes I</t>
  </si>
  <si>
    <t>IE 38300</t>
  </si>
  <si>
    <t>IE 38300 Integrated Production Systems I</t>
  </si>
  <si>
    <t>IE 47000</t>
  </si>
  <si>
    <t>IE 47000 Manufacturing Processes II</t>
  </si>
  <si>
    <t>IE 57000</t>
  </si>
  <si>
    <t>IE 57000 Manufacturing Process Engineering</t>
  </si>
  <si>
    <t>MSE 51800</t>
  </si>
  <si>
    <t>MSE 51800 Failure Analysis</t>
  </si>
  <si>
    <t>IE 57900</t>
  </si>
  <si>
    <t>IE 57900 Design And Control Of Production And Manufacturing Systems</t>
  </si>
  <si>
    <t>MSE 53000</t>
  </si>
  <si>
    <t>MSE 53000 Materials Processing In Manufacturing</t>
  </si>
  <si>
    <t>IE 58300</t>
  </si>
  <si>
    <t>IE 58300 Design And Evaluation Of Material Handling Systems</t>
  </si>
  <si>
    <t>ME 363</t>
  </si>
  <si>
    <t>ME 363 Principles And Practices Of Manufacturing Processes</t>
  </si>
  <si>
    <t>MSE 55500</t>
  </si>
  <si>
    <t>MSE 55500 Deformation Mechanisms In Crystalline Solids</t>
  </si>
  <si>
    <t>ME 557</t>
  </si>
  <si>
    <t>ME 557 Design for Manufacturing</t>
  </si>
  <si>
    <t>MSE 23000</t>
  </si>
  <si>
    <t>MSE 23000 Structure &amp; Properties of Materials</t>
  </si>
  <si>
    <t>MSE 33000</t>
  </si>
  <si>
    <t>MSE 33000 Processing And Properties Of Materials</t>
  </si>
  <si>
    <t>MSE 60000</t>
  </si>
  <si>
    <t>MSE 60000 Materials Engineering Fundamentals</t>
  </si>
  <si>
    <t>MSE 36700</t>
  </si>
  <si>
    <t>MSE 36700 Materials Processing Laboratory</t>
  </si>
  <si>
    <t>MSE 37000</t>
  </si>
  <si>
    <t>MSE 37000 Electrical, Optical, And Magnetic Properties Of Materials</t>
  </si>
  <si>
    <t>MSE 49700</t>
  </si>
  <si>
    <t>MSE 49700 Selected Topics In Materials Engineering Electronics Packaging and Heterogeneous Integration  (Cross-listed as ME 597/ECE 595/MSE 497)</t>
  </si>
  <si>
    <t>MSE 50200</t>
  </si>
  <si>
    <t>MSE 50200 Defects in Solids</t>
  </si>
  <si>
    <t>PHYS 323</t>
  </si>
  <si>
    <t>PHYS 323 Research With Big Data I</t>
  </si>
  <si>
    <t>MSE 51000</t>
  </si>
  <si>
    <t>MSE 51000 Microstructural Characterization Techniques</t>
  </si>
  <si>
    <t>MSE 52300</t>
  </si>
  <si>
    <t>MSE 52300 Physical Ceramics</t>
  </si>
  <si>
    <t>MSE 54700</t>
  </si>
  <si>
    <t>MSE 54700 Introduction To Surface Science</t>
  </si>
  <si>
    <t>MSE 54800</t>
  </si>
  <si>
    <t>MSE 54800 Deposition Processing Of Thin Films And Coatings</t>
  </si>
  <si>
    <t>MSE 59700</t>
  </si>
  <si>
    <t>MSE 59700 Magnetic Materials: Physical Properties and Applications</t>
  </si>
  <si>
    <t>MSE 59700 Modeling &amp; Simulation for Materials</t>
  </si>
  <si>
    <t>MSE 59700 Solid State Materials</t>
  </si>
  <si>
    <t>PHYS 570AI</t>
  </si>
  <si>
    <t>PHYS 570AI AI and Physics</t>
  </si>
  <si>
    <t>PHYS 570K</t>
  </si>
  <si>
    <t>PHYS 570K Physics of Low Dimensional Semiconductors</t>
  </si>
  <si>
    <t>NUCL 42001</t>
  </si>
  <si>
    <t>NUCL 42001 Radiation Interaction With Materials And Applications</t>
  </si>
  <si>
    <t>PHYS 580</t>
  </si>
  <si>
    <t>PHYS 580 Computational Physics</t>
  </si>
  <si>
    <t>STAT 51100</t>
  </si>
  <si>
    <t>STAT 51100 Statistical Methods</t>
  </si>
  <si>
    <t>NUCL 52000</t>
  </si>
  <si>
    <t>NUCL 52000 Radiation Effects And Reactor Materials</t>
  </si>
  <si>
    <t>NUCL 55300</t>
  </si>
  <si>
    <t>NUCL 55300 Nano-Macro Scale Applications Of Nuclear Technology</t>
  </si>
  <si>
    <t>PHYS 570P</t>
  </si>
  <si>
    <t>PHYS 570P Physics and Material Science of Semiconductor Nanostructures</t>
  </si>
  <si>
    <t>Certificate Course</t>
  </si>
  <si>
    <t>Automation of IC Design</t>
  </si>
  <si>
    <t>Uncertainty Analysis</t>
  </si>
  <si>
    <t>VLSI Design</t>
  </si>
  <si>
    <t>Certificate?</t>
  </si>
  <si>
    <t>Primary Certificate Category</t>
  </si>
  <si>
    <t>Course Description</t>
  </si>
  <si>
    <t>Pre-Requisites</t>
  </si>
  <si>
    <t>Catalog Link</t>
  </si>
  <si>
    <t>Secondary Certificate Category</t>
  </si>
  <si>
    <t>ME 597 Introduction to Electronics Packaging and Heterogeneous Integration</t>
  </si>
  <si>
    <t>ECE 59500 Introduction to Electronics Packaging and Heterogeneous Integration</t>
  </si>
  <si>
    <t>MSE 49700 Selected Topics In Materials Engineering Electronics Packaging and Heterogeneous Integration</t>
  </si>
  <si>
    <t>Taken in 2026 or later</t>
  </si>
  <si>
    <t>Taken in 2025 or earlier</t>
  </si>
  <si>
    <t>Experiential learning</t>
  </si>
  <si>
    <t>Intro to Semiconductor Manufacturing</t>
  </si>
  <si>
    <t>ECE 39595 Semiconductor Manufacturing Process Integration</t>
  </si>
  <si>
    <t>ECE 39595 Semiconductor Manufacturing Unit Process</t>
  </si>
  <si>
    <t>ECE 39595 Statistical Process Control in Semiconductor Manufacturing</t>
  </si>
  <si>
    <t>This course introduces the principles and practices of modern semiconductor manufacturing. The course is organized into three modules covering semiconductor unit processes, process integration, and statistical process control (SPC). In the first module, students learn the fundamentals of key fabrication processes such as oxidation, lithography, etching, deposition, doping, and interconnect formation. Each module is offered as a one-credit course, and students may take individual modules or complete all three modules for a total of three credit hours. The goal of the course is to develop a systems-level understanding of semiconductor fabrication and to provide the background needed for work in semiconductor research and industry.</t>
  </si>
  <si>
    <t>This course introduces the principles and practices of modern semiconductor manufacturing. The course is organized into three modules covering semiconductor unit processes, process integration, and statistical process control (SPC). In the second module, students examine process integration and learn how individual unit processes are combined to realize a complete CMOS fabrication flow. Each module is offered as a one-credit course, and students may take individual modules or complete all three modules for a total of three credit hours. The goal of the course is to develop a systems-level understanding of semiconductor fabrication and to provide the background needed for work in semiconductor research and industry.</t>
  </si>
  <si>
    <t>This course introduces the principles and practices of modern semiconductor manufacturing. The course is organized into three modules covering semiconductor unit processes, process integration, and statistical process control (SPC).  In the third module, students are introduced to statistical process control and manufacturing variability, with emphasis on process monitoring, data analysis, and yield improvement. Each module is offered as a one-credit course, and students may take individual modules or complete all three modules for a total of three credit hours. The goal of the course is to develop a systems-level understanding of semiconductor fabrication and to provide the background needed for work in semiconductor research and industry.</t>
  </si>
  <si>
    <t>Course #</t>
  </si>
  <si>
    <t>ECE 27000 [min C]</t>
  </si>
  <si>
    <t>None</t>
  </si>
  <si>
    <t>ECE 20002 [min D-]</t>
  </si>
  <si>
    <t>Graduate standing (GR)</t>
  </si>
  <si>
    <t>Prerequisites</t>
  </si>
  <si>
    <t>(ENGR 13000 [min D-] or ENGR 13100 [min D-] or ENGR 14100 [min D-] or ENGR 16100 [min D-] or ENGR 13300 [min D-] or ENGR 19600 [min D-]) and ((ENGR 16100 [min D-] and ENGR 16200 [min D-]) or PHYS 17200 [min D-] or PHYS 15200 [min D-]) and (MA 16600 [min C-] or MA 16200 [min C-] or MATH 16600 [min C-]) and (MA 26100 [min D-, conc] or MA 17400 [min D-, conc] or MA 18200 [min D-, conc] or MA 27101 [min D-, conc])</t>
  </si>
  <si>
    <t>ECE 20001 [min C] and (MA 26200 [min D-, conc] or MA 26600 [min D-, conc] or MA 36600 [min D-, conc])</t>
  </si>
  <si>
    <t>(ECE 20002 [min D-] or ECE 25500 [min D-]) and (PHYS 27200 [min D-] or PHYS 24100 [min D-] or PHYS 26100 [min D-] or PHYS 25100 [min D-]) and (MA 26600 [min D-] or MA 26200 [min D-] or MA 36600 [min D-])</t>
  </si>
  <si>
    <t>(ECE 20008 [min D-] or ECE 20800 [min D-]) and ECE 30100 [min D-, conc] and ECE 30200 [min D-, conc]</t>
  </si>
  <si>
    <t>MA 26100 [min D-] and (MA 26600 [min D-] or MA 26200 [min D-]) and (PHYS 27200 [min D-] or PHYS 24100 [min D-]) and (CHM 11500 [min D-] or (CHM 11100 [min D-] and CHM 11200 [min D-]))</t>
  </si>
  <si>
    <t>ECE 20002 [min D-] or ECE 25500 [min D-]</t>
  </si>
  <si>
    <t>ECE 27000 [min C] and (ENGR 11700 [min D-] or CS 15900 [min D-])</t>
  </si>
  <si>
    <t>ECE 20002 [min D-] and ECE 30500 [min D-, conc]</t>
  </si>
  <si>
    <t>ECE 33700 [min D-] and ECE 36200 [min D-]</t>
  </si>
  <si>
    <t>(MA 26600 [min D-] and MA 26500 [min D-]) or MA 26200 [min D-]</t>
  </si>
  <si>
    <t>(ECE 20002 [min D-] or (ECE 20200 [min D-] and ECE 25500 [min D-])) and ECE 30500 [min D-, conc]</t>
  </si>
  <si>
    <t>(ECE 20002 [min D-] or (ECE 20200 [min D-] and ECE 25500 [min D-])) and ECE 27000 [min D-] and ECE 30500 [min D-]</t>
  </si>
  <si>
    <t>Graduate standing (GR) or ECE 30500 [min D-] or MSE 37000 [min D-] or ME 31500 [min D-] or ME 36300 [min D-] or CHE 37800 [min D-] or PHYS 33000 [min D-] or CHM 37000 [min D-]</t>
  </si>
  <si>
    <t>Graduate standing (GR) or (CHM 11500 [min D-] and (PHYS 24100 [min D-] or PHYS 27200 [min D-]) and (MA 26200 [min D-] or MA 26600 [min D-]))</t>
  </si>
  <si>
    <t>Graduate standing (GR) or ECE 30500 [min D-] or ECE 50641 [min D-]</t>
  </si>
  <si>
    <t>Graduate standing (GR) or MA 26200 [min D-] or (MA 26500 [min D-] and MA 26600 [min D-])</t>
  </si>
  <si>
    <t>Graduate standing (GR) or ECE 25500 [min D-]</t>
  </si>
  <si>
    <t>Graduate standing (GR) or ECE 36800 [cannot be taken concurrently]</t>
  </si>
  <si>
    <t>Graduate standing (GR) or (ECE 30100 [min D-] and ECE 31100 [min D-])</t>
  </si>
  <si>
    <t>Graduate standing (GR) or ECE 30500 [min D-]</t>
  </si>
  <si>
    <t>Graduate standing (GR) or (ECE 30500 [min D-] and ECE 43700 [min D-])</t>
  </si>
  <si>
    <t>Graduate standing (GR) or ECE 43700 [min D-]</t>
  </si>
  <si>
    <t>(ENGR 12100 [min D-] or ENFY 12600 [min D-] or ENGR 12600 [min D-] or ENFY 13100 [min D-] or ENGR 13100 [min D-] or ENGR 13000 [min D-] or VIP 17911 [min D-] or ENGR 17911 [min D-] or ENGR 16100 [min D-] or EPCS 11100 [min D-] or EPCS 12100 [min D-] or ENFY 19500 [min D-] or ENGR 19500 [min D-] or ENGR 14100 [min D-] or ENGR 16100 [min D-]) and (PHYS 17200 [min D-] or (PHYS 16200 [min D-] and PHYS 16300 [min D-]) or ENGR 16200 [min D-]) and (MA 16100 [min C-] or MA 16700 [min C-] or MA 16300 [min C-] or MATH 16300 [min C-] or MA 16500 [min C-]) and ((CHM 11610 [min D-, conc] and CHM 11620 [min D-, conc]) or CHM 11600 [min D-, conc] or CHM 13600 [min D-] or CHM 12400 [min D-, conc] or CHM 12600 [min D-, conc] or CHM 11000 [min D-, conc])</t>
  </si>
  <si>
    <t>CHE 20500 [min C] and (MA 26100 [min C-] or MATH 26100 [min C-] or MA 18200 [min C-] or MA 17400 [min C-] or MA 27100 [min C-] or MA 26300 [min C-] or MA 17200 [min C-])</t>
  </si>
  <si>
    <t>CHE 20500 [min C] and CHE 21100 [min C-]</t>
  </si>
  <si>
    <t>(CHE 20500 [min C] or ABE 20100 [min D-]) and MA 26100 [min C-, conc] and (CHM 26100 [min D-] or CHM 25500 [min D-, conc] or CHM 25700 [min D-, conc]) and (MA 26200 [min C-, conc] or MATH 26200 [min C-] or MA 26500 [min C-, conc] or MA 35100 [min C-, conc])</t>
  </si>
  <si>
    <t>CHE 21100 [min C-] and (MA 26600 [min C-, conc] or MA 30300 [min C-, conc] or MA 36600 [min C-, conc] or ME 58100 [min D-, conc] or MA 51400 [min C-, conc])</t>
  </si>
  <si>
    <t>CHE 21100 [min C-] and (MA 26600 [min C-, conc] or MA 30300 [min C-, conc] or MA 36600 [min C-, conc] or MA 51400 [min C-, conc] or ME 58100 [min D-, conc])</t>
  </si>
  <si>
    <t>CHE 21100 [min C-] and CHE 37700 [min C-]</t>
  </si>
  <si>
    <t>CHE 34800 [min C-, conc] and CHE 37800 [min C-, conc]</t>
  </si>
  <si>
    <t>CHE 32000 [min C-] and CHE 34800 [min C-] and CHE 37800 [min C-] and CHE 30600 [min C-]</t>
  </si>
  <si>
    <t>CHE 30600 [min C-] and CHE 37800 [min C-] and CHE 42000 [min D-] and CHE 45600 [min D-] and CHE 43500 [min D-, conc]</t>
  </si>
  <si>
    <t>CHE 37700 [min C-] and CHE 34800 [min C-, conc] and CHE 37800 [min C-, conc]</t>
  </si>
  <si>
    <t>CHE 37800 [min D-] or Graduate standing (GR)</t>
  </si>
  <si>
    <t>Graduate standing (GR) or CHE 34800 [min D-]</t>
  </si>
  <si>
    <t>Graduate standing (GR) or (CHM 26200 [min D-] and CHM 37000 [min D-])</t>
  </si>
  <si>
    <t>Graduate standing (GR) or (CHE 30600 [min D-] and CHE 37800 [min D-])</t>
  </si>
  <si>
    <t>CHM 26100 or CHM 25500 or CHM 25700 or Graduate standing (GR)</t>
  </si>
  <si>
    <t>ALEKS Math Assessment &gt;= 075 or SAT Mathematics &gt;= 620 or ACT Math &gt;= 26 or (MA 15300 [min C-] or MA 15800 [min C-] or MA 16010 [min C-] or MA 16100 [min C-] or MA 16500 [min C-] or MA 16200 [min C-] or MA 16600 [min C-] or MA 22300 [min C-] or MA 22400 [min C-] or MA 23100 [min C-] or MA 23200 [min C-])</t>
  </si>
  <si>
    <t>CHM 11500 [min C-] or CHM 12500 [min C-] or CHM 12901 [min C-]</t>
  </si>
  <si>
    <t>CHM 11600 [min C-] or CHM 12600 [min C-] or CHM 12901 [min C-] or CHM 13600 [min C-]</t>
  </si>
  <si>
    <t>CHM 26100 [min C-] or CHM 26505 [min C-]</t>
  </si>
  <si>
    <t>(CHM 11600 [min C-] or CHM 12600 [min C-] or CHM 12901 [min C-] or CHM 13600 [min C-]) and (MA 16020 [min C-] or MA 16200 [min C-] or MA 16600 [min C-] or MA 17300 [min C-] or MA 18100 [min C-] or MA 22400 [min C-] or MA 23200 [min C-])</t>
  </si>
  <si>
    <t>(CHM 11600 [min C-] or CHM 12600 [min C-] or CHM 12901 [min C-] or CHM 13600 [min C-]) and (CHM 24100 [min C-, conc] or CHM 26100 [min C-, conc] or CHM 25500 [min C-, conc] or CHM 25700 [min C-, conc] or CHM 26505 [min C-, conc])</t>
  </si>
  <si>
    <t>(CHM 11600 [min C-] or CHM 12600 [min C-] or CHM 12901 [min C-] or CHM 13600 [min C-]) and (MA 26100 [min C-] or MA 17400 [min C-] or MA 18200 [min C-] or MA 27100 [min C-] or MA 27101 [min C-]) and (PHYS 17200 [min C-] or PHYS 22000 [min C-] or PHYS 15200 [min C-] or PHYS 24100 [min C-] or PHYS 25100 [min C-] or PHYS 26100 [min C-] or PHYS 27200 [min C-])</t>
  </si>
  <si>
    <t>CHM 37300 [min C-, conc]</t>
  </si>
  <si>
    <t>CHM 37300 [min C-]</t>
  </si>
  <si>
    <t>(CHM 37301 [min C-] or CHM 37201 [min C-]) and CHM 37400 [min C-, conc]</t>
  </si>
  <si>
    <t>(CHM 32100 [min C-] or CHM 22400 [min C-]) and (CHM 37300 [min C-, conc] or CHM 37200 [min C-, conc] or CHE 32000 [min C-, conc])</t>
  </si>
  <si>
    <t>(CHM 26200 [min C-] or CHM 26605 [min C-]) and (CHM 26400 [min C-] or CHM 26800 [min C-] or CHM 26605 [min C-])</t>
  </si>
  <si>
    <t>CHM 58100 [min C-, conc]</t>
  </si>
  <si>
    <t>CHM 37400 [min C-] or Graduate standing (GR)</t>
  </si>
  <si>
    <t>ECET 17700 [min C-] or ECET 12000 [min C-] or ECET 22400 [min C-]</t>
  </si>
  <si>
    <t>ECET 17900 [min C-]</t>
  </si>
  <si>
    <t>ECET 22900 [min C-] or ECET 27900 [min C-]</t>
  </si>
  <si>
    <t>ECET 22400 [min C-] or (ECET 27700 [min C-] and ECET 22700 [min C-]) or ECET 27200 [min C-] or ECE 27000 [min C-]</t>
  </si>
  <si>
    <t>(ECET 22900 [min C-] or ECET 27900 [min C-]) and (PHYS 21900 [min D-] or PHYS 24100 [min D-] or PHYS 27200 [min D-] or PHYS 22100 [min D-])</t>
  </si>
  <si>
    <t>ECET 22400 [min C-] or (ECET 22700 [min C-] and ECET 27700 [min C-]) or ECET 27200 [min C-] or ECE 27000 [min C-]</t>
  </si>
  <si>
    <t>ECET 33300 [min C-] or ECET 33900 [min C-]</t>
  </si>
  <si>
    <t>(ME 27000 [min D-] or AAE 20300 [min D-]) and (NUCL 27300 [min D-, conc] or AAE 20400 [min D-, conc] or ME 32300 [min D-, conc])</t>
  </si>
  <si>
    <t>IE 33500 [min D-]</t>
  </si>
  <si>
    <t>IE 33000 [min D-] or STAT 51100 [min D-]</t>
  </si>
  <si>
    <t>IE 37000 [min D-]</t>
  </si>
  <si>
    <t>IE 38300 [min D-]</t>
  </si>
  <si>
    <t>IE 38600 [min D-]</t>
  </si>
  <si>
    <t>Student Attribute: GR or (IE 33000 [min D-] and IE 33600 [min D-])</t>
  </si>
  <si>
    <t>Student Attribute: GR or IE 33000 [min D-] or STAT 51100 [min D-] or STAT 35000 [min D-]</t>
  </si>
  <si>
    <t>Student Attribute: GR or IE 38600 [min D-]</t>
  </si>
  <si>
    <t>Student Attribute: GR or IE 38300 [min D-, conc]</t>
  </si>
  <si>
    <t>Student Attribute: GR or IE 37000 [min D-]</t>
  </si>
  <si>
    <t>Student Attribute: GR or IE 38300 [min D-]</t>
  </si>
  <si>
    <t>Student Attribute: GR or IE 48400 [min D-]</t>
  </si>
  <si>
    <t>IE 34300</t>
  </si>
  <si>
    <t>Graduate standing (GR) or (ECE 30500 [min D-] or MSE 37000 [min D-] or ME 31500 [min D-] or ME 36300 [min D-] or CHE 37800 [min D-] or PHYS 33000 [min D-] or CHM 37000 [min D-])</t>
  </si>
  <si>
    <t>ME 36300</t>
  </si>
  <si>
    <t>(ME 26300 [min C-] or ME 26301 [min C-] or ME 27400 [min C-]) and (ME 32300 [min C-, conc] or ME 32301 [min C-, conc])</t>
  </si>
  <si>
    <t>ME 41500</t>
  </si>
  <si>
    <t>ME 41300 [min D-] or ME 46300 [min D-]</t>
  </si>
  <si>
    <t>ME 44400</t>
  </si>
  <si>
    <t>ME 26300 [min D-] or ME 26301 [min D-] or CGT 16300 [min D-] or CGT 16400 [min D-] or ME 16000 [min D-]</t>
  </si>
  <si>
    <t>ME 47500</t>
  </si>
  <si>
    <t>(ME 36500 [min C-] or ECE 20001 [min C-] or ME 36501 [min C-]) and (ME 37500 [min C-, conc] or ME 37501 [min C-, conc])</t>
  </si>
  <si>
    <t>ME 48900</t>
  </si>
  <si>
    <t>ME 30900 [min C-] or ME 30901 [min C-] or ABE 30800 [min C-] or BME 30500 [min C-] or CHE 37700 [min C-]</t>
  </si>
  <si>
    <t>ME 31500 [min C-] or ME 31501 [min C-]</t>
  </si>
  <si>
    <t>ME 50600</t>
  </si>
  <si>
    <t>(ME 30900 [min C-] or ME 30901 [min C-]) and (ME 31500 [min C-] or ME 31501 [min C-])</t>
  </si>
  <si>
    <t>ME 51800</t>
  </si>
  <si>
    <t>(ME 30000 [min D-] or ME 20000 [min D-]) and (ME 30900 [min D-] or ME 30901 [min D-]) and (ME 31500 [min D-] or ME 31501 [min D-])</t>
  </si>
  <si>
    <t>ME 52200</t>
  </si>
  <si>
    <t>(ME 30000 [min C-] or ME 20000 [min C-]) and (ME 31500 [min C-] or ME 31501 [min C-])</t>
  </si>
  <si>
    <t>ME 54100</t>
  </si>
  <si>
    <t>ME 37500 [min C-] or ME 37501 [min C-]</t>
  </si>
  <si>
    <t>ME 55300</t>
  </si>
  <si>
    <t>MA 26200 [min D-] or MA 26500 [min D-] or MA 26600 [min D-]</t>
  </si>
  <si>
    <t>ME 55600</t>
  </si>
  <si>
    <t>(ME 30900 [min C-] or ME 30901 [min C-]) and (ME 32300 [min C-] or ME 32301 [min C-])</t>
  </si>
  <si>
    <t>ME 55700</t>
  </si>
  <si>
    <t>ME 36300 [min C-] or ME 26300 [min C-] or ME 26301 [min C-]</t>
  </si>
  <si>
    <t>ME 55900</t>
  </si>
  <si>
    <t>ME 32300 [min C-] or ME 32301 [min C-] or MSE 23000 [min C-]</t>
  </si>
  <si>
    <t>ME 56300</t>
  </si>
  <si>
    <t>ME 57100</t>
  </si>
  <si>
    <t>MA 26200 [min C-] or MA 26500 [min C-] or MA 26600 [min C-]</t>
  </si>
  <si>
    <t>ME 57600</t>
  </si>
  <si>
    <t>ME 47500 [min D-] or ECE 38200 [min D-] or ECE 47500 [min D-] or ABE 46000 [min D-]</t>
  </si>
  <si>
    <t>ME 57800</t>
  </si>
  <si>
    <t>ME 47500 [min C-] or ECE 38200 [min C-] or ECE 47500 [min C-] or ABE 46000 [min C-]</t>
  </si>
  <si>
    <t>ME 57900</t>
  </si>
  <si>
    <t>ME 36500 [min C-] or ME 36501 [min C-] or ECE 30100 [min C-]</t>
  </si>
  <si>
    <t>ME 58100</t>
  </si>
  <si>
    <t>ME 58600</t>
  </si>
  <si>
    <t>ME 36500 [min C-] or ME 36501 [min C-] or ECE 20001 [min C-] or ECE 20100 [min C-]</t>
  </si>
  <si>
    <t>ME 58700</t>
  </si>
  <si>
    <t>MA 26200 [min C-] or (MA 26500 [min C-] and MA 26600 [min C-])</t>
  </si>
  <si>
    <t>ME 58800</t>
  </si>
  <si>
    <t>(ME 37500 [min C-] or ME 37501 [min C-] or ECE 30100 [min C-] or ABE 46000 [min C-]) and (MA 26200 [min C-] or MA 26500 [min C-])</t>
  </si>
  <si>
    <t>ME 58100 [min C-] or ME 50900 [min C-] or ME 56200 [min C-] or ME 57000 [min C-] or AAE 54700 [min C-] or CE 57000 [min C-]</t>
  </si>
  <si>
    <t>MET 23000 [min D-] and MET 33000 [min D-]</t>
  </si>
  <si>
    <t>MFET 24800 [min D-] or ECET 22400 [min D-]</t>
  </si>
  <si>
    <t>MFET 24800 [min D-] or MFET 34800 [min D-]</t>
  </si>
  <si>
    <t>MFET 35000 [min D-]</t>
  </si>
  <si>
    <t>MFET 26100 [min D-] or MET 14200 [min D-] or MET 24200 [min D-]</t>
  </si>
  <si>
    <t>(MFET 26100 [min D-] or MET 14200 [min D-] or MET 24200 [min D-]) and (MET 21400 [min D-] or MET 21100 [min D-])</t>
  </si>
  <si>
    <t>STAT 30100 [min D-] or STAT 50100 [min D-] or MET 34600 [min D-]</t>
  </si>
  <si>
    <t>MGMT 20100 [min D-] or MGMT 25400 [min D-]</t>
  </si>
  <si>
    <t>MGMT 30500 [min D-]</t>
  </si>
  <si>
    <t>MGMT 46300 [min C-] or MGMT 46100 [min C-]</t>
  </si>
  <si>
    <t>MGMT 20100 [min C-] or MGMT 25400 [min C-] or MGMT 46100 [min C-]</t>
  </si>
  <si>
    <t>MGMT 31000 [min C-] or MGMT 30400 [min C-]</t>
  </si>
  <si>
    <t>(MGMT 31000 [min C-] or MGMT 30400 [min C-]) and (MGMT 47400 [min C-] or MGMT 47300 [min C-] or MGMT 47500 [min C-])</t>
  </si>
  <si>
    <t>MGMT 36100 [min C-] or MGMT 66000 [min C-]</t>
  </si>
  <si>
    <t>MGMT 67000 [min C-]</t>
  </si>
  <si>
    <t>MGMT 66000 [min C-]</t>
  </si>
  <si>
    <t>(CHM 11500 [min C-] or CHM 11600 [min C-] or CHM 12500 [min C-] or CHM 12901 [min C-] or CHM 13500 [min C-] or CHM 13600 [min C-] or CHM 11100 [min C-] or CHM 11200 [min C-]) and (PHYS 17200 [min C-] or PHYS 15200 [min C-])</t>
  </si>
  <si>
    <t>(MSE 23000 [min C-, conc] or MSE 23500 [min C-, conc]) and (MA 16200 [min C-] or MA 16600 [min C-] or MATH 16600 [min C-] or MA 17300 [min C-] or MA 18200 [min C-] or MA 26100 [min C-, conc] or MATH 26100 [min C-, conc] or MA 27101 [min C-, conc])</t>
  </si>
  <si>
    <t>(MSE 23000 [min C-] or MSE 23500 [min C-]) and (MA 16200 [min C-] or MA 16600 [min C-] or MATH 16600 [min C-] or MA 17300 [min C-] or MA 18200 [min C-]) and (CHM 11600 [min C-] or CHM 12400 [min C-] or CHM 12600 [min C-] or CHM 13600 [min C-] or CHM 12901 [min C-] or CHM 11200 [min C-])</t>
  </si>
  <si>
    <t>MSE 26000 [min C-] and MSE 27000 [min C-]</t>
  </si>
  <si>
    <t>MSE 33000 [min C-, conc] and MSE 33500 [min C-, conc]</t>
  </si>
  <si>
    <t>MSE 26000 [min C-] and MSE 27000 [min C-] and (PHYS 24100 [min C-] or PHYS 27200 [min C-] or PHYS 25100 [min C-])</t>
  </si>
  <si>
    <t>MSE 49800 [min C-] or MSE 49900 [min C-]</t>
  </si>
  <si>
    <t>MSE 23000 [min C-] or MSE 23500 [min C-] or CHM 25500 [min C-] or CHM 26100 [min C-] or CHE 30600 [min C-]</t>
  </si>
  <si>
    <t>MSE 27000 [min C-] or MSE 33500 [min C-]</t>
  </si>
  <si>
    <t>(MSE 23000 [min C-] or MSE 23500 [min C-]) and ME 27000 [min C-]</t>
  </si>
  <si>
    <t>MSE 26000 [min C-] or MSE 27000 [min C-]</t>
  </si>
  <si>
    <t>(CHM 25500 [min C-] or CHM 26100 [min C-]) and (CHM 37000 [min C-] or CHM 37300 [min C-] or MSE 26000 [min C-] or CHE 30600 [min C-])</t>
  </si>
  <si>
    <t>CHM 25600 [min C-] or CHM 26200 [min C-]</t>
  </si>
  <si>
    <t>MSE 26000 [min C-] or CHE 30600 [min C-] or ME 20000 [min C-] or CHM 37300 [min C-]</t>
  </si>
  <si>
    <t>NUCL 32000 [min D-] and (NUCL 31000 [min D-] or NUCL 30000 [min D-])</t>
  </si>
  <si>
    <t>NUCL 20000 [min C-] or PHYS 24100 [min C-] or PHYS 27200 [min C-]</t>
  </si>
  <si>
    <t>NUCL 45000 [min C-] or NUCL 50100 [min C-]</t>
  </si>
  <si>
    <t>PHYS 32200</t>
  </si>
  <si>
    <t>(PHYS 24100 [min C-] or PHYS 27200 [min C-] or PHYS 25100 [min C-] or PHYS 26100 [min C-]) and (MA 26100 [min C-] or MATH 26100 [min C-] or MA 27101 [min C-])</t>
  </si>
  <si>
    <t>PHYS 32300</t>
  </si>
  <si>
    <t>PHYS 32200 [min C-] and (MA 26200 [min C-] or MA 26600 [min C-])</t>
  </si>
  <si>
    <t>PHYS 34900</t>
  </si>
  <si>
    <t>PHYS 42200</t>
  </si>
  <si>
    <t>PHYS 44500</t>
  </si>
  <si>
    <t>(PHYS 34200 [min C-] or PHYS 34400 [min C-]) and (PHYS 42200 [min C-] or PHYS 34000 [min C-] or PHYS 34900 [min C-])</t>
  </si>
  <si>
    <t>PHYS 45000</t>
  </si>
  <si>
    <t>PHYS 52600</t>
  </si>
  <si>
    <t>(PHYS 34200 [min C-] or PHYS 34400 [min C-] or ECE 60400 [min C-] or ECE 60600 [min C-]) and (MA 26200 [min C-] or MA 26600 [min C-])</t>
  </si>
  <si>
    <t>PHYS 53600</t>
  </si>
  <si>
    <t>PHYS 24100 [min C-] or PHYS 27200 [min C-] or PHYS 25100 [min C-] or PHYS 26100 [min C-]</t>
  </si>
  <si>
    <t>PHYS 54500</t>
  </si>
  <si>
    <t>PHYS 55000 [min C-]</t>
  </si>
  <si>
    <t>PHYS 58000</t>
  </si>
  <si>
    <t>PHYS 32200 [min C-] and (PHYS 34200 [min C-] or PHYS 34400 [min C-]) and (PHYS 33000 [min C-] or PHYS 34000 [min C-] or PHYS 34900 [min C-])</t>
  </si>
  <si>
    <t>MA 16200 [min C-] or MA 16600 [min C-] or MATH 16600 [min C-] or MA 17300 [min C-] or MA 18200 [min C-]</t>
  </si>
  <si>
    <t>Check course registration system</t>
  </si>
  <si>
    <t>This course will explore the basic physics and material properties of modern semiconductor nanostructures. Particular emphasis will be placed on fabrication techniques for semiconducting quantum wells, wires, and dots. Fundamental and practical aspects of molecular beam epitaxy and chemical vapor deposition will be covered. State-of-the-art nanomaterial structural characterization techniques will be reviewed. The impact of reduced dimensionality on the electrical and optical properties of nanostructures will be studied. The close connection between fundamental physics and the implementation of new device concepts will be illustrated in some detail with examples from photonic devices.</t>
  </si>
  <si>
    <t>https://selfservice.mypurdue.purdue.edu/prod/bwckctlg.p_disp_course_detail?cat_term_in=202710&amp;subj_code_in=CHE&amp;crse_numb_in=20500</t>
  </si>
  <si>
    <t>https://selfservice.mypurdue.purdue.edu/prod/bwckctlg.p_disp_course_detail?cat_term_in=202710&amp;subj_code_in=CHE&amp;crse_numb_in=21100</t>
  </si>
  <si>
    <t>https://selfservice.mypurdue.purdue.edu/prod/bwckctlg.p_disp_course_detail?cat_term_in=202710&amp;subj_code_in=CHE&amp;crse_numb_in=30600</t>
  </si>
  <si>
    <t>https://selfservice.mypurdue.purdue.edu/prod/bwckctlg.p_disp_course_detail?cat_term_in=202710&amp;subj_code_in=CHE&amp;crse_numb_in=32000</t>
  </si>
  <si>
    <t>https://selfservice.mypurdue.purdue.edu/prod/bwckctlg.p_disp_course_detail?cat_term_in=202710&amp;subj_code_in=CHE&amp;crse_numb_in=34800</t>
  </si>
  <si>
    <t>https://selfservice.mypurdue.purdue.edu/prod/bwckctlg.p_disp_course_detail?cat_term_in=202710&amp;subj_code_in=CHE&amp;crse_numb_in=37700</t>
  </si>
  <si>
    <t>https://selfservice.mypurdue.purdue.edu/prod/bwckctlg.p_disp_course_detail?cat_term_in=202710&amp;subj_code_in=CHE&amp;crse_numb_in=37800</t>
  </si>
  <si>
    <t>https://selfservice.mypurdue.purdue.edu/prod/bwckctlg.p_disp_course_detail?cat_term_in=202710&amp;subj_code_in=CHE&amp;crse_numb_in=42000</t>
  </si>
  <si>
    <t>https://selfservice.mypurdue.purdue.edu/prod/bwckctlg.p_disp_course_detail?cat_term_in=202710&amp;subj_code_in=CHE&amp;crse_numb_in=43500</t>
  </si>
  <si>
    <t>https://selfservice.mypurdue.purdue.edu/prod/bwckctlg.p_disp_course_detail?cat_term_in=202710&amp;subj_code_in=CHE&amp;crse_numb_in=45000</t>
  </si>
  <si>
    <t>https://selfservice.mypurdue.purdue.edu/prod/bwckctlg.p_disp_course_detail?cat_term_in=202710&amp;subj_code_in=CHE&amp;crse_numb_in=45600</t>
  </si>
  <si>
    <t>https://selfservice.mypurdue.purdue.edu/prod/bwckctlg.p_disp_course_detail?cat_term_in=202710&amp;subj_code_in=CHE&amp;crse_numb_in=53600</t>
  </si>
  <si>
    <t>https://selfservice.mypurdue.purdue.edu/prod/bwckctlg.p_disp_course_detail?cat_term_in=202710&amp;subj_code_in=CHE&amp;crse_numb_in=53800</t>
  </si>
  <si>
    <t>https://selfservice.mypurdue.purdue.edu/prod/bwckctlg.p_disp_course_detail?cat_term_in=202710&amp;subj_code_in=CHE&amp;crse_numb_in=54000</t>
  </si>
  <si>
    <t>https://selfservice.mypurdue.purdue.edu/prod/bwckctlg.p_disp_course_detail?cat_term_in=202710&amp;subj_code_in=CHE&amp;crse_numb_in=54300</t>
  </si>
  <si>
    <t>https://selfservice.mypurdue.purdue.edu/prod/bwckctlg.p_disp_course_detail?cat_term_in=202710&amp;subj_code_in=CHE&amp;crse_numb_in=54400</t>
  </si>
  <si>
    <t>https://selfservice.mypurdue.purdue.edu/prod/bwckctlg.p_disp_course_detail?cat_term_in=202710&amp;subj_code_in=CHE&amp;crse_numb_in=55000</t>
  </si>
  <si>
    <t>https://selfservice.mypurdue.purdue.edu/prod/bwckctlg.p_disp_course_detail?cat_term_in=202710&amp;subj_code_in=CHE&amp;crse_numb_in=55500</t>
  </si>
  <si>
    <t>https://selfservice.mypurdue.purdue.edu/prod/bwckctlg.p_disp_course_detail?cat_term_in=202710&amp;subj_code_in=CHE&amp;crse_numb_in=55700</t>
  </si>
  <si>
    <t>https://selfservice.mypurdue.purdue.edu/prod/bwckctlg.p_disp_course_detail?cat_term_in=202710&amp;subj_code_in=CHE&amp;crse_numb_in=55800</t>
  </si>
  <si>
    <t>https://selfservice.mypurdue.purdue.edu/prod/bwckctlg.p_disp_course_detail?cat_term_in=202710&amp;subj_code_in=CHE&amp;crse_numb_in=56400</t>
  </si>
  <si>
    <t>https://selfservice.mypurdue.purdue.edu/prod/bwckctlg.p_disp_course_detail?cat_term_in=202710&amp;subj_code_in=CHE&amp;crse_numb_in=59700</t>
  </si>
  <si>
    <t>https://selfservice.mypurdue.purdue.edu/prod/bwckctlg.p_disp_course_detail?cat_term_in=202710&amp;subj_code_in=CHE&amp;crse_numb_in=59700A</t>
  </si>
  <si>
    <t>https://selfservice.mypurdue.purdue.edu/prod/bwckctlg.p_disp_course_detail?cat_term_in=202710&amp;subj_code_in=CHE&amp;crse_numb_in=59700B</t>
  </si>
  <si>
    <t>https://selfservice.mypurdue.purdue.edu/prod/bwckctlg.p_disp_course_detail?cat_term_in=202710&amp;subj_code_in=CHE&amp;crse_numb_in=59700C</t>
  </si>
  <si>
    <t>https://selfservice.mypurdue.purdue.edu/prod/bwckctlg.p_disp_course_detail?cat_term_in=202710&amp;subj_code_in=CHE&amp;crse_numb_in=59700N</t>
  </si>
  <si>
    <t>https://selfservice.mypurdue.purdue.edu/prod/bwckctlg.p_disp_course_detail?cat_term_in=202710&amp;subj_code_in=CHE&amp;crse_numb_in=59700Q</t>
  </si>
  <si>
    <t>https://selfservice.mypurdue.purdue.edu/prod/bwckctlg.p_disp_course_detail?cat_term_in=202710&amp;subj_code_in=CHE&amp;crse_numb_in=59700S</t>
  </si>
  <si>
    <t>https://selfservice.mypurdue.purdue.edu/prod/bwckctlg.p_disp_course_detail?cat_term_in=202710&amp;subj_code_in=CHM&amp;crse_numb_in=11500</t>
  </si>
  <si>
    <t>https://selfservice.mypurdue.purdue.edu/prod/bwckctlg.p_disp_course_detail?cat_term_in=202710&amp;subj_code_in=CHM&amp;crse_numb_in=11600</t>
  </si>
  <si>
    <t>https://selfservice.mypurdue.purdue.edu/prod/bwckctlg.p_disp_course_detail?cat_term_in=202710&amp;subj_code_in=CHM&amp;crse_numb_in=22404</t>
  </si>
  <si>
    <t>https://selfservice.mypurdue.purdue.edu/prod/bwckctlg.p_disp_course_detail?cat_term_in=202710&amp;subj_code_in=CHM&amp;crse_numb_in=24100</t>
  </si>
  <si>
    <t>https://selfservice.mypurdue.purdue.edu/prod/bwckctlg.p_disp_course_detail?cat_term_in=202710&amp;subj_code_in=CHM&amp;crse_numb_in=26100</t>
  </si>
  <si>
    <t>https://selfservice.mypurdue.purdue.edu/prod/bwckctlg.p_disp_course_detail?cat_term_in=202710&amp;subj_code_in=CHM&amp;crse_numb_in=26200</t>
  </si>
  <si>
    <t>https://selfservice.mypurdue.purdue.edu/prod/bwckctlg.p_disp_course_detail?cat_term_in=202710&amp;subj_code_in=CHM&amp;crse_numb_in=32100</t>
  </si>
  <si>
    <t>https://selfservice.mypurdue.purdue.edu/prod/bwckctlg.p_disp_course_detail?cat_term_in=202710&amp;subj_code_in=CHM&amp;crse_numb_in=34200</t>
  </si>
  <si>
    <t>https://selfservice.mypurdue.purdue.edu/prod/bwckctlg.p_disp_course_detail?cat_term_in=202710&amp;subj_code_in=CHM&amp;crse_numb_in=37300</t>
  </si>
  <si>
    <t>https://selfservice.mypurdue.purdue.edu/prod/bwckctlg.p_disp_course_detail?cat_term_in=202710&amp;subj_code_in=CHM&amp;crse_numb_in=37301</t>
  </si>
  <si>
    <t>https://selfservice.mypurdue.purdue.edu/prod/bwckctlg.p_disp_course_detail?cat_term_in=202710&amp;subj_code_in=CHM&amp;crse_numb_in=37400</t>
  </si>
  <si>
    <t>https://selfservice.mypurdue.purdue.edu/prod/bwckctlg.p_disp_course_detail?cat_term_in=202710&amp;subj_code_in=CHM&amp;crse_numb_in=37401</t>
  </si>
  <si>
    <t>https://selfservice.mypurdue.purdue.edu/prod/bwckctlg.p_disp_course_detail?cat_term_in=202710&amp;subj_code_in=CHM&amp;crse_numb_in=42400</t>
  </si>
  <si>
    <t>https://selfservice.mypurdue.purdue.edu/prod/bwckctlg.p_disp_course_detail?cat_term_in=202710&amp;subj_code_in=CHM&amp;crse_numb_in=46200</t>
  </si>
  <si>
    <t>https://selfservice.mypurdue.purdue.edu/prod/bwckctlg.p_disp_course_detail?cat_term_in=202710&amp;subj_code_in=CHM&amp;crse_numb_in=48100</t>
  </si>
  <si>
    <t>https://selfservice.mypurdue.purdue.edu/prod/bwckctlg.p_disp_course_detail?cat_term_in=202710&amp;subj_code_in=CHM&amp;crse_numb_in=48700</t>
  </si>
  <si>
    <t>https://selfservice.mypurdue.purdue.edu/prod/bwckctlg.p_disp_course_detail?cat_term_in=202710&amp;subj_code_in=CHM&amp;crse_numb_in=57900</t>
  </si>
  <si>
    <t>https://selfservice.mypurdue.purdue.edu/prod/bwckctlg.p_disp_course_detail?cat_term_in=202710&amp;subj_code_in=CHM&amp;crse_numb_in=58100</t>
  </si>
  <si>
    <t>https://selfservice.mypurdue.purdue.edu/prod/bwckctlg.p_disp_course_detail?cat_term_in=202710&amp;subj_code_in=CHM&amp;crse_numb_in=60500</t>
  </si>
  <si>
    <t>https://selfservice.mypurdue.purdue.edu/prod/bwckctlg.p_disp_course_detail?cat_term_in=202710&amp;subj_code_in=CHM&amp;crse_numb_in=62000</t>
  </si>
  <si>
    <t>https://selfservice.mypurdue.purdue.edu/prod/bwckctlg.p_disp_course_detail?cat_term_in=202710&amp;subj_code_in=CHM&amp;crse_numb_in=62100</t>
  </si>
  <si>
    <t>https://selfservice.mypurdue.purdue.edu/prod/bwckctlg.p_disp_course_detail?cat_term_in=202710&amp;subj_code_in=CHM&amp;crse_numb_in=64100</t>
  </si>
  <si>
    <t>https://selfservice.mypurdue.purdue.edu/prod/bwckctlg.p_disp_course_detail?cat_term_in=202710&amp;subj_code_in=CHM&amp;crse_numb_in=64200</t>
  </si>
  <si>
    <t>https://selfservice.mypurdue.purdue.edu/prod/bwckctlg.p_disp_course_detail?cat_term_in=202710&amp;subj_code_in=CHM&amp;crse_numb_in=64400</t>
  </si>
  <si>
    <t>https://selfservice.mypurdue.purdue.edu/prod/bwckctlg.p_disp_course_detail?cat_term_in=202710&amp;subj_code_in=CHM&amp;crse_numb_in=64600</t>
  </si>
  <si>
    <t>https://selfservice.mypurdue.purdue.edu/prod/bwckctlg.p_disp_course_detail?cat_term_in=202710&amp;subj_code_in=CHM&amp;crse_numb_in=64700</t>
  </si>
  <si>
    <t>https://selfservice.mypurdue.purdue.edu/prod/bwckctlg.p_disp_course_detail?cat_term_in=202710&amp;subj_code_in=CHM&amp;crse_numb_in=65100</t>
  </si>
  <si>
    <t>https://selfservice.mypurdue.purdue.edu/prod/bwckctlg.p_disp_course_detail?cat_term_in=202710&amp;subj_code_in=CHM&amp;crse_numb_in=66800</t>
  </si>
  <si>
    <t>https://selfservice.mypurdue.purdue.edu/prod/bwckctlg.p_disp_course_detail?cat_term_in=202710&amp;subj_code_in=CHM&amp;crse_numb_in=67100</t>
  </si>
  <si>
    <t>https://selfservice.mypurdue.purdue.edu/prod/bwckctlg.p_disp_course_detail?cat_term_in=202710&amp;subj_code_in=CHM&amp;crse_numb_in=67300</t>
  </si>
  <si>
    <t>https://selfservice.mypurdue.purdue.edu/prod/bwckctlg.p_disp_course_detail?cat_term_in=202710&amp;subj_code_in=CHM&amp;crse_numb_in=67500</t>
  </si>
  <si>
    <t>https://selfservice.mypurdue.purdue.edu/prod/bwckctlg.p_disp_course_detail?cat_term_in=202710&amp;subj_code_in=CHM&amp;crse_numb_in=67605</t>
  </si>
  <si>
    <t>https://selfservice.mypurdue.purdue.edu/prod/bwckctlg.p_disp_course_detail?cat_term_in=202710&amp;subj_code_in=CHM&amp;crse_numb_in=67900</t>
  </si>
  <si>
    <t>https://selfservice.mypurdue.purdue.edu/prod/bwckctlg.p_disp_course_detail?cat_term_in=202710&amp;subj_code_in=CHM&amp;crse_numb_in=68200</t>
  </si>
  <si>
    <t>https://selfservice.mypurdue.purdue.edu/prod/bwckctlg.p_disp_course_detail?cat_term_in=202710&amp;subj_code_in=CHM&amp;crse_numb_in=69600</t>
  </si>
  <si>
    <t>https://selfservice.mypurdue.purdue.edu/prod/bwckctlg.p_disp_course_detail?cat_term_in=202710&amp;subj_code_in=ECE&amp;crse_numb_in=20001</t>
  </si>
  <si>
    <t>https://selfservice.mypurdue.purdue.edu/prod/bwckctlg.p_disp_course_detail?cat_term_in=202710&amp;subj_code_in=ECE&amp;crse_numb_in=20002</t>
  </si>
  <si>
    <t>https://selfservice.mypurdue.purdue.edu/prod/bwckctlg.p_disp_course_detail?cat_term_in=202710&amp;subj_code_in=ECE&amp;crse_numb_in=30500</t>
  </si>
  <si>
    <t>https://selfservice.mypurdue.purdue.edu/prod/bwckctlg.p_disp_course_detail?cat_term_in=202710&amp;subj_code_in=ECE&amp;crse_numb_in=30600</t>
  </si>
  <si>
    <t>https://selfservice.mypurdue.purdue.edu/prod/bwckctlg.p_disp_course_detail?cat_term_in=202710&amp;subj_code_in=ECE&amp;crse_numb_in=30653</t>
  </si>
  <si>
    <t>https://selfservice.mypurdue.purdue.edu/prod/bwckctlg.p_disp_course_detail?cat_term_in=202710&amp;subj_code_in=ECE&amp;crse_numb_in=31033</t>
  </si>
  <si>
    <t>https://selfservice.mypurdue.purdue.edu/prod/bwckctlg.p_disp_course_detail?cat_term_in=202710&amp;subj_code_in=ECE&amp;crse_numb_in=33700</t>
  </si>
  <si>
    <t>https://selfservice.mypurdue.purdue.edu/prod/bwckctlg.p_disp_course_detail?cat_term_in=202710&amp;subj_code_in=ECE&amp;crse_numb_in=36200</t>
  </si>
  <si>
    <t>https://selfservice.mypurdue.purdue.edu/prod/bwckctlg.p_disp_course_detail?cat_term_in=202710&amp;subj_code_in=ECE&amp;crse_numb_in=39595</t>
  </si>
  <si>
    <t>https://selfservice.mypurdue.purdue.edu/prod/bwckctlg.p_disp_course_detail?cat_term_in=202710&amp;subj_code_in=ECE&amp;crse_numb_in=40655</t>
  </si>
  <si>
    <t>https://selfservice.mypurdue.purdue.edu/prod/bwckctlg.p_disp_course_detail?cat_term_in=202710&amp;subj_code_in=ECE&amp;crse_numb_in=40656</t>
  </si>
  <si>
    <t>https://selfservice.mypurdue.purdue.edu/prod/bwckctlg.p_disp_course_detail?cat_term_in=202710&amp;subj_code_in=ECE&amp;crse_numb_in=43300</t>
  </si>
  <si>
    <t>https://selfservice.mypurdue.purdue.edu/prod/bwckctlg.p_disp_course_detail?cat_term_in=202710&amp;subj_code_in=ECE&amp;crse_numb_in=43700</t>
  </si>
  <si>
    <t>https://selfservice.mypurdue.purdue.edu/prod/bwckctlg.p_disp_course_detail?cat_term_in=202710&amp;subj_code_in=ECE&amp;crse_numb_in=45300</t>
  </si>
  <si>
    <t>https://selfservice.mypurdue.purdue.edu/prod/bwckctlg.p_disp_course_detail?cat_term_in=202710&amp;subj_code_in=ECE&amp;crse_numb_in=45500</t>
  </si>
  <si>
    <t>https://selfservice.mypurdue.purdue.edu/prod/bwckctlg.p_disp_course_detail?cat_term_in=202710&amp;subj_code_in=ECE&amp;crse_numb_in=45600</t>
  </si>
  <si>
    <t>https://selfservice.mypurdue.purdue.edu/prod/bwckctlg.p_disp_course_detail?cat_term_in=202710&amp;subj_code_in=ECE&amp;crse_numb_in=50616</t>
  </si>
  <si>
    <t>https://selfservice.mypurdue.purdue.edu/prod/bwckctlg.p_disp_course_detail?cat_term_in=202710&amp;subj_code_in=ECE&amp;crse_numb_in=50631</t>
  </si>
  <si>
    <t>https://selfservice.mypurdue.purdue.edu/prod/bwckctlg.p_disp_course_detail?cat_term_in=202710&amp;subj_code_in=ECE&amp;crse_numb_in=50632</t>
  </si>
  <si>
    <t>https://selfservice.mypurdue.purdue.edu/prod/bwckctlg.p_disp_course_detail?cat_term_in=202710&amp;subj_code_in=ECE&amp;crse_numb_in=50633</t>
  </si>
  <si>
    <t>https://selfservice.mypurdue.purdue.edu/prod/bwckctlg.p_disp_course_detail?cat_term_in=202710&amp;subj_code_in=ECE&amp;crse_numb_in=50641</t>
  </si>
  <si>
    <t>https://selfservice.mypurdue.purdue.edu/prod/bwckctlg.p_disp_course_detail?cat_term_in=202710&amp;subj_code_in=ECE&amp;crse_numb_in=50642</t>
  </si>
  <si>
    <t>https://selfservice.mypurdue.purdue.edu/prod/bwckctlg.p_disp_course_detail?cat_term_in=202710&amp;subj_code_in=ECE&amp;crse_numb_in=50653</t>
  </si>
  <si>
    <t>https://selfservice.mypurdue.purdue.edu/prod/bwckctlg.p_disp_course_detail?cat_term_in=202710&amp;subj_code_in=ECE&amp;crse_numb_in=51214</t>
  </si>
  <si>
    <t>https://selfservice.mypurdue.purdue.edu/prod/bwckctlg.p_disp_course_detail?cat_term_in=202710&amp;subj_code_in=ECE&amp;crse_numb_in=51220</t>
  </si>
  <si>
    <t>https://selfservice.mypurdue.purdue.edu/prod/bwckctlg.p_disp_course_detail?cat_term_in=202710&amp;subj_code_in=ECE&amp;crse_numb_in=51300</t>
  </si>
  <si>
    <t>https://selfservice.mypurdue.purdue.edu/prod/bwckctlg.p_disp_course_detail?cat_term_in=202710&amp;subj_code_in=ECE&amp;crse_numb_in=52600</t>
  </si>
  <si>
    <t>https://selfservice.mypurdue.purdue.edu/prod/bwckctlg.p_disp_course_detail?cat_term_in=202710&amp;subj_code_in=ECE&amp;crse_numb_in=55700</t>
  </si>
  <si>
    <t>https://selfservice.mypurdue.purdue.edu/prod/bwckctlg.p_disp_course_detail?cat_term_in=202710&amp;subj_code_in=ECE&amp;crse_numb_in=55900</t>
  </si>
  <si>
    <t>https://selfservice.mypurdue.purdue.edu/prod/bwckctlg.p_disp_course_detail?cat_term_in=202710&amp;subj_code_in=ECE&amp;crse_numb_in=56800</t>
  </si>
  <si>
    <t>https://selfservice.mypurdue.purdue.edu/prod/bwckctlg.p_disp_course_detail?cat_term_in=202710&amp;subj_code_in=ECE&amp;crse_numb_in=59500</t>
  </si>
  <si>
    <t>https://selfservice.mypurdue.purdue.edu/prod/bwckctlg.p_disp_course_detail?cat_term_in=202710&amp;subj_code_in=ECE&amp;crse_numb_in=59500IC</t>
  </si>
  <si>
    <t>https://selfservice.mypurdue.purdue.edu/prod/bwckctlg.p_disp_course_detail?cat_term_in=202710&amp;subj_code_in=ECE&amp;crse_numb_in=60420</t>
  </si>
  <si>
    <t>https://selfservice.mypurdue.purdue.edu/prod/bwckctlg.p_disp_course_detail?cat_term_in=202710&amp;subj_code_in=ECE&amp;crse_numb_in=60421</t>
  </si>
  <si>
    <t>https://selfservice.mypurdue.purdue.edu/prod/bwckctlg.p_disp_course_detail?cat_term_in=202710&amp;subj_code_in=ECE&amp;crse_numb_in=60422</t>
  </si>
  <si>
    <t>https://selfservice.mypurdue.purdue.edu/prod/bwckctlg.p_disp_course_detail?cat_term_in=202710&amp;subj_code_in=ECE&amp;crse_numb_in=60423</t>
  </si>
  <si>
    <t>https://selfservice.mypurdue.purdue.edu/prod/bwckctlg.p_disp_course_detail?cat_term_in=202710&amp;subj_code_in=ECE&amp;crse_numb_in=60424</t>
  </si>
  <si>
    <t>Optical fiber waveguides: ray and wave models, single-mode and multimode fibers. Fiber loss and dispersion mechanisms. Optical sources: LEDs and laser diodes, modulation. Photodetectors: PIN and avalanche photodiodes. Optical amplifiers: EDFA gain, noise. Wavelength-division multiplexing. Coherent communications. System design and link budgets.</t>
  </si>
  <si>
    <t>https://selfservice.mypurdue.purdue.edu/prod/bwckctlg.p_disp_course_detail?cat_term_in=202710&amp;subj_code_in=ECE&amp;crse_numb_in=60431</t>
  </si>
  <si>
    <t>https://selfservice.mypurdue.purdue.edu/prod/bwckctlg.p_disp_course_detail?cat_term_in=202710&amp;subj_code_in=ECE&amp;crse_numb_in=60614</t>
  </si>
  <si>
    <t>https://selfservice.mypurdue.purdue.edu/prod/bwckctlg.p_disp_course_detail?cat_term_in=202710&amp;subj_code_in=ECE&amp;crse_numb_in=68800</t>
  </si>
  <si>
    <t>https://selfservice.mypurdue.purdue.edu/prod/bwckctlg.p_disp_course_detail?cat_term_in=202710&amp;subj_code_in=ECE&amp;crse_numb_in=69500</t>
  </si>
  <si>
    <t>https://selfservice.mypurdue.purdue.edu/prod/bwckctlg.p_disp_course_detail?cat_term_in=202710&amp;subj_code_in=ECET&amp;crse_numb_in=22700</t>
  </si>
  <si>
    <t>https://selfservice.mypurdue.purdue.edu/prod/bwckctlg.p_disp_course_detail?cat_term_in=202710&amp;subj_code_in=ECET&amp;crse_numb_in=22900</t>
  </si>
  <si>
    <t>https://selfservice.mypurdue.purdue.edu/prod/bwckctlg.p_disp_course_detail?cat_term_in=202710&amp;subj_code_in=ECET&amp;crse_numb_in=32900</t>
  </si>
  <si>
    <t>https://selfservice.mypurdue.purdue.edu/prod/bwckctlg.p_disp_course_detail?cat_term_in=202710&amp;subj_code_in=ECET&amp;crse_numb_in=33300</t>
  </si>
  <si>
    <t>https://selfservice.mypurdue.purdue.edu/prod/bwckctlg.p_disp_course_detail?cat_term_in=202710&amp;subj_code_in=ECET&amp;crse_numb_in=34900</t>
  </si>
  <si>
    <t>https://selfservice.mypurdue.purdue.edu/prod/bwckctlg.p_disp_course_detail?cat_term_in=202710&amp;subj_code_in=ECET&amp;crse_numb_in=36900</t>
  </si>
  <si>
    <t>https://selfservice.mypurdue.purdue.edu/prod/bwckctlg.p_disp_course_detail?cat_term_in=202710&amp;subj_code_in=ECET&amp;crse_numb_in=37300</t>
  </si>
  <si>
    <t>https://selfservice.mypurdue.purdue.edu/prod/bwckctlg.p_disp_course_detail?cat_term_in=202710&amp;subj_code_in=ECET&amp;crse_numb_in=38800</t>
  </si>
  <si>
    <t>https://selfservice.mypurdue.purdue.edu/prod/bwckctlg.p_disp_course_detail?cat_term_in=202710&amp;subj_code_in=ECET&amp;crse_numb_in=41500</t>
  </si>
  <si>
    <t>https://selfservice.mypurdue.purdue.edu/prod/bwckctlg.p_disp_course_detail?cat_term_in=202710&amp;subj_code_in=ECET&amp;crse_numb_in=42301</t>
  </si>
  <si>
    <t>https://selfservice.mypurdue.purdue.edu/prod/bwckctlg.p_disp_course_detail?cat_term_in=202710&amp;subj_code_in=ECET&amp;crse_numb_in=49900</t>
  </si>
  <si>
    <t>https://selfservice.mypurdue.purdue.edu/prod/bwckctlg.p_disp_course_detail?cat_term_in=202710&amp;subj_code_in=IE&amp;crse_numb_in=37000</t>
  </si>
  <si>
    <t>https://selfservice.mypurdue.purdue.edu/prod/bwckctlg.p_disp_course_detail?cat_term_in=202710&amp;subj_code_in=IE&amp;crse_numb_in=38300</t>
  </si>
  <si>
    <t>https://selfservice.mypurdue.purdue.edu/prod/bwckctlg.p_disp_course_detail?cat_term_in=202710&amp;subj_code_in=IE&amp;crse_numb_in=38600</t>
  </si>
  <si>
    <t>https://selfservice.mypurdue.purdue.edu/prod/bwckctlg.p_disp_course_detail?cat_term_in=202710&amp;subj_code_in=IE&amp;crse_numb_in=47000</t>
  </si>
  <si>
    <t>https://selfservice.mypurdue.purdue.edu/prod/bwckctlg.p_disp_course_detail?cat_term_in=202710&amp;subj_code_in=IE&amp;crse_numb_in=48400</t>
  </si>
  <si>
    <t>https://selfservice.mypurdue.purdue.edu/prod/bwckctlg.p_disp_course_detail?cat_term_in=202710&amp;subj_code_in=IE&amp;crse_numb_in=48600</t>
  </si>
  <si>
    <t>https://selfservice.mypurdue.purdue.edu/prod/bwckctlg.p_disp_course_detail?cat_term_in=202710&amp;subj_code_in=IE&amp;crse_numb_in=49000</t>
  </si>
  <si>
    <t>https://selfservice.mypurdue.purdue.edu/prod/bwckctlg.p_disp_course_detail?cat_term_in=202710&amp;subj_code_in=IE&amp;crse_numb_in=53200</t>
  </si>
  <si>
    <t>https://selfservice.mypurdue.purdue.edu/prod/bwckctlg.p_disp_course_detail?cat_term_in=202710&amp;subj_code_in=IE&amp;crse_numb_in=53300</t>
  </si>
  <si>
    <t>https://selfservice.mypurdue.purdue.edu/prod/bwckctlg.p_disp_course_detail?cat_term_in=202710&amp;subj_code_in=IE&amp;crse_numb_in=55800</t>
  </si>
  <si>
    <t>https://selfservice.mypurdue.purdue.edu/prod/bwckctlg.p_disp_course_detail?cat_term_in=202710&amp;subj_code_in=IE&amp;crse_numb_in=56600</t>
  </si>
  <si>
    <t>https://selfservice.mypurdue.purdue.edu/prod/bwckctlg.p_disp_course_detail?cat_term_in=202710&amp;subj_code_in=IE&amp;crse_numb_in=57000</t>
  </si>
  <si>
    <t>https://selfservice.mypurdue.purdue.edu/prod/bwckctlg.p_disp_course_detail?cat_term_in=202710&amp;subj_code_in=IE&amp;crse_numb_in=57900</t>
  </si>
  <si>
    <t>https://selfservice.mypurdue.purdue.edu/prod/bwckctlg.p_disp_course_detail?cat_term_in=202710&amp;subj_code_in=IE&amp;crse_numb_in=58200</t>
  </si>
  <si>
    <t>https://selfservice.mypurdue.purdue.edu/prod/bwckctlg.p_disp_course_detail?cat_term_in=202710&amp;subj_code_in=IE&amp;crse_numb_in=58300</t>
  </si>
  <si>
    <t>https://selfservice.mypurdue.purdue.edu/prod/bwckctlg.p_disp_course_detail?cat_term_in=202710&amp;subj_code_in=IET&amp;crse_numb_in=34300</t>
  </si>
  <si>
    <t>https://selfservice.mypurdue.purdue.edu/prod/bwckctlg.p_disp_course_detail?cat_term_in=202710&amp;subj_code_in=ME&amp;crse_numb_in=36300</t>
  </si>
  <si>
    <t>https://selfservice.mypurdue.purdue.edu/prod/bwckctlg.p_disp_course_detail?cat_term_in=202710&amp;subj_code_in=ME&amp;crse_numb_in=41500</t>
  </si>
  <si>
    <t>https://selfservice.mypurdue.purdue.edu/prod/bwckctlg.p_disp_course_detail?cat_term_in=202710&amp;subj_code_in=ME&amp;crse_numb_in=44400</t>
  </si>
  <si>
    <t>https://selfservice.mypurdue.purdue.edu/prod/bwckctlg.p_disp_course_detail?cat_term_in=202710&amp;subj_code_in=ME&amp;crse_numb_in=47500</t>
  </si>
  <si>
    <t>https://selfservice.mypurdue.purdue.edu/prod/bwckctlg.p_disp_course_detail?cat_term_in=202710&amp;subj_code_in=ME&amp;crse_numb_in=48900</t>
  </si>
  <si>
    <t>https://selfservice.mypurdue.purdue.edu/prod/bwckctlg.p_disp_course_detail?cat_term_in=202710&amp;subj_code_in=ME&amp;crse_numb_in=50300</t>
  </si>
  <si>
    <t>https://selfservice.mypurdue.purdue.edu/prod/bwckctlg.p_disp_course_detail?cat_term_in=202710&amp;subj_code_in=ME&amp;crse_numb_in=50600</t>
  </si>
  <si>
    <t>https://selfservice.mypurdue.purdue.edu/prod/bwckctlg.p_disp_course_detail?cat_term_in=202710&amp;subj_code_in=ME&amp;crse_numb_in=51100</t>
  </si>
  <si>
    <t>https://selfservice.mypurdue.purdue.edu/prod/bwckctlg.p_disp_course_detail?cat_term_in=202710&amp;subj_code_in=ME&amp;crse_numb_in=51800</t>
  </si>
  <si>
    <t>https://selfservice.mypurdue.purdue.edu/prod/bwckctlg.p_disp_course_detail?cat_term_in=202710&amp;subj_code_in=ME&amp;crse_numb_in=52200</t>
  </si>
  <si>
    <t>https://selfservice.mypurdue.purdue.edu/prod/bwckctlg.p_disp_course_detail?cat_term_in=202710&amp;subj_code_in=ME&amp;crse_numb_in=54100</t>
  </si>
  <si>
    <t>https://selfservice.mypurdue.purdue.edu/prod/bwckctlg.p_disp_course_detail?cat_term_in=202710&amp;subj_code_in=ME&amp;crse_numb_in=55300</t>
  </si>
  <si>
    <t>https://selfservice.mypurdue.purdue.edu/prod/bwckctlg.p_disp_course_detail?cat_term_in=202710&amp;subj_code_in=ME&amp;crse_numb_in=55600</t>
  </si>
  <si>
    <t>https://selfservice.mypurdue.purdue.edu/prod/bwckctlg.p_disp_course_detail?cat_term_in=202710&amp;subj_code_in=ME&amp;crse_numb_in=55700</t>
  </si>
  <si>
    <t>https://selfservice.mypurdue.purdue.edu/prod/bwckctlg.p_disp_course_detail?cat_term_in=202710&amp;subj_code_in=ME&amp;crse_numb_in=55900</t>
  </si>
  <si>
    <t>https://selfservice.mypurdue.purdue.edu/prod/bwckctlg.p_disp_course_detail?cat_term_in=202710&amp;subj_code_in=ME&amp;crse_numb_in=56300</t>
  </si>
  <si>
    <t>https://selfservice.mypurdue.purdue.edu/prod/bwckctlg.p_disp_course_detail?cat_term_in=202710&amp;subj_code_in=ME&amp;crse_numb_in=57100</t>
  </si>
  <si>
    <t>https://selfservice.mypurdue.purdue.edu/prod/bwckctlg.p_disp_course_detail?cat_term_in=202710&amp;subj_code_in=ME&amp;crse_numb_in=57600</t>
  </si>
  <si>
    <t>https://selfservice.mypurdue.purdue.edu/prod/bwckctlg.p_disp_course_detail?cat_term_in=202710&amp;subj_code_in=ME&amp;crse_numb_in=57800</t>
  </si>
  <si>
    <t>https://selfservice.mypurdue.purdue.edu/prod/bwckctlg.p_disp_course_detail?cat_term_in=202710&amp;subj_code_in=ME&amp;crse_numb_in=57900</t>
  </si>
  <si>
    <t>https://selfservice.mypurdue.purdue.edu/prod/bwckctlg.p_disp_course_detail?cat_term_in=202710&amp;subj_code_in=ME&amp;crse_numb_in=58100</t>
  </si>
  <si>
    <t>https://selfservice.mypurdue.purdue.edu/prod/bwckctlg.p_disp_course_detail?cat_term_in=202710&amp;subj_code_in=ME&amp;crse_numb_in=58600</t>
  </si>
  <si>
    <t>https://selfservice.mypurdue.purdue.edu/prod/bwckctlg.p_disp_course_detail?cat_term_in=202710&amp;subj_code_in=ME&amp;crse_numb_in=58700</t>
  </si>
  <si>
    <t>https://selfservice.mypurdue.purdue.edu/prod/bwckctlg.p_disp_course_detail?cat_term_in=202710&amp;subj_code_in=ME&amp;crse_numb_in=58800</t>
  </si>
  <si>
    <t>https://selfservice.mypurdue.purdue.edu/prod/bwckctlg.p_disp_course_detail?cat_term_in=202710&amp;subj_code_in=ME&amp;crse_numb_in=59700</t>
  </si>
  <si>
    <t>https://selfservice.mypurdue.purdue.edu/prod/bwckctlg.p_disp_course_detail?cat_term_in=202710&amp;subj_code_in=ME&amp;crse_numb_in=68100</t>
  </si>
  <si>
    <t>https://selfservice.mypurdue.purdue.edu/prod/bwckctlg.p_disp_course_detail?cat_term_in=202710&amp;subj_code_in=MET&amp;crse_numb_in=43600</t>
  </si>
  <si>
    <t>https://selfservice.mypurdue.purdue.edu/prod/bwckctlg.p_disp_course_detail?cat_term_in=202710&amp;subj_code_in=MFET&amp;crse_numb_in=34100</t>
  </si>
  <si>
    <t>https://selfservice.mypurdue.purdue.edu/prod/bwckctlg.p_disp_course_detail?cat_term_in=202710&amp;subj_code_in=MFET&amp;crse_numb_in=35000</t>
  </si>
  <si>
    <t>https://selfservice.mypurdue.purdue.edu/prod/bwckctlg.p_disp_course_detail?cat_term_in=202710&amp;subj_code_in=MFET&amp;crse_numb_in=35200</t>
  </si>
  <si>
    <t>https://selfservice.mypurdue.purdue.edu/prod/bwckctlg.p_disp_course_detail?cat_term_in=202710&amp;subj_code_in=MFET&amp;crse_numb_in=36100</t>
  </si>
  <si>
    <t>https://selfservice.mypurdue.purdue.edu/prod/bwckctlg.p_disp_course_detail?cat_term_in=202710&amp;subj_code_in=MFET&amp;crse_numb_in=36300</t>
  </si>
  <si>
    <t>https://selfservice.mypurdue.purdue.edu/prod/bwckctlg.p_disp_course_detail?cat_term_in=202710&amp;subj_code_in=MFET&amp;crse_numb_in=36400</t>
  </si>
  <si>
    <t>https://selfservice.mypurdue.purdue.edu/prod/bwckctlg.p_disp_course_detail?cat_term_in=202710&amp;subj_code_in=MFET&amp;crse_numb_in=37400</t>
  </si>
  <si>
    <t>https://selfservice.mypurdue.purdue.edu/prod/bwckctlg.p_disp_course_detail?cat_term_in=202710&amp;subj_code_in=MGMT&amp;crse_numb_in=26100</t>
  </si>
  <si>
    <t>https://selfservice.mypurdue.purdue.edu/prod/bwckctlg.p_disp_course_detail?cat_term_in=202710&amp;subj_code_in=MGMT&amp;crse_numb_in=40500</t>
  </si>
  <si>
    <t>https://selfservice.mypurdue.purdue.edu/prod/bwckctlg.p_disp_course_detail?cat_term_in=202710&amp;subj_code_in=MGMT&amp;crse_numb_in=46200</t>
  </si>
  <si>
    <t>https://selfservice.mypurdue.purdue.edu/prod/bwckctlg.p_disp_course_detail?cat_term_in=202710&amp;subj_code_in=MGMT&amp;crse_numb_in=46300</t>
  </si>
  <si>
    <t>https://selfservice.mypurdue.purdue.edu/prod/bwckctlg.p_disp_course_detail?cat_term_in=202710&amp;subj_code_in=MGMT&amp;crse_numb_in=47300</t>
  </si>
  <si>
    <t>https://selfservice.mypurdue.purdue.edu/prod/bwckctlg.p_disp_course_detail?cat_term_in=202710&amp;subj_code_in=MGMT&amp;crse_numb_in=47400</t>
  </si>
  <si>
    <t>https://selfservice.mypurdue.purdue.edu/prod/bwckctlg.p_disp_course_detail?cat_term_in=202710&amp;subj_code_in=MGMT&amp;crse_numb_in=47900</t>
  </si>
  <si>
    <t>3</t>
  </si>
  <si>
    <t>https://selfservice.mypurdue.purdue.edu/prod/bwckctlg.p_disp_course_detail?cat_term_in=202710&amp;subj_code_in=MGMT&amp;crse_numb_in=56000</t>
  </si>
  <si>
    <t>https://selfservice.mypurdue.purdue.edu/prod/bwckctlg.p_disp_course_detail?cat_term_in=202710&amp;subj_code_in=MGMT&amp;crse_numb_in=56500</t>
  </si>
  <si>
    <t>https://selfservice.mypurdue.purdue.edu/prod/bwckctlg.p_disp_course_detail?cat_term_in=202710&amp;subj_code_in=MGMT&amp;crse_numb_in=56600</t>
  </si>
  <si>
    <t>https://selfservice.mypurdue.purdue.edu/prod/bwckctlg.p_disp_course_detail?cat_term_in=202710&amp;subj_code_in=MGMT&amp;crse_numb_in=56800</t>
  </si>
  <si>
    <t>https://selfservice.mypurdue.purdue.edu/prod/bwckctlg.p_disp_course_detail?cat_term_in=202710&amp;subj_code_in=MGMT&amp;crse_numb_in=56900</t>
  </si>
  <si>
    <t>https://selfservice.mypurdue.purdue.edu/prod/bwckctlg.p_disp_course_detail?cat_term_in=202710&amp;subj_code_in=MGMT&amp;crse_numb_in=59000</t>
  </si>
  <si>
    <t>https://selfservice.mypurdue.purdue.edu/prod/bwckctlg.p_disp_course_detail?cat_term_in=202710&amp;subj_code_in=MGMT&amp;crse_numb_in=66000</t>
  </si>
  <si>
    <t>https://selfservice.mypurdue.purdue.edu/prod/bwckctlg.p_disp_course_detail?cat_term_in=202710&amp;subj_code_in=MGMT&amp;crse_numb_in=66400</t>
  </si>
  <si>
    <t>https://selfservice.mypurdue.purdue.edu/prod/bwckctlg.p_disp_course_detail?cat_term_in=202710&amp;subj_code_in=MGMT&amp;crse_numb_in=67000</t>
  </si>
  <si>
    <t>https://selfservice.mypurdue.purdue.edu/prod/bwckctlg.p_disp_course_detail?cat_term_in=202710&amp;subj_code_in=MSE&amp;crse_numb_in=23000</t>
  </si>
  <si>
    <t>https://selfservice.mypurdue.purdue.edu/prod/bwckctlg.p_disp_course_detail?cat_term_in=202710&amp;subj_code_in=MSE&amp;crse_numb_in=26000</t>
  </si>
  <si>
    <t>https://selfservice.mypurdue.purdue.edu/prod/bwckctlg.p_disp_course_detail?cat_term_in=202710&amp;subj_code_in=MSE&amp;crse_numb_in=27000</t>
  </si>
  <si>
    <t>https://selfservice.mypurdue.purdue.edu/prod/bwckctlg.p_disp_course_detail?cat_term_in=202710&amp;subj_code_in=MSE&amp;crse_numb_in=33000</t>
  </si>
  <si>
    <t>https://selfservice.mypurdue.purdue.edu/prod/bwckctlg.p_disp_course_detail?cat_term_in=202710&amp;subj_code_in=MSE&amp;crse_numb_in=33500</t>
  </si>
  <si>
    <t>https://selfservice.mypurdue.purdue.edu/prod/bwckctlg.p_disp_course_detail?cat_term_in=202710&amp;subj_code_in=MSE&amp;crse_numb_in=36700</t>
  </si>
  <si>
    <t>https://selfservice.mypurdue.purdue.edu/prod/bwckctlg.p_disp_course_detail?cat_term_in=202710&amp;subj_code_in=MSE&amp;crse_numb_in=37000</t>
  </si>
  <si>
    <t>https://selfservice.mypurdue.purdue.edu/prod/bwckctlg.p_disp_course_detail?cat_term_in=202710&amp;subj_code_in=MSE&amp;crse_numb_in=49700</t>
  </si>
  <si>
    <t>https://selfservice.mypurdue.purdue.edu/prod/bwckctlg.p_disp_course_detail?cat_term_in=202710&amp;subj_code_in=MSE&amp;crse_numb_in=50200</t>
  </si>
  <si>
    <t>https://selfservice.mypurdue.purdue.edu/prod/bwckctlg.p_disp_course_detail?cat_term_in=202710&amp;subj_code_in=MSE&amp;crse_numb_in=51000</t>
  </si>
  <si>
    <t>https://selfservice.mypurdue.purdue.edu/prod/bwckctlg.p_disp_course_detail?cat_term_in=202710&amp;subj_code_in=MSE&amp;crse_numb_in=51800</t>
  </si>
  <si>
    <t>https://selfservice.mypurdue.purdue.edu/prod/bwckctlg.p_disp_course_detail?cat_term_in=202710&amp;subj_code_in=MSE&amp;crse_numb_in=52300</t>
  </si>
  <si>
    <t>https://selfservice.mypurdue.purdue.edu/prod/bwckctlg.p_disp_course_detail?cat_term_in=202710&amp;subj_code_in=MSE&amp;crse_numb_in=53000</t>
  </si>
  <si>
    <t>https://selfservice.mypurdue.purdue.edu/prod/bwckctlg.p_disp_course_detail?cat_term_in=202710&amp;subj_code_in=MSE&amp;crse_numb_in=54700</t>
  </si>
  <si>
    <t>https://selfservice.mypurdue.purdue.edu/prod/bwckctlg.p_disp_course_detail?cat_term_in=202710&amp;subj_code_in=MSE&amp;crse_numb_in=54800</t>
  </si>
  <si>
    <t>https://selfservice.mypurdue.purdue.edu/prod/bwckctlg.p_disp_course_detail?cat_term_in=202710&amp;subj_code_in=MSE&amp;crse_numb_in=55500</t>
  </si>
  <si>
    <t>https://selfservice.mypurdue.purdue.edu/prod/bwckctlg.p_disp_course_detail?cat_term_in=202710&amp;subj_code_in=MSE&amp;crse_numb_in=59700</t>
  </si>
  <si>
    <t>https://selfservice.mypurdue.purdue.edu/prod/bwckctlg.p_disp_course_detail?cat_term_in=202710&amp;subj_code_in=MSE&amp;crse_numb_in=60000</t>
  </si>
  <si>
    <t>https://selfservice.mypurdue.purdue.edu/prod/bwckctlg.p_disp_course_detail?cat_term_in=202710&amp;subj_code_in=NUCL&amp;crse_numb_in=42001</t>
  </si>
  <si>
    <t>https://selfservice.mypurdue.purdue.edu/prod/bwckctlg.p_disp_course_detail?cat_term_in=202710&amp;subj_code_in=NUCL&amp;crse_numb_in=52000</t>
  </si>
  <si>
    <t>https://selfservice.mypurdue.purdue.edu/prod/bwckctlg.p_disp_course_detail?cat_term_in=202710&amp;subj_code_in=NUCL&amp;crse_numb_in=55300</t>
  </si>
  <si>
    <t>https://selfservice.mypurdue.purdue.edu/prod/bwckctlg.p_disp_course_detail?cat_term_in=202710&amp;subj_code_in=PHYS&amp;crse_numb_in=32200</t>
  </si>
  <si>
    <t>https://selfservice.mypurdue.purdue.edu/prod/bwckctlg.p_disp_course_detail?cat_term_in=202710&amp;subj_code_in=PHYS&amp;crse_numb_in=32300</t>
  </si>
  <si>
    <t>https://selfservice.mypurdue.purdue.edu/prod/bwckctlg.p_disp_course_detail?cat_term_in=202710&amp;subj_code_in=PHYS&amp;crse_numb_in=34900</t>
  </si>
  <si>
    <t>https://selfservice.mypurdue.purdue.edu/prod/bwckctlg.p_disp_course_detail?cat_term_in=202710&amp;subj_code_in=PHYS&amp;crse_numb_in=42200</t>
  </si>
  <si>
    <t>https://selfservice.mypurdue.purdue.edu/prod/bwckctlg.p_disp_course_detail?cat_term_in=202710&amp;subj_code_in=PHYS&amp;crse_numb_in=44500</t>
  </si>
  <si>
    <t>https://selfservice.mypurdue.purdue.edu/prod/bwckctlg.p_disp_course_detail?cat_term_in=202710&amp;subj_code_in=PHYS&amp;crse_numb_in=45000</t>
  </si>
  <si>
    <t>https://selfservice.mypurdue.purdue.edu/prod/bwckctlg.p_disp_course_detail?cat_term_in=202710&amp;subj_code_in=PHYS&amp;crse_numb_in=52600</t>
  </si>
  <si>
    <t>https://selfservice.mypurdue.purdue.edu/prod/bwckctlg.p_disp_course_detail?cat_term_in=202710&amp;subj_code_in=PHYS&amp;crse_numb_in=53600</t>
  </si>
  <si>
    <t>https://selfservice.mypurdue.purdue.edu/prod/bwckctlg.p_disp_course_detail?cat_term_in=202710&amp;subj_code_in=PHYS&amp;crse_numb_in=54500</t>
  </si>
  <si>
    <t>https://selfservice.mypurdue.purdue.edu/prod/bwckctlg.p_disp_course_detail?cat_term_in=202710&amp;subj_code_in=PHYS&amp;crse_numb_in=570AI</t>
  </si>
  <si>
    <t>https://selfservice.mypurdue.purdue.edu/prod/bwckctlg.p_disp_course_detail?cat_term_in=202710&amp;subj_code_in=PHYS&amp;crse_numb_in=570K</t>
  </si>
  <si>
    <t>https://selfservice.mypurdue.purdue.edu/prod/bwckctlg.p_disp_course_detail?cat_term_in=202710&amp;subj_code_in=PHYS&amp;crse_numb_in=570P</t>
  </si>
  <si>
    <t>Numerical methods applied to physics problems. Root finding, interpolation, numerical differentiation and integration. Ordinary differential equations: Euler, Runge-Kutta methods, adaptive step size. Linear algebra: matrix methods, eigenvalues. Partial differential equations: finite difference methods. Monte Carlo methods: random walk, integration, statistical mechanics simulation. Molecular dynamics. Introduction to machine learning for physics. Programming in Python.</t>
  </si>
  <si>
    <t>https://selfservice.mypurdue.purdue.edu/prod/bwckctlg.p_disp_course_detail?cat_term_in=202710&amp;subj_code_in=PHYS&amp;crse_numb_in=580</t>
  </si>
  <si>
    <t>https://selfservice.mypurdue.purdue.edu/prod/bwckctlg.p_disp_course_detail?cat_term_in=202710&amp;subj_code_in=STAT&amp;crse_numb_in=51100</t>
  </si>
  <si>
    <t>Quantitative applications of steady-state mass and energy balances to solve problems involving multi-component systems and multi-unit chemical processes. Single-component and multi-component phase equilibria, single-reaction and multiple-reaction stoichiometry, coupled mass and energy balances, chemical processes involving bypass and recycle streams</t>
  </si>
  <si>
    <t>Basic principles and concepts of thermodynamics applied to chemical engineering problems; use of basic thermodynamic functions of enthalpy, entropy, free energy to solutions, phase equilibria, and chemical equilibria; thermodynamic processes and efficiencies; equations of state; and relation of macroscopic to molecular properties</t>
  </si>
  <si>
    <t>The application of equilibria and mass and energy balances for the design of staged separation processes. Use of various equilibrium data and thermodynamic principles for the design of batch and continuous distillation, absorption, stripping, and extraction systems. Stagewise calculations and graphical methods for design of binary systems. Design of multicomponent separators. Determination of stage efficiency and column size</t>
  </si>
  <si>
    <t>Statistical modeling methods, design of experiments, error analysis, curve fitting and regression, analysis of variance, confidence intervals, quality control and enhancement: emphasizes preparation for designing chemical engineering laboratory experiments and analyzing data</t>
  </si>
  <si>
    <t>Application of kinetic rate equations, mass balances and energy balances to the analysis and design of chemical reactors involving homogeneous and heterogeneous chemical reactions. Chemical equilibria, kinetic rate equations for homogeneous and heterogeneously catalyzed reactions, design of ideal isothermal reactors, effects of non-isothermal operation, effects of diffusion in porous catalysts and non-ideal mixing in continuous flow reactors</t>
  </si>
  <si>
    <t>Differential (microscopic) and integral (macroscopic) mass, momentum, and energy balances. Newtonian and non-Newtonian fluids. Fluid statics. One-dimensional steady and transient laminar flows. Turbulence. Dimensional analysis and similarity. Friction factors and drag coefficients. Applications to engineering analysis of practical problems. Introduction to numerical analysis and visualization of flows</t>
  </si>
  <si>
    <t>Macroscopic and differential energy balances. Heat transfer coefficients for free and forced convection and phase change. Conductive and radiative heat transfer. Applications to heat transfer equipment design and compressible fluid flow. Macroscopic and differential species balances. Mass transfer coefficients and analogies. Mass transfer with and without chemical reaction. Mass transfer equipment design</t>
  </si>
  <si>
    <t>Develop knowledge of process safety management and analysis in the process industries, including hazard identification, hazard analysis and risk management</t>
  </si>
  <si>
    <t>Quantitative experimental study of projects involving problems in fluid mechanics and heat and mass transfer or operation and evaluation of equipment; projects include analysis and data-based design of operations involving mass transfer such as distillation, absorption, drying, humidification, etc.; study of rates and equilibria in simple chemical reaction systems; study of chemical processes; application of methods of data analysis in practice; some library work; emphasis on group work, report writing, and oral communication</t>
  </si>
  <si>
    <t>Use of process synthesis methods and concepts; detailed design of unit operation equipment, the economics of chemical plants and flow sheet optimization methods. Synthesize, develop, and evaluate a preliminary design of a chemical process that meets market requirements for a specific product. Analysis of design alternatives using case studies and optimization methods</t>
  </si>
  <si>
    <t>Dynamic response and control of chemical processing equipment, such as heat exchangers, chemical reactors, and absorption towers. Use is made of fundamental techniques of servomechanism theory, such as block diagrams, transfer functions, and frequency response. Introduction to advanced control techniques</t>
  </si>
  <si>
    <t>A broad overview of the fundamental concepts in particulate systems including particle characterization, particle size measurement, sedimentation, fluidization, gas and liquid conveying, particle storage, fluid-particle separation, particle size enlargement and reduction, particle mixing and hazards associated with the handling of particulate solids. Practical applications are emphasized, with a focus on how particles behave differently than fluids</t>
  </si>
  <si>
    <t>Characterization particulate systems, use of population balances to describe processes that make or transform particles, applications in important unit processes including crystallization, granulation, milling, aerosol processes</t>
  </si>
  <si>
    <t>Continuation of CHE 37700 and 37800. Topics in fluid mechanics, heat transfer and mass transfer including unsteady state transport problems, stream functions, potential flow, hydrodynamic and thermal layers, turbulence, and multicomponent diffusion</t>
  </si>
  <si>
    <t>Polymerization kinetics, polycondensation, gelation, radical polymerization, ionic polymerization, copolymerizations, Ziegler-Natta polymerizations, polymerization in bulk, solution, suspension and emulsion, modeling, stochastic processes, Z-transforms, batch, CSTR and tubular reactors, stability analysis, computer control, separation, and drying</t>
  </si>
  <si>
    <t>Statistical mechanics of chain molecules, thermodynamics of polymer solutions, phase separations, experimental methods of molecular weight determination, crystallization of polymers, polymer physics, rubber elasticity, viscoelasticity</t>
  </si>
  <si>
    <t>Survey of the basic computational tools for solving nonlinear constrained and unconstrained optimization problems. Emphasis on methods applicable to problems arising in chemical plant design, process operations and scheduling, parameter estimation, and waste energy reutilization</t>
  </si>
  <si>
    <t>Introduction to computer-aided process operations management. Topics include: process monitoring, regulatory control, data reconciliation, unit and plant-wide optimization, process fault diagnosis, supervisory control, planning, and scheduling. A design project involving a unified application of the presented methodologies is taken from a published industrial benchmark problem</t>
  </si>
  <si>
    <t>Introduction to artificial intelligence concepts and techniques and their application to important problems in process systems engineering. Topics covered include: introduction to artificial intelligence, knowledge representation and search, knowledge-based systems, neural networks, genetic algorithms, inexact reasoning techniques, industrial case studies in process fault diagnosis and control, design and synthesis, planning and scheduling, AI languages, tools, and environments</t>
  </si>
  <si>
    <t>Rate-controlled separation processes based on solute movement (adsorption, chromatography and ion exchange), membranes (reverse osmosis, ultrafiltration, and gas permeation), and crystallization</t>
  </si>
  <si>
    <t>This course introduces the synthesis, optoelectronic properties, transport physics, and device operation of organic and hybrid electronic materials and devices. This course will review how the molecular architecture of small molecule and polymer semiconductors can be turned to alter the optoelectronic properties of the materials in solution and in the solid state. A number of relevant materials interactions will be covered, including: photoexcitation and recombination, intermolecular charge transport mechanisms, and energy transfer processes. Additionally, we will observe how these processes are relevant to applications such as organic field-effect transistors (OFETs), organic light-emitting diodes (OLEDs), organic photovoltaic (OPV) devices, and organic memory elements. Finally, a new type of organic-inorganic hybrid material called hybrid halide perovskite will be introduced</t>
  </si>
  <si>
    <t>Stoichiometry; atomic structure; periodic properties; ionic and covalent bonding; molecular geometry; gases, liquids, and solids; crystal structure; thermochemistry; descriptive chemistry of metals and non-metals. Required of students majoring in science and students in engineering who are not in CHM 12300. One year of high school chemistry or one semester of college chemistry required. CTL:IPS 1721 General Chemistry I w/lab</t>
  </si>
  <si>
    <t>A continuation of CHM 11500. Solutions; quantitative equilibria in aqueous solution; introductory thermodynamics; oxidation-reduction and electrochemistry; chemical kinetics; qualitative analysis; further descriptive chemistry of metals and nonmetals. CTL:IPS 1722 General Chemistry II w/lab</t>
  </si>
  <si>
    <t>Introduction to approaches analytical chemists use to analyze the composition of matter, including statistics, calibration, and understanding chemical equilibrium (acid/base, complexation, solubility, polyprotic acid treatment, acid/base/redox/precipitation titrations); general approaches to analysis at the trace level; recognition and evaluation of possible sources of error and how error propagates; introduction to how light interacts with matter (and how analytical chemists can take advantage of this)</t>
  </si>
  <si>
    <t>Descriptive inorganic chemistry dealing in a systematic way with the elements and the structures, properties, and reactions of their compounds. Required of students majoring in chemistry</t>
  </si>
  <si>
    <t>A comprehensive study of the chemical principles underlying aliphatic and aromatic compounds. The syntheses and reactions of these materials are discussed. Modern theory and stereochemistry are stressed to illustrate the logic inherent in the subject matter and to demonstrate the predictability of many chemical transformations. Recommended for students majoring in chemical engineering. If not a chemical engineering major, see CHM 26505 Organic Chemistry</t>
  </si>
  <si>
    <t>A continuation of CHM 26100, but a broader scope. The chemistry of a variety of functional groups is discussed. Theory is employed extensively to demonstrate the coherence underlying seemingly diverse transformations. Qualitative organic analysis is introduced, with particular emphasis on spectroscopic methods</t>
  </si>
  <si>
    <t>Quantitative measurements on complex chemical systems that show matrix effects or require isolation of a component prior to its determination; general approaches to quantitative problems at the trace level; critical comparisons of competitive procedures with emphasis on principles of separation processes, including chromatography; recognition and evaluation of possible sources of error; approaches for optimizing conditions so as to minimize time and/or effort required to attain prescribed levels of accuracy and precision. Required of students majoring in chemistry</t>
  </si>
  <si>
    <t>Interpretation and correlation of the reactions and properties of inorganic compounds in terms of their electronic and molecular structures. A survey of the preparations and reactivities of important compounds of the representative elements, with an emphasis on group trends. The elementary chemistry of the transition metals, including magnetic and spectral properties of coordination compounds</t>
  </si>
  <si>
    <t>Physical chemistry of matter. Properties of gases, liquids, and solids; equations of state; thermodynamics; energy, heat, and work; entropy; spontaneity and equilibrium; chemical potential; chemical equilibrium; phase diagrams; colligative properties</t>
  </si>
  <si>
    <t>A physical chemistry laboratory course that will provide students with hands-on experience that illustrates the core concepts presented in the associated physical chemistry lecture course CHM 37300</t>
  </si>
  <si>
    <t>Physical chemistry of molecules. Wave properties of matter; quantum mechanics of translation, rotation, and vibration; atomic structure; molecular orbitals; quantum states; statistical mechanics; chemical kinetics; collision theory; transition state theory</t>
  </si>
  <si>
    <t>A physical chemistry laboratory course that will provide students with hands-on experience that illustrates the core concepts presented in the associated physical chemistry lecture course CHM 37400</t>
  </si>
  <si>
    <t>Principles and application of optical and electrical methods of chemical analysis, including topics in instrumentation</t>
  </si>
  <si>
    <t>Theory and application of organic chemistry and reaction mechanisms to organic synthesis and contemporary research topics in closely related areas. Topics include stereochemistry, reactive organic intermediates, molecular orbital theory, photochemistry, organic materials chemistry, and chemical biology</t>
  </si>
  <si>
    <t>Survey of chemical aspects of environmental problems and the application of chemistry to their solution. Topics will include atmospheric pollution problems, groundwater pollution and waste disposal problems, inorganic water pollutants, and the occurrence and fate of toxic organic compounds and other substances in the environment</t>
  </si>
  <si>
    <t>Cooperative Work Experience</t>
  </si>
  <si>
    <t>Theoretical basis and practical applications of computational methods relevant to chemical and biochemical research problems</t>
  </si>
  <si>
    <t>(EAPS 52100) An introduction to the chemistry of the earth's atmosphere. Covers evolution of the earth's atmosphere, its physical and chemical structure, its natural chemical composition and oxidative properties, and human impacts, including increasing tropospheric ozone, decreasing stratospheric ozone, climate change, and acidic deposition</t>
  </si>
  <si>
    <t>Lectures on safe practices in the chemistry laboratory. Required of students doing research in chemistry</t>
  </si>
  <si>
    <t>A critical review of instrumental methods of analysis, with particular emphasis on spectroscopic techniques. Topics include: methods of measurement; analog and digital electronics; optics and spectrophotometric modules; and instrumental methods in UV-visible, infrared, and NMR spectroscopies. Prerequisite: introductory analytical and two semesters of physical chemistry</t>
  </si>
  <si>
    <t>A critical survey of recent developments in chemical and instrumental methods of analysis. Prerequisite: CHM 32100, 42400</t>
  </si>
  <si>
    <t>Survey of main group and transition metal chemistry. Main group special topics, bonding and structure of boron hydrides. Coordination chemistry, bonding models in coordination compounds. Transition metal organometallic chemistry, ligand types and reactivity patterns. Survey of inorganic NMR spectroscopy. Prerequisite: CHM 34200</t>
  </si>
  <si>
    <t>Physical inorganic chemistry. Applications of group theory to chemistry and spectroscopy, especially vibrational and electronic spectra of transition metal complexes. Molecular orbital theory and theoretical bases for reactivity. Magnetic properties and electron paramagnetic resonance (EPR) spectroscopy of inorganic materials. Prerequisite: CHM 34200</t>
  </si>
  <si>
    <t>The chemistry of solids, including a discussion of ionic crystals, metals, alloys, and binary compounds, and their characterizations by various physical methods. Description of chemical reactions, phase changes, and catalysis in terms of current theories of the solid state. Prerequisite: CHM 34200, 37400</t>
  </si>
  <si>
    <t>Chemical kinetics, reaction orders, mechanisms and rate expressions; experimental techniques; transition state theory; reactions in solution; complex mechanisms; linear free-energy relationships; acid-base catalysis and proton-transfer reactions; redox reactions (electron and atom transfer, oxidative addition-reductive elimination); substitution reactions of metal ion and organometallic complexes; homogeneous catalysis; and heterogeneous reactions. Prerequisite: CHM 34200</t>
  </si>
  <si>
    <t>A study of the chemistry and physical properties of compounds of the transition metals. Halides, oxides, and oxy-salts; transition metal carbonyls and derivatives; pi-bonded organometallic compounds; catalysis; spectral and magnetic properties of compounds. Prerequisite: CHM 64100</t>
  </si>
  <si>
    <t>Modern structural organic chemistry, including introductions to molecular orbital theory and reaction mechanisms. Prerequisite: a year's course in organic chemistry</t>
  </si>
  <si>
    <t>The theoretical and mechanistic bases for structure and reactivity in organic chemistry is discussed. Individual topics include kinetics and thermodynamics, molecular orbital theory, stereochemistry and reactive intermediates as applied to the mechanisms of organic reactions. Prerequisite: CHM 56300 or 65100</t>
  </si>
  <si>
    <t>Selected topics, including atomic and molecular structure and modern theories underlying thermodynamics and chemical kinetics. Prerequisite: CHM 57800</t>
  </si>
  <si>
    <t>Semiempirical and molecular-mechanics treatments of large molecules, ab initio methods, modern density functional theory, Green's functions, multichannel quantum defect theory, global optimization methods. Prerequisite: CHM 67100</t>
  </si>
  <si>
    <t>Or 3.00. Experimental and theoretical consideration of chemical reaction rates and mechanisms</t>
  </si>
  <si>
    <t>Theoretical and experimental fundamentals of the interactions between molecules and electromagnetic waves. Topics include electronic, vibrational, and rotational spectroscopies, and laser-based methods. Prerequisites: CHM 67100</t>
  </si>
  <si>
    <t>Advanced thermodynamics of chemical and phase equilibria, of electrolytic and non-electrolytic solutions, and of imperfect gases. Prerequisite: CHM 57800</t>
  </si>
  <si>
    <t>Application of statistical mechanics to the description of imperfect gases, liquids, and solutions; to order-disorder phenomena in solids and surfaces; and to absolute reaction rate theory. Prerequisite: CHM 67100, 67900</t>
  </si>
  <si>
    <t>This course covers fundamental concepts and applications for electrical and computer engineers as well as for engineers who need to gain a broad understanding of these disciplines. The course starts by the basic concepts of charge, current, and voltage as well as their expressions with regards to resistors and resistive circuits. Essential concepts, devices, theorems, and applications of direct-current (DC), 1st order, and alternating-current (AC) circuits are subsequently discussed. Besides electrical devices and circuits, basic electronic components including diodes and transistors as well as their primary applications are also discussed</t>
  </si>
  <si>
    <t>Continuation of Electrical and Computer Engineering Fundamentals I. The course covers the mathematical and computational foundations of (1) linear circuit analysis and (2) simple nonlinear circuits with a small number of transistors. Topics include: AC and DC analysis of simple MOSFET circuits, especially single-transistor amplifiers; op-amp circuits; mathematical methods for time-domain analysis of linear, time-invariant (LTI) systems (homogeneous and particular solutions, convolution, the Laplace transform, and the transfer function); and frequency-domain analysis and design of LTI systems (especially Bode plots and filter design). Permission of Department required</t>
  </si>
  <si>
    <t>Introduces and explains terminology, models, properties, and concepts associated with semiconductor devices. Provides detailed insight into the internal workings of the "building-block" device structures such as the pn-junction diode, Schottky diode, BJT, and MOSFET. Presents information about a wide variety of other devices including solar cells, LEDs, HBTs, and modern field-effect devices. Systematically develops the analytical tools needed to solve practical device problems</t>
  </si>
  <si>
    <t>Experiments in electronic circuits and systems, including spectral analysis techniques, sampling, distortion measurements, random signals, signal-to-noise ratio and correlation</t>
  </si>
  <si>
    <t>This interdisciplinary course offers an introduction to nanotechnology and quantum science and technology for undergraduate students in science and engineering. The students will develop understanding of interdisciplinary nature of these fields and utilize concepts in physics, chemistry and mechanics to describe and analyze unique properties of quantum and nanoscale objects. The course will provide the opportunity to get exposed to highly interdisciplinary nature of today's most active and rapidly expanding fields of research and technologies</t>
  </si>
  <si>
    <t>Introduction to the fundamental operating principles of power conditioning circuits that are currently being used to effect power flow from AC to DC and vice versa. Emphasis is on the relationship between form and function of these circuits. Circuits discussed will include AC/DC line-commutated converters, DC/DC converters, DC/variable frequency converters, resonant converters, and AC/AC converters. Computer simulations will be used as a part of the coursework</t>
  </si>
  <si>
    <t>Introduction to standard cell design of Application Specific Integrated Circuits (ASICs) using modern hardware description languages (HDLs). Emphasis on how to write HDL code that will map readily to hardware. Laboratory experiments using commercial grade computer-aided design (CAD) tools for HDL based design, logic simulation, automatic placement and routing, timing analysis and verification</t>
  </si>
  <si>
    <t>An introduction to basic computer organization, microprocessor instruction sets, assembly language programming, and microcontroller peripherals</t>
  </si>
  <si>
    <t>As applied to digital integrated circuits, the MDs transistor is studied in depth-from its fabrication to its electrical characteristics. Combinational, sequential, and dynamic logic circuits are considered. While the focus of the course is on CMOS technology, bipolar, nMOS, and BiCMOS circuits are introduced as well. SPICE is used as both an analysis and design tool. Semiconductor memory circuits are also discussed</t>
  </si>
  <si>
    <t>This course is a review of technology and modeling of CMOS transistors; Analysis, and design of CMOS monolithic integrated circuits for analog and mixed-signal applications. Consideration of amplifier circuit design, and fabrication techniques with circuit simulation using Cadence. Simple and advanced CMOS operational amplifiers, comparators, sample and hold circuits, switch capacitor circuits and data converters; Design of analog and mixed-signal circuit building blocks</t>
  </si>
  <si>
    <t>An introduction to computer organization and design, including instruction set selection, arithmetic logic unit design, data path design, control strategies, pipelining, memory hierarchy, and I/O interface design</t>
  </si>
  <si>
    <t>Nanoelectronic devices are an integral part of our life, including the billion-plus transistors in every smartphone, each of which has an active region that is only a few hundred atoms long. This course is designed to convey the key concepts developed in the last 25 years which constitute the fundamentals of nanoelectronics and mesoscopic physics, assuming a minimal set of prerequisites. Topics covered include the new Ohm's law, conductance quantization, the nanotransistor, spin valves, thermoelectricity, quantum systems and the non-equilibrium Green's function (NEGF) method</t>
  </si>
  <si>
    <t>Analysis, design, and fabrication of silicon bipolar and MOSFET monolithic integrated circuits. Consideration of amplifier circuit design and fabrication techniques with circuit simulation using Spice-2. Integrated operational amplifiers with difference amplifiers, current sources, active loads, and voltage references. Design of IC analog circuit building blocks</t>
  </si>
  <si>
    <t>This course introduces the electronic, optical and material properties and the manufacturing of photovoltaic devices. Topics include electronic charge separation, transportation and recombination; optical concentration, trapping and confinement; material preparations in photovoltaic systems; bulk crystal, thin-film and organic photovoltaic device configurations; energy storage; as well as emerging concepts in photovoltaics. Discussions also involve the process and equipment for the manufacturing of various photovoltaic modules, with special emphasis on driving down the cost of photovoltaic systems</t>
  </si>
  <si>
    <t>Traditional description of electronic motion through a solid is based on diffusive transport which means that the electron takes a random walk from the source to the drain. However, modern nanoelectronic devices often have channel lengths comparable to a mean free path so that electrons travel ballistically, or "like a bullet." This course provides a unified conceptual framework for ballistic and diffusive transport of both electrons and phonons, that is very different from what is taught in standard courses, but indispensable to understanding nanolectronic devices</t>
  </si>
  <si>
    <t>This course introduces the Schrodinger equation, uses the tight-binding method to discuss the concept of band structure and E(k) relations, along with simple quantum transport problems. No prior background in quantum mechanics or statistical mechanics is assumed</t>
  </si>
  <si>
    <t>This course introduces the key concepts of equilibrium statistical mechanics leading to the celebrated Boltzmann law and how it leads to Boltzmann machines and related concepts in modern machine learning. No prior background in statistical mechanics is assumed</t>
  </si>
  <si>
    <t>This course about semiconductors is designed to provide a foundation to understand the operation of devices such as transistors, diodes, solar cells, light-emitting devices, etc. The course does not discuss devices - it prepares students to understand the operation of semiconductor devices. The treatment is physical and intuitive, and not heavily mathematical. Technology users will gain an understanding of the semiconductor physics that is the basis for devices. Semiconductor technology developers may find it a useful starting point for diving deeper into condensed matter physics, statistical mechanics, thermodynamics, and materials science. The course presents an electrical engineering perspective on semiconductors, but those in other fields may find it a useful introduction to the approach that has guided the development of semiconductor technology for the past 50+ years. Topics include semiconductor fundamentals such as energy bands, bandgaps, effective masses, electrons and holes, and elements of quantum mechanics. The Fermi function, doping, and carrier densities are then discussed. Carrier transport and generation-recombination are examined along with the important concept of quasi-Fermi levels. The course concludes with the "semiconductor equations," which provide a complete, mathematical description of electrons and holes in semiconductors (subject to some important simplifying assumptions) and ends with a discussion of how energy band diagrams provide a qualitative solution to these equations</t>
  </si>
  <si>
    <t>This course is designed for anyone seeking a sound, physical, intuitive understanding of how modern transistors operate. Important technology considerations and applications of transistors are also discussed. The focus is on MOSFETs for digital logic, but other types of transistors are briefly considered. The course is broadly accessible to students with only a very basic knowledge of semiconductor physics and electronic circuits and should be useful for advanced undergraduates, beginning graduate students, as well as practicing engineers and scientists. Topics include device metrics for digital and analog circuits, traditional MOSFET theory, the virtual source model, 1D and 2D electrostatics, Landauer/transmission approach to nanotransistors, the limits of MOSFETs, as well as a quick look at HEMTs, bipolar transistors, and compact circuit models</t>
  </si>
  <si>
    <t>The modern smartphone is enabled by a billion-plus nano-transistors, each having an active region that is barely a few hundred atoms long. Interestingly the same amazing technology has also led to a deeper understanding of the nature of current flow on an atomic scale. The aim of this course is to make the fundamentals of nanoelectronics accessible to anyone in any branch of science or engineering, assuming very little background beyond linear algebra and differential equations, although we will be discussing advanced concepts in non-equilibrium statistical mechanics that should be of interest even to specialists. We first introduce a new perspective connecting the quantized conductance of short ballistic conductors to the familiar Ohm's law of long diffusive conductors, along with a brief description of the modern nano-transistor. We then address fundamental conceptual issues related to the meaning of resistance on an atomic scale, the interconversion of electricity and heat, the second law of thermodynamics and the fuel value of information. Finally we introduce the concepts of quantum transport as applied to modern nanoscale electronic devices</t>
  </si>
  <si>
    <t>The course covers general topics in CMOS analog IC design; biasing, noise, single stage amplifiers, differential amplifiers, OP-Amp, OTA, frequency domain analysis, and active filters. While the focus of the course is on CMOS IC design, design in bipolar andBi CMOS technologies are introduced as well. A design project is a key component of the course. The students conduct group or individual design projects. Process Design Kit and EDA tools are provided for the design projects</t>
  </si>
  <si>
    <t>Solving large-scale problems typically rely on many clever data structures and algorithms. This course aims to cover many such useful algorithms for solving large-scale problems. These algorithms include greedy algorithms, dynamic programming and more advanced graph algorithms. The course also aims to demonstrate how such algorithms can be applied to solve optimization problems encountered in engineering applications. In particular, applications in the design of VLSI (very large scale integration) at circuit, layout, or system level will be used to demonstrate how an engineering problem can be formulated as a tree/graph problem and solved using established tree/graph algorithms</t>
  </si>
  <si>
    <t>Modern theories of diffraction and Fourier optics for imaging, optical communications and networking, mirco/nanotechnologies and related devices and systems. Imaging techniques involving diffraction and/or Fourier analysis such as tomography, magnetic resonance imaging, synthetic aperture radar and confocal microscopy. Topics in optical communications and networking including wave propagation in free space, fiber, and integrated optics, and related design issues. Micro/nanotechnologies involving diffraction and/or Fourier analysis. Simulation studies using MATLAB and other professional software packages for analysis and design</t>
  </si>
  <si>
    <t>(BME 58100) Key topics in micro-electro-mechanical systems (MEMS) and biological micro-integrated systems; properties of materials for MEMS; microelectronic process modules for design and fabrication. Students will prepare a project report on the design of a biomedical MEMS-based micro-integrated system. Offered in alternate years. Permission of department required</t>
  </si>
  <si>
    <t>Laboratory exercises in the fabrication and testing of silicon integrated circuits. Both bipolar and MOS integrated circuit test chips are fabricated and tested. Laboratory technique, the technology of integrated circuit fabrication, and electrical characterization are emphasized. Permission of department required</t>
  </si>
  <si>
    <t>An introduction to most aspects of large-scale MOS integrated circuit design including: device fabrication and modeling; inverter characteristics; designing CMOS combinational and sequential circuits; designing arithmetic building blocks and memory structures; interconnect and timing issues; testing and verification; and system design considerations. Term projects involve the complete design of a functional logic block or system using CAD tools</t>
  </si>
  <si>
    <t>This course provides an introduction to the design of embedded and ubiquitous computing systems including their hardware and software architectures, design methodologies and tools, and communication protocols. The lectures are organized into three parts namely, (a) basic design principles including specification and modeling, hardware components and platforms, software organization, embedded and real-time operating systems, interfacing with external environments using sensors and actuators, and communication in distributed embedded systems, (b) advanced topics such as energy management, safety and reliability, and security, and (c) case-studies of real-world systems from a variety of embedded application domains such as biomedical devices, smart cards and RFID, networked sensors, personal computing devices, home appliances and electronics, mobile robotics, etc. In addition to hands-on programming assignments using off-the-shelf embedded system development kits, the course will feature a comprehensive project where students will design, implement, and evaluate a prototype embedded system</t>
  </si>
  <si>
    <t>This course aims at analysis and design of CMOS integrated radio frequency (RF), microwave and mm-wave circuits. Various modules of an RF transceiver are discussed including low noise amplifiers, mixers, oscillators, frequency synthesizers and power amplifiers. A term project on design of an RF to mm-wave module is also required</t>
  </si>
  <si>
    <t>The course will cover nanoscale processes and devices and their applications for manipulating light on the nanoscale. The following topics will be covered: Fundamentals, Maxwell's equations, light-matter interaction, dispersion, EM properties of nanostructures; Photonic crystals and photonic crystal fibers; Photonic and plasmonic nanocircuits; Silicon nanophotonics; Metal optics; Manipulating light with plasmonic nanostructures; Plasmonic nano-sensors; Near-field optics; Metamaterials: artificial magnetism and negative refractive index; Metamaterials: superlens and hyperlens; Transformation optics and cloaking; Nanolasers; Tunable and active plasmonic materials; Refractory plasmonics; Plasmonics for energy conversion, data storage and biomed applications; Metasurfaces; Intro to quantum photonics. Prerequisites by Topic: Basic knowledge of electromagnetism and solid state materials, Maxwell equations and band structure of solids</t>
  </si>
  <si>
    <t>This course covers the fundamentals of RF design. It is designed as a first course for students or engineers with limited background in high-frequency electronics. Engineers that need to understand the 'RF language' and gain working knowledge of critical RF concepts will benefit from taking this course. Students in this class will learn the basic RF tools and design principles. By the end of this class students will be able to understand important RF concepts and how these are related to the design of practical RF blocks. Pre-requisite: ECE 31100 or equivalent</t>
  </si>
  <si>
    <t>Following the 'Primer on RF Design' course, this class focuses on system-level issues. We discuss several important design considerations including noise, non-linearity, distortion, sensitivity and dynamic range and their impact in selecting the appropriate system architecture. The course also covers common receiver architectures including superheterodyne and direct-conversion receivers. Pre-requisite: ECE 60422</t>
  </si>
  <si>
    <t>Following the 'Primer on RF Design' course, this class focuses on passive and active components. We use the techniques learnt in the previous course, to design advanced RF devices including couplers, filters and amplifiers. Current research topics are discussed as appropriate. Pre-requisite: ECE 60422</t>
  </si>
  <si>
    <t>This course will focus on the physics of reliability of small semiconductor devices. In traditional courses on device physics, the students learn how to compute current through a device in response to applied voltage. However, as transistors are turned on and off trillions of times during the years of operation, gradually defects accumulate within the device so that at some point the transistor does not work anymore. The course will explore the physics and mathematics regarding how and when things break - a topic of great interest to semiconductor device engineers. Prerequisites: ECE 60600 required; ECE 61200 and ECE 55800 are recommended</t>
  </si>
  <si>
    <t>Discusses different aspects of VLSI testing and formal verification of designs. Design and manufacturing defect models are introduced along with test generation and fault simulation algorithms targeting the different fault models. Both combinational and sequential logic testing are covered, and different synthesis for testability schemes such as BIST (Built-In-Self-Test), scan path design, etc., are introduced. Other new and emerging test and verification techniques also are discussed. Offered every third semester. Prerequisite: ECE 55900</t>
  </si>
  <si>
    <t>Capacitors, inductors, oscillators, rectifiers, bipolar and MOSFET power switches, switching power supplies, half-and full-H bridges, switching audio power amplifiers, and linear regulators are studied. Computer-aided analysis of circuits is utilized</t>
  </si>
  <si>
    <t>This course establishes a foundation for concurrent digital systems. Common methods of describing digital circuit operation are studied along with the techniques for translation between any two methods. Basic building blocks of digital systems are defined and applied. Analysis techniques for combinational and sequential logic circuits or subsystems are covered. Computer-based development tools, programmable logic devices, and technical reference sources are used to build, test, and evaluate digital systems</t>
  </si>
  <si>
    <t>This course focuses on the study and application of real-time embedded systems. Real-time operating systems (RTOS) are introduced and applied. Students learn and use programming and scripting languages to discover the advantages and limitations of RTOS application in the lab</t>
  </si>
  <si>
    <t>A study of the fundamentals and applications of switch-mode DC-DC and DC-AC power electronic converters, with emphasis on controller and power stage design tailored to specific applications such as grid-interactive inverter-based resources and electric vehicles</t>
  </si>
  <si>
    <t>This course investigates complex digital systems that are implemented with field programmable gate arrays (FPGAs) using concurrent and sequential digital design techniques. Applications will include serial communications, digital signal processing, memory systems and video generation</t>
  </si>
  <si>
    <t>This course provides fundamental knowledge of integrated computer imaging or vision systems for sensing, quality control and automation applications. Fundamental basis of optics, illumination, camera types with associated technologies, and image acquisition to develop a customized computer imaging or vision systems will be covered. Algorithms for image processing, image analysis and pattern recognition will also be covered. Emerging technologies-based integrated computer vision or imaging system for sensor system, inspection, quality control and automation in different sectors (medical, manufacturing, security, construction etc.) will be examined. Parallel laboratory hands-on experience will allow the students to apply and validate the concepts learned in the lecture</t>
  </si>
  <si>
    <t>This course covers operational principles and application development consideration of all subsystems that make up electric drives: electric machines, power-electric based converters, mechanical system requirements, feedback controller design, and the interaction of drives with the utility grid. State of the art motor drive design and testing tools are introduced through hands-on activities</t>
  </si>
  <si>
    <t>This course is a study of the applications of analog integrated circuits. Topics include linear amplifiers, IC specifications, linear regulators, linear and switched-capacitor active filters, and nonlinear circuit applications. Computer aided analysis of these circuits is also presented</t>
  </si>
  <si>
    <t>This course introduces students to various contemporary Hardware Description Languages (HDL) for modern digital logic systems. The course will emphasize on Verilog HDL. It covers logic-synthesis and high-level-synthesis in the context of HDL coding constructs for platform-independent and dependent technologies applicable to modern semiconductor industry testing. Students are also exposed to the subset of HDL that may be used for synthesis of custom logic for edge devices. HDL simulation and synthesis labs and projects are performed using commercial and/or academic VLSI CAD tools</t>
  </si>
  <si>
    <t>This course requires students to develop a detailed design, develop a time/action plan, perform research on existing electronic vehicle systems, develop a procurement plan for electronic vehicle components, design and fabricate custom electric vehicle components, and construct an electric vehicle. The completed electric vehicle is extensively tested for safety, performance, and energy efficiency</t>
  </si>
  <si>
    <t>Principal manufacturing processes; metal cutting, grinding and metal forming operations, machine tools, and tools and tooling. Nontraditional machining and welding. Introduction to computer-aided manufacturing and computer-aided graphics and design, N/C programming, robots, and flexible manufacturing systems. Classroom and laboratory demonstrations included. Not open to students with credit in ME 36300</t>
  </si>
  <si>
    <t>Basic concepts in the design and operational control of integrated production systems. Includes topics on facility layout and material handling, material flow and information flow, resource and capacity planning, and shop floor control and scheduling</t>
  </si>
  <si>
    <t>Fundamentals of work methods and measurement. Applications of engineering, psychological, and physiological principles to the analysis and design of human work systems</t>
  </si>
  <si>
    <t>The interrelations of materials, processes, and design with various aspects of manufacturing</t>
  </si>
  <si>
    <t>Extensions of topics on the design and operational control of integrated production systems. Includes production databases, facility layout, material handling, advanced control and scheduling, and physical distribution. Case studies, lab assignments, and projects</t>
  </si>
  <si>
    <t>Continuation of IE 38600. Applications of engineering, computer sciences, information sciences, and psychological principles and methods to the analysis and design of human work systems</t>
  </si>
  <si>
    <t>Reliability of components and multi-component systems. Application of quantitative methods to the design and evaluation of engineering and industrial systems and processes for assuring reliability of performance. Economic and manufacturing control activities related to product engineering aspects of reliability. Principles of maintainability. Product failure and legal liability</t>
  </si>
  <si>
    <t>The application of statistics to the effective design and analysis of industrial studies relating to manufacturing and human factors engineering in order to optimize the utilization of equipment and resources. Emphasis on conducting these studies at the least cost</t>
  </si>
  <si>
    <t>Application of human factors and engineering practice in accident prevention and the reduction of health hazards are presented. The objective of this course is to provide an understanding of the safety and health practices which fall within the responsibilities of the engineer in industry. Special attention is devoted to the detection and correction of hazards and to contemporary laws and enforcement on occupational safety and health</t>
  </si>
  <si>
    <t>Background and development of production management, plus current concepts and controls applicable to production management functions. Not open to Industrial Engineering students with a minor in management</t>
  </si>
  <si>
    <t>Theories and applications of materials forming and removal processes in manufacturing, including product properties, process capabilities, processing equipment design, and economics. A systems approach to all aspects of manufacturing process engineering</t>
  </si>
  <si>
    <t>Design and control of discrete part manufacturing systems in contemporary production environments, with emphasis on flexible, demand-driven, product-based manufacturing. Currently used planning and control methodologies, such as MRP, OPT, and JIT are reviewed and integrated with appropriate facility design methodologies, including cellular design algorithms. Introduction to Computer Integrated Manufacturing (CIM) architecture and reference models and relevant control procedures, including basis approaches to appropriate data management methodologies</t>
  </si>
  <si>
    <t>Study of the theoretical and applied aspects of manufacturing systems layout. Emphasis on contemporary manufacturing, including the layout of cellular systems, automated material handling systems, and storage systems</t>
  </si>
  <si>
    <t>Analysis for design and evaluation of material handling systems with emphasis on material flow control and storage. Analytic models and simulation used. Economic justification models for material handling systems</t>
  </si>
  <si>
    <t>A study of sales models and techniques for technical and service sales in business-to-business environments, including development of channel relationships, long-term sales agreements, customer relationship management efforts, total cost of ownership tools and complex sales presentations. Covers critical sales skills such as e-economy sales and marketing, lead management, building credibility, consultative selling, ethical negotiations, and sustainable product management</t>
  </si>
  <si>
    <t>Manufacturing processes for engineering materials, both metallic and non-metallic. Fundamentals of manufacturing processes with a "hands-on" laboratory sequence. Analysis and design of processes for various engineering materials and their link to engineering design. Hands-on experiences through laboratory experiments and demonstrations. Not open to students with credit in IE 37000</t>
  </si>
  <si>
    <t>Application of Thermodynamics, fluid mechanics, and heat transfer fundamentals to the design of energy systems. Applications include thermal regulation in buildings, electronic equipment, energy generation, conversion, and storage, manufacturing processes, and combustion processes. Beyond the fundamentals, this course will focus on design and analysis techniques, including analysis of energy costs, economics, and environmental issues</t>
  </si>
  <si>
    <t>Introduction to advanced computer-aided design (CAD) for product design, modeling, and prototyping. Individual use and team-based environment to design and prototype a functional and marketable product. Projects include use of the advanced design tools to produce a working prototype that is manufacturable. Application to design, manufacturing, and analysis</t>
  </si>
  <si>
    <t>Controller design in frequency domain with introduction to digital systems and control</t>
  </si>
  <si>
    <t>Introduction to finite element analysis with focus on linear elasticity and heat transfer. Matrix analysis and assembly of solutions. Strong form and weak form as a general solution process for differential equations</t>
  </si>
  <si>
    <t>Transport of energy in natural and fabricated micro- and nano-scale structures. Physical nature of energy transport by three carriers-electrons, phonons, and photons. Bulk material properties (e.g., thermal/electrical conductivity) are derived from statistical particle transport theories. Effects of spatial confinement on bulk properties are quantified. Contemporary interdisciplinary engineering applications</t>
  </si>
  <si>
    <t>Basic two-phase flow equations, homogeneous model, drift-flux model, flow regimes, pressure drop in two-phase flow. Nucleation and bubble dynamics, pool boiling, subcooled boiling, forced convection boiling, critical heat flux in pool boiling, critical heat flux in forced convection boiling, minimum heat flux, film boiling, post dryout heat transfer. Flow instabilities, choking in two-phase flow, film and dropwise condensation. Applications to heat exchangers. Special boiling and two-phase flow problems. Offered in alternate years</t>
  </si>
  <si>
    <t>This course covers both traditional and more innovative methods for heat extraction in electronic systems and the effectiveness and applicability of these methods over a wide range of scales. Special emphasis is given to industry-related applications with experts often attending and presenting material as part of class instruction</t>
  </si>
  <si>
    <t>Modeling and optimization of thermal systems with a focus on heat-pumping equipment, such as vapor compression, absorption, and some advanced heat-pumping cycles. Students combine the use of thermodynamics, heat transfer, fluid mechanics, and numerical methods to develop and apply mathematical models for the analysis and optimization of specific equipment. Offered in alternate years</t>
  </si>
  <si>
    <t>Review of current trend of building and indoor environment design. Theory of thermal comfort, indoor air quality, visual comfort, and acoustic comfort. Introduction of experimental techniques and advanced computer tools for indoor environment analysis and design</t>
  </si>
  <si>
    <t>Multi-objective decision making under risk and uncertainty; Group decision making; Sequential decision making; Model-based and data-driven decision making; Heuristics and biases in design decision making. Applications to engineering design including estimation of customer preferences, simulation-based design, and sustainable design</t>
  </si>
  <si>
    <t>Fundamental principles of product and process design to produce a marketable product, develop a preliminary business strategy, and construct an operational prototype. Overview of relevant principles related to product and process design. Market analysis, design parameters, manufacturing prototype plan, production process plan, and a business strategy developed in teams. Broad overview of the entire product development process, including patents, commercialization of new technologies, and the highly interdisciplinary nature of product design through industry guest lectures. Impact of information technologies and the Internet on product design, prototyping, marketing, and customization. Product prototype is required. Design and product software information technology service-type concepts. Permission of instructor required</t>
  </si>
  <si>
    <t>Science, technology, and application of lubricated interacting surfaces in relative motion. Advanced analysis techniques and hands-on exposure to modern experimental methods provide an enhanced understanding of fundamental principles of lubrication, friction, and wear. Basics of design and analysis of machine components operating in the presence of air and liquid lubricants. Rolling fatigue, friction and wear models, and measurement techniques. Offered in alternate years</t>
  </si>
  <si>
    <t>Introduction to manufacturing concerns, such as efficient design, producibility, and quality, which must be considered early in the engineering design process. Topics include the product development cycle, manufacturing process selection, tolerancing, quality function deployment (QFD), design for assembly (DFA), quality control techniques, Taguchi's robust design methodology, life cycle engineering, and reliability. Laboratory projects in the area of tolerancing, assembly, and manufacturability are included along with a project from industry in which the students can disassemble, analyze, and redesign a product while obtaining feedback from industry concerning manufacturability</t>
  </si>
  <si>
    <t>Prediction of the macroscopie behavior of materials from their microstructure and the design of new materials. Microstructure-property relationships between the macroscopie material behavior and microscopic structure. Application to traditional structure as well as to new engineering materials. Adapting emerging constitutive relations into structure analyses. Introduction of this new approach to materials, its applications in predictive analysis tools, and its importance in simulation-based engineering</t>
  </si>
  <si>
    <t>Review of systems with one degree for freedom. LaGrange's equations of motion for multiple degree of freedom systems. Introduction to matrix methods. Transfer functions for harmonic response, impulse response, and step response. Convolution integrals for response to arbitrary inputs. Principle frequencies and modes. Applications to critical speeds, measuring instruments, isolation, torsional systems. Introduction to nonlinear problems</t>
  </si>
  <si>
    <t>Basic concepts of probability and random variables. Time-dependent reliability models. Strength-based reliability and interference theory. Weakest-link and fail-safe systems. Extremal distributions. Monte Carlo methods. Maintainability and availability. Fault tree analysis. Quality control and reliability. Offered in alternate years</t>
  </si>
  <si>
    <t>Fundamental elements for manufacturing process control are presented with advanced control theories, modeling and analysis of actuators, controller architecture, interfacing and programming. Emphasis is on computer integrated manufacturing with computer numerical control of machine tools, automation via programmable logic controllers, motion control, process control examples, and manufacturing process monitoring. Hands-on experience is attained through laboratory experiments with state-of-the-art equipment</t>
  </si>
  <si>
    <t>Introduction to, and overview of, the field of digital control. Prior knowledge of continuous control techniques is assumed. Topics include mathematical background from residue theory through integral transforms; sampled data systems, including A/D, D/A, and hold properties, aliasing, and Z transforms. Digital control design via continuous, discrete, and state space design techniques. Implementation considerations, including nonlinear effects. Mechanical engineering examples</t>
  </si>
  <si>
    <t>Fundamentals of signal processing associated with Fourier analyzer systems are presented. Emphasis is on amplitude accuracy and frequency resolution properties necessary for reliable experimental methodologies in system identification, spectrum estimation, and correlation analysis. Deterministic, as well as random, data analyses are presented. Students are required to develop algorithms that significantly expand the utility of Fourier analyzer systems</t>
  </si>
  <si>
    <t>The solution of problems arising in mechanical engineering using numerical methods. Topics include nonlinear algebraic equations, sets of linear algebraic equations, eigenvalue problems, interpolation, curve fitting, ordinary differential equations, and partial differential equations. Applications include fluid mechanics, gas dynamics, heat and mass transfer, thermodynamics, vibrations, automatic control systems, kinematics, and design</t>
  </si>
  <si>
    <t>Architecture of microcomputers; operating systems, logic functions, logic circuit design; I/O structure and interfacing; assembly language, manual assembly; software and hardware interrupts; data acquisition, serial and parallel communications; the role of high-level languages. Laboratory experiments on applications to electrical, mechanical, and thermofluid systems</t>
  </si>
  <si>
    <t>Fundamentals of geometrical and physical optics as related to problems in engineering design and research. Characteristics of imaging systems; properties of light sources; optical properties of materials. Diffraction, interference, polarization, and scattering phenomena as related to optical measurement techniques. Introduction to lasers and holography. (Laboratory work can be undertaken for additional credit by special arrangement.)</t>
  </si>
  <si>
    <t>Electronic and interfacing techniques for design and control of electro-mechanical systems. Basic digital and analog design with applications to electro-mechanical interfacing via hands-on laboratory experience. Commonly used actuators and sensors and corresponding interfacing techniques. Realistic and integrated product development experience provided through a comprehensive final project where working prototypes are built to defined specifications</t>
  </si>
  <si>
    <t>The solution of problems in mechanical engineering using the generalized numerical techniques; the finite element method and the boundary element method. Topics include reformulation of partial differential equations into appropriate form for each method. The development and implementation of code and solution of problems. Applications include: acoustics, fluid dynamics, heat transfer, design, mechanics and biomechanics. Prerequisite: ME 58100</t>
  </si>
  <si>
    <t>The application of pneumatic motion control systems to industrial motion control and robotics is studied. Circuit design with control logic of both fluid and electronic types is stressed, as applied to pneumatic point-to-point and proportional controls. Control designs are implemented, tested, and evaluated in the laboratory</t>
  </si>
  <si>
    <t>This course explores the devices, algorithms, architectures, and standards that support advanced process control in smart manufacturing. Core topics include the role of control systems in managing continuous processes, loop modeling, transfer functions, and the design, implementation, and tuning of proportional-integral-derivative (PID) controllers. Students also examine the integration of modern approaches, including machine learning and artificial intelligence, to enhance control strategies and optimize system performance. Laboratory activities provide hands-on experience in applying and tuning control methods with industry-grade hardware, bridging traditional process control with data-driven approaches</t>
  </si>
  <si>
    <t>This course addresses the application of the industrial internet of things (IIoT) for modeling and simulation of smart manufacturing assets, processes, and operations. Emphasis is placed on synchronizing modeling, simulation, and visualization with augmented reality (AR) and mixed reality (MR) using real-time data to develop innovative services, enhance efficiencies, and improve productivity in smart factories</t>
  </si>
  <si>
    <t>An examination of smart manufacturing information systems with particular focus on applications for horizontal- and vertically-integrated manufacturing organizations. Topics include cloud-based integrated information systems to provide connectivity, visibility, and analytics of production and shop-floor execution systems and integrating manufacturing execution, manufacturing operations management, and enterprise resource planning (ERP) systems</t>
  </si>
  <si>
    <t>Machine learning (ML) algorithms are used to extract and analyze large amounts of manufacturing data. This course introduces fundamental ML analytic techniques and commonly used ML algorithms, with an emphasis on manufacturing applications. Students will learn to create, train, and deploy ML models on a cloud platform to develop enterprise-ready artificial intelligence (AI) solutions for smart manufacturing</t>
  </si>
  <si>
    <t>This course investigates how artificial intelligence, industrial IoT, and big data are used to enable predictive analytics with machine learning. Emphasis is on optimizing production processes, improving productivity, quality, efficiency, and integrating predictive maintenance applications in smart manufacturing operations</t>
  </si>
  <si>
    <t>Artificial intelligence (AI), machine learning (ML), industrial IoT (IIoT), and big data are applied to enable predictive analytics with machine learning for optimizing processes and operation in a horizontally-integrated smart manufacturing value-chain network</t>
  </si>
  <si>
    <t>This course examines the fundamentals of industrial networks and system integration as the foundation of smart manufacturing systems. Emphasis is placed on communication among computers, PLCs, robots, automatic identification equipment, and IoT-enabled devices. Database technology is introduced as an integration tool, alongside operational technology cybersecurity principles that protect connected infrastructures. The course also explores flexible and cloud-based architectures that support scalable, data-driven operations. Attention is given to developing data foundations that enable applications of machine learning and artificial intelligence, equipping students to extend existing industrial systems into intelligent, connected manufacturing environments</t>
  </si>
  <si>
    <t>This course introduces general concepts in supply chain management, including procurement, supply planning, demand planning, and logistics, using state-of-the-art tools in predictive analytics, artificial intelligence, and optimization. This course is designed around a corporate partnership to provide students with the opportunity to work on a real-world case presented by the corporate partner, a complex problem broken down into several learning areas throughout the semester</t>
  </si>
  <si>
    <t>The course is an undergraduate elective offered as part of the Center for Manufacturing Management Enterprises (CMME) quality initiatives. Provides an overview of various tools and methods for total quality management</t>
  </si>
  <si>
    <t>The course examines key concepts in the planning, control, and improvement of processes in manufacturing and service operations. Specific topics covered in the course include: (i) Product/service characteristics that provide value to customers and competitive priorities, (ii) Role of processes and key operations choices to support the competitive priorities, (iii) Process analysis and scheduling, (iv) Throughput principles to deal with adverse impacts of process uncertainties and bottlenecks, (v) Managing capacity and lead times, (vi) Throughput principles to deal with wastes and errors, including the Toyota Production System and Lean Operations, and (vii) Coordinating material/order flows in supply chain - MRP, and Resources and Production Planning - Aggregate Production Planning. The class uses a combination of lectures, cases, simulations, outside speakers, experiential exercises, and student presentations. An important component of the course is a hands-on exercise where students in teams of seven or eight design and run a production process to meet demand for a quality-conscious customer. The teams then present the lessons learned to the class</t>
  </si>
  <si>
    <t>This course focuses on data-driven and rigorous decision-making in supply chain management. It is a complete problem-solving and decision-making process, and integrates a broad set of analytical methodologies (data analysis, optimization, and simulation). Students will implement these methodologies in both Excel and in Python, and they will learn how to use AI to augment and support their coding abilities. MGMT 30600 is highly recommended but not required. Basic Calculus, Statistics, and Excel literacy are required</t>
  </si>
  <si>
    <t>Students follow a structured analytical process using popular industry tools (e.g., RStudio, Tableau, SQL) to identify, visualize, and summarize relationships within large data sets to support business problems. More focus is on descriptive analytics which includes business segmentation and clustering methods, but also introduces two predictive analytic methods, decision trees, and neural networks</t>
  </si>
  <si>
    <t>Students build and evaluate predictive models to support regression-type and classification-type business problems using popular industry tools (e.g., RStudio, SAS Enterprise Miner). Methods covered include multiple linear regression, ridge regression, lasso, CART, logistic regression, LDA/QDA, SVM, and ensemble methods such as random forests</t>
  </si>
  <si>
    <t>or 3.00. An advanced course in manufacturing planning and control systems, emphasizing the integration of demand forecasting, inventory control, production scheduling, and production control. Topics are linked through case studies and an elaborate manufacturing computer simulation game</t>
  </si>
  <si>
    <t>This course will address the process of procurement including terminology, metric, and decision making. Additionally, we will investigate the best practices and processes for managing the relationships with suppliers and their performance. We will also explore the sourcing decision and the strategic ramifications of producing/ providing goods and services internally or purchasing them from external organizations. Prerequisites: Students are expected to have taken a basic course on operations (such as the masters core class MGMT 66000: Introduction to Operations Management) and a basic course on supply chain management (such as the masters elective MGMT 66400: Supply Chain Management)</t>
  </si>
  <si>
    <t>This course will integrate issues from marketing (channels of distribution), logistics, and operations management to develop a broad understanding of a supply chain in a global context. Students will learn how different factors, including exchange rate risk, custom duty and trading policies, geographic distribution of resources and demand, availability and reliability of local supplier, and characteristics of consumer, affect the design and execution of global supply chain strategies. Prerequisites: Students are expected to have taken a basic course on operations (such as the masters core class MGMT 66000: Introduction to Operations Management) and a basic course on supply chain management (such as the masters elective MGMT 66400: Supply Chain Management). Exposure to a course on optimization is also preferred, but not required. The course requires logical and analytical thinking</t>
  </si>
  <si>
    <t>Supply Chain Analytics focuses on data-driven and rigorous decision making in supply chain management. It is a complete problem solving and decision making process, and integrates a broad set of analytical methodologies that enables the creation of business value. Prerequisites: MGMT 66000 (or equivalent course) and MGMT 67000 (or equivalent course)</t>
  </si>
  <si>
    <t>To 4.00. As goods and services are produced and distributed, they move through a set of inter-related operations or processes in order to match supply with demand. The design of these operations for strategic advantage, investment in improving their efficiency and effectiveness, and controlling these operations to meet performance objectives is the domain of Operations Management. The primary objective of the course is to provide an overview of this important functional area of business. Prerequisite: MGMT 67000, 67100. 0.000 TO</t>
  </si>
  <si>
    <t>to 4.00. Continues the examination of the linkage between a firm's product-market strategy and the role of the operations (i.e., production) function initiated in MGMT 660. Topics include material requirements planning, production activity control, and just-in-time systems. Prerequisite: MGMT 66000. 0.000 TO</t>
  </si>
  <si>
    <t>To 4.00. Introduction to quantitative decision procedures under uncertainty. Applications of descriptive statistics, probability models, simulation models, interval estimates, and hypothesis testing to management problems. Managerial-oriented cases are used in instruction. Prerequisite: Master's student standing and Management majors only. 0.000 TO</t>
  </si>
  <si>
    <t>The relationship between the structure of materials and the resulting mechanical, thermal, electrical, and optical properties. Atomic structure, bonding, atomic arrangement; crystal symmetry, crystal structure, habit, lattices, defects, and the use of X-ray diffraction. Phase equilibria and microstructural development. Applications to design</t>
  </si>
  <si>
    <t>Fundamental laws of thermodynamics and their applications to material systems; criteria for equilibrium; reaction and phase equilibria; properties of solutions; thermodynamic origins of phase diagrams</t>
  </si>
  <si>
    <t>Introductory course with an atomistic view point on material properties. Three primary class sections: bonding crystallography and statistical mechanics. Bonding topics include introduction to quantum mechanics, emphasis on understanding of metallic, ionic and covalent bonding. Crystallography topics include crystal descriptions and symmetry principles. Statistical mechanics development with application to electronic and thermodynamic properties</t>
  </si>
  <si>
    <t>An introduction to the relationships between the processing of materials and their properties. Heat treating, forming, casting, consolidation, and other more material-specific manufacturing processes. Elucidation of the role of phenomena such as heat flow, mass diffusion, nucleation, interfacial tension, elastic and plastic deformation, precipitation, grain growth</t>
  </si>
  <si>
    <t>This laboratory provides hands-on experience across a range of material classes, including structural and functional materials such semiconductors. Students perform experiments using standard characterization and processing equipment to measure properties, analyze structure and composition. The course emphasizes developing experimental skills, interpreting data, and linking results to materials performance</t>
  </si>
  <si>
    <t>This laboratory is intended as an intensive experience in processing techniques used for ceramics, metals, and polymers. Sintering of a ceramic, casting and post-processing (work hardening, heat treatment, etc.) of a metal, and preparation and extrusion of a polymer are the suggested processes. The measurements (e.g., powder size, compaction force, temperature, grain size, molecular weight) applicable to the successful processing of the material and the final properties (e.g., hardness, ductility, strength, stiffness) will be emphasized</t>
  </si>
  <si>
    <t>An introductory course to provide basic background on the behavior of materials; electronic band structure, electronic and ionic conduction, electronic processes in semiconductors, dielectric, optical, and magnetic properties, and superconductivity; emphasis is on the relation between the properties and the structural aspects of materials</t>
  </si>
  <si>
    <t>Structures and interactions of point, line, and planar defects in solids, with emphasis on properties of defects. Generic basis of defect energies and interactions, with reference to specific materials and material classes as examples. Types of point defects found in crystals, their origins, interactions, and motion. Overview of dislocation theory and point-defect/dislocation interactions. Structural aspects of surfaces and interfaces, including point and line defect interactions</t>
  </si>
  <si>
    <t>A broad variety of analytical tools will be presented. The intent is to allow the student to make an educated selection of characterization techniques, or critical analysis of published data, for materials and defect analysis. The techniques will be assessed in terms of the probe type and material response, of what device and specimen requirements are typical, and of what data can or cannot be derived from each type of analysis</t>
  </si>
  <si>
    <t>Introduction to failure analysis and prevention. Concepts of materials failure, root cause analysis, manufacturing aspects of failure, techniques for identifying failure, fracture, corrosion, wear, and case studies. Also includes business and entrepreneurship aspects</t>
  </si>
  <si>
    <t>Physical and chemical processes responsible for microstructure development in modern ceramic materials, and the relationship between microstructures and physical properties. The material covered is divided into three parts: solid state processes, including structural defects, diffusion, sintering and grain growth, reaction rates, nucleation and growth, and microstructure development; mechanical and thermal behavior, including deformation, strength, thermal properties, and thermal and compositional stresses; and electrical and magnetic behavior, including electrical conductivity, dielectric properties, and magnetic properties. Offered in alternate years</t>
  </si>
  <si>
    <t>Examination of the production/synthesis of engineering materials and the subsequent processing steps required to obtain a desired shape and microstructure. The course covers four major categories of materials processing: primary processing or materials synthesis, solidification processing, deformation processing, and powder processing, and provides specific examples from the processing of polymers, metals, and ceramics. The goal is to connect fundamental principles of materials processing to manufacturing processes. Credit will not be given for both MSE 5300 and 36700</t>
  </si>
  <si>
    <t>Classical thermodynamics of surfaces: surface tension, surface excess properties, and surface segregation. Atomic structure of surfaces and surface reconstruction. Electronic structure of surfaces, surface states, and the electronic structure/properties of interfaces. Adsorption, surface diffusion, and clustering of adsorbates. Chemical reactions at surfaces. Offered in alternate years</t>
  </si>
  <si>
    <t>Processing and microstructural development of thin films and layered structures. Includes vapor, liquid, and reactive processing, as well as layer modification by annealing and beam techniques. Offered in alternate years</t>
  </si>
  <si>
    <t>Focuses on the mechanisms for deformation and fracture of metal, intermetallic, and ceramic materials, with particular emphasis on high temperature properties. The industrial success of superalloys, dispersion-strengthened alloys, stainless steels, composites, and thermal barrier coatings will serve as the basis for exploring the relationship between composition, microstructure, and component application in high temperature performance. Topics included are alloying effects on dislocation climb and glide, grain boundary and lattice diffusion, and dynamic recrystallization. The interactions between environment and thermal and mechanical cycling also will be considered. Design tools for prediction and evaluation of component life will be investigated in detail, including an exploration of deformation mechanism maps. Offered in alternate years</t>
  </si>
  <si>
    <t>Fundamental relationships between the internal structure, properties and processing in all classes of engineering materials. Comprehensive coverage spanning physical, chemical, thermal, mechanical, electrical, magnetic, and optical responses. The course is intended for materials researchers from all backgrounds, as well as engineers working in product design, development and manufacturing who seek a deeper understanding of the full spectrum of engineering materials</t>
  </si>
  <si>
    <t>Fundamental of radiation interaction with materials and applications, types of radiation and radiation sources, physical mechanisms of radiation interaction with solids, radiation damage, ion mixing, applications in nuclear fission and fusion reactors, applications in materials synthesis</t>
  </si>
  <si>
    <t>Introduction to radiation effects in solids and a survey of nuclear reactor materials. Radiation interaction mechanisms and effects on properties. Reactor material characteristics, selection criteria, testing, and economic considerations</t>
  </si>
  <si>
    <t>Introduction of the principles of nuclear science and engineering for addressing industrial and scientific issues ranging from sub-nano-to-macro scales. Areas to be covered include: propulsion, high-energy density materials, supercooling, medical applications, sonoluminescence, novel detection systems for special nuclear and contraband materials, and advanced nuclear fusion power systems</t>
  </si>
  <si>
    <t>Wave optics and properties of light, including reflection, refraction interference. Fraunhofer and Fresnel diffraction dispersion, polarization, double refraction, introduction to lasers and holography</t>
  </si>
  <si>
    <t>This course is to conduct physics research in a class-based environment. As such, we will perform authentic research, defined as work with the potential for results that are of interest to the scientific community. We will work with large data sets, such as those collected by survey telescopes, dark matter experiments, or detectors at the Large Hadron Collider</t>
  </si>
  <si>
    <t>This is a first course in quantum information and quantum computing, for students who have already had an introduction to quantum science. Linear algebra and some probability theory will be presented and used throughout this course. The basic postulates of quantum mechanics will motivate the applications to qubits, cryptography, quantum computation, algorithms, error correction, and other current topics</t>
  </si>
  <si>
    <t>Physics of waves and oscillations including sound, elastic waves, and electromagnetic waves such as light. Topics range from the theory of simple harmonic oscillators, transverse modes of a continuous string, and physical optics including interference, Fresnel and Fraunhofer diffraction, and resolution, to diffraction of X-rays and electrons by crystals. Optionally includes topics such as nonlinear waves and surface waves</t>
  </si>
  <si>
    <t>This course bridges fundamental quantum mechanics and modern microelectronics by exploring the core physics of semiconductor materials and devices. Students will investigate how the microscopic behavior of electrons determines the macroscopic electrical and optical properties of these essential materials. By connecting theoretical principles to real-world technologies, the course prepares students for advanced research and careers in the rapidly growing semiconductor industry</t>
  </si>
  <si>
    <t>Laboratory primarily intended for junior year physics majors. Assorted experiments in optics and other fields using lasers, photodiodes, computers, and other modern technology</t>
  </si>
  <si>
    <t>An introduction to the physics of quantum information science. Starting with the concepts of quantum superposition, it defines and describes qubits (quantum bits) and their manipulation by quantum logic gates. The topics of quantum entanglement and the EPR paradox are introduced, and their importance for quantum teleportation, communication, and quantum cryptography are covered. Quantum computing is described in terms of quantum circuits of logic gates, and also in terms of quantum algorithms, such as Deutsch's algorithm, the quantum Fourier transform, Shor's prime factoring algorithm, and Grover's search algorithm. The final topic is quantum decoherence and the limits it places on practical implementations of quantum computing</t>
  </si>
  <si>
    <t>A summary of principles of modern electronics currently used in research. Coursework will include broad coverage of the field and selected topics in electronics instrumentation</t>
  </si>
  <si>
    <t>Crystal structure; lattice vibrations and electronic band structure of crystals; electrical, optical, and thermal properties of solids; transport and other nonequilibrium phenomena in uniform and nonuniform materials</t>
  </si>
  <si>
    <t>Descriptive statistics; elementary probability; sampling distributions; inference, testing hypotheses, and estimation; normal, binomial, Poisson, hypergeometric distributions; one-way analysis of variance; contingency tables; regression. For statistics majors and minors, credit should be allowed in no more than one of STAT 30100, STAT 30301, STAT 35000, STAT 35500, STAT 50100, and in no more than one of STAT 50300 and STAT 51100. Prerequisite: Two semesters of college calculus</t>
  </si>
  <si>
    <t>This course is an introduction to the techniques and algorithms for creating effective data visualization. Visualizations are graphical depictions of data that can improve comprehension, communication, and decision making. This course emphasizes application in business settings where visual representation methods that are covered in this course will improve our understanding of complex data and models. We focus in particular on pattern identification, difference and trends in data sets across categories, space, and time. In addition to participating in in-class discussions, students will have sufficient hands-on experience with the tools and techniques covered in this course. Students will be expected to complete several short programming and data analysis assignments. Students will also have an opportunity to work as groups on a final project. Permission of department required</t>
  </si>
  <si>
    <t>2 or 3</t>
  </si>
  <si>
    <t>This course provides students with knowledge and skills for building and analyzing ethical and sustainable practices in supply chains, taking a holistic view of the interaction between businesses, the environment, and society</t>
  </si>
  <si>
    <t>Supervised reading and reports in various subjects. Open only to a limited number of seniors and graduate students. Permission of instructor required. 0.000 TO</t>
  </si>
  <si>
    <t>STARS (2025 and Prior)</t>
  </si>
  <si>
    <t>STARS (2026 and later)</t>
  </si>
  <si>
    <t>Intro to SOCET (Semester 1)</t>
  </si>
  <si>
    <t>Intro to SOCET (Semester 2 or later)</t>
  </si>
  <si>
    <t xml:space="preserve"> Junior-level standing in an ABET accredited engineering curriculum or permission of course instructor</t>
  </si>
  <si>
    <t xml:space="preserve">This course provides a broad, hands-on introduction to principles and practices of electronics packaging. The course is broadly divided into four major modules as well as other smaller modules. The major modules provide a practical background (as it relates to electronic packaging) electrical, thermal, mechanical and materials characterization. Design considerations as well as materials selection in the above topics will also be addressed. The minor modules include package fabrication and assembly, radiation hardening, and statistical modeling and data analysis. The class will be primarily a lab-oriented with 1 lecture and 4 hours of hands-on lab each week. </t>
  </si>
  <si>
    <t>ME 59700-1</t>
  </si>
  <si>
    <t>ME 597 Artificial Intelligence in Thermal Systems</t>
  </si>
  <si>
    <t>ME 597 Fundamentals of Microsystems Packaging</t>
  </si>
  <si>
    <t>N/A</t>
  </si>
  <si>
    <t>Yes</t>
  </si>
  <si>
    <t>No</t>
  </si>
  <si>
    <t>Certificate Course Number</t>
  </si>
  <si>
    <t>CHE 59700-1</t>
  </si>
  <si>
    <t>CHE 59700-2</t>
  </si>
  <si>
    <t>CHE 59700-3</t>
  </si>
  <si>
    <t>CHE 59700-4</t>
  </si>
  <si>
    <t>CHE 59700-5</t>
  </si>
  <si>
    <t>CHE 59700-6</t>
  </si>
  <si>
    <t>CHE 59700-7</t>
  </si>
  <si>
    <t>CHM 69600-1</t>
  </si>
  <si>
    <t>ECE 59500-1</t>
  </si>
  <si>
    <t>ECE 59500-2</t>
  </si>
  <si>
    <t>ECE 59500-3</t>
  </si>
  <si>
    <t>ECE 59500-4</t>
  </si>
  <si>
    <t>ECE 59500-5</t>
  </si>
  <si>
    <t>ECE 59500-6</t>
  </si>
  <si>
    <t>ECE 59500-7</t>
  </si>
  <si>
    <t>ECE 59500-8</t>
  </si>
  <si>
    <t>ECE 59500-9</t>
  </si>
  <si>
    <t>ECE 59500-10</t>
  </si>
  <si>
    <t>ECE 59500-11</t>
  </si>
  <si>
    <t>ECE 59500-12</t>
  </si>
  <si>
    <t>ECE 59500-13</t>
  </si>
  <si>
    <t>ECE 59500-14</t>
  </si>
  <si>
    <t>ECE 59500-15</t>
  </si>
  <si>
    <t>ECE 59500-16</t>
  </si>
  <si>
    <t>ECE 59500-17</t>
  </si>
  <si>
    <t>ECE 59500-18</t>
  </si>
  <si>
    <t>ECET 33300-1</t>
  </si>
  <si>
    <t>ECET 41500-1</t>
  </si>
  <si>
    <t>IE 49000-1</t>
  </si>
  <si>
    <t>MSE 59700-1</t>
  </si>
  <si>
    <t>MSE 59700-2</t>
  </si>
  <si>
    <t>VIP-1</t>
  </si>
  <si>
    <t>VIP-2</t>
  </si>
  <si>
    <t>VIP-3</t>
  </si>
  <si>
    <t>VIP-4</t>
  </si>
  <si>
    <t>ECE 39595-1</t>
  </si>
  <si>
    <t>ECE 39595-2</t>
  </si>
  <si>
    <t>ECE 39595-3</t>
  </si>
  <si>
    <t>ECET 22900-1</t>
  </si>
  <si>
    <t>ME 59700-2</t>
  </si>
  <si>
    <t>A significant portion of a modern signal processing system handles digital signals. But front- and back-end interfaces have to involve analog signal conditioning. Typically the front- and back- end analog conditioning circuits handle the highest frequency signal in the system and are key blocks affecting the overall system performance. RF IC for wireless digital communications, high-speed clock and data recovery for wireline serial interface, and high sensitivity sensor interface are a few of them. The advance and prosperity of CMOS technology enabled high-speed/performance analog IC design. The course will discuss the broad topics in CMOS analog IC design including current/voltage biasing, noise analysis, OP-Amp design and compensation, integrated active filter, PLL, and ADC/DAC. State- of-the-art designs and current research topics will be introduced. A design project will be a key component of the course. The students will conduct group design project, and obtain practical design knowledge and skills. Process Design Kit (PDK) and EDA tools like Cadence Schematic Editor, Layout Editor, and Simulator (Hspice or SpectreRF) will be provided for the design project.</t>
  </si>
  <si>
    <t>None Listed</t>
  </si>
  <si>
    <t>ECE 59500-19</t>
  </si>
  <si>
    <t>ECE 59500 Integrated Circuit/MEMS Fabrication</t>
  </si>
  <si>
    <t>This course is an updated version of ECE 55700 and will provide students state-of-the-art knowledge in the area of Micro and Nanofabrication Technology. Course topics include substrate, oxidation, lithography, etching (dry and wet), thin film deposition (physical vapor deposition, chemical vapor deposition, atomic layer deposition, epitaxy), diffusion and ion implantation, chemical mechanical polishing, metallization, packaging and integration. The course will include both lectures and hands-on training through VFabLab.</t>
  </si>
  <si>
    <t>Replaced with ECE 59500 Integrated Circuit/MEMS Fabrication</t>
  </si>
  <si>
    <t>Additional Information</t>
  </si>
  <si>
    <t>https://engineering.purdue.edu/ECE/Academics/Undergraduates/UGO/CourseInfo/courseInfo?courseid=716&amp;show=true&amp;type=undergrad</t>
  </si>
  <si>
    <t>https://engineering.purdue.edu/ECE/Academics/Undergraduates/UGO/CourseInfo/courseInfo?courseid=725&amp;show=true&amp;type=undergrad</t>
  </si>
  <si>
    <t>https://engineering.purdue.edu/ECE/Academics/Undergraduates/UGO/CourseInfo/courseInfo?courseid=40&amp;show=true&amp;type=undergrad</t>
  </si>
  <si>
    <t>https://engineering.purdue.edu/ECE/Academics/Undergraduates/UGO/CourseInfo/courseInfo?courseid=84&amp;show=true&amp;type=undergrad</t>
  </si>
  <si>
    <t>https://engineering.purdue.edu/ECE/Academics/Undergraduates/UGO/CourseInfo/courseInfo?courseid=812&amp;show=true&amp;type=undergrad</t>
  </si>
  <si>
    <t>https://engineering.purdue.edu/ECE/Academics/Undergraduates/UGO/CourseInfo/courseInfo?courseid=810&amp;show=true&amp;type=undergrad</t>
  </si>
  <si>
    <t>https://engineering.purdue.edu/ECE/Academics/Undergraduates/UGO/CourseInfo/courseInfo?courseid=613&amp;show=true&amp;type=undergrad</t>
  </si>
  <si>
    <t>https://engineering.purdue.edu/ECE/Academics/Undergraduates/UGO/CourseInfo/courseInfo?courseid=612&amp;show=true&amp;type=undergrad</t>
  </si>
  <si>
    <t>https://engineering.purdue.edu/ECE/Academics/Undergraduates/UGO/CourseInfo/courseInfo?courseid=869&amp;show=true&amp;type=undergrad</t>
  </si>
  <si>
    <t>https://engineering.purdue.edu/ECE/Academics/Undergraduates/UGO/CourseInfo/courseInfo?courseid=870&amp;show=true&amp;type=undergrad</t>
  </si>
  <si>
    <t>https://engineering.purdue.edu/ECE/Academics/Undergraduates/UGO/CourseInfo/courseInfo?courseid=543&amp;show=true&amp;type=undergrad</t>
  </si>
  <si>
    <t>https://engineering.purdue.edu/ECE/Academics/Undergraduates/UGO/CourseInfo/courseInfo?courseid=143&amp;show=true&amp;type=undergrad</t>
  </si>
  <si>
    <t>https://engineering.purdue.edu/ECE/Academics/Undergraduates/UGO/CourseInfo/courseInfo?courseid=73&amp;show=true&amp;type=undergrad</t>
  </si>
  <si>
    <t>https://engineering.purdue.edu/ECE/Academics/Undergraduates/UGO/CourseInfo/courseInfo?courseid=592&amp;show=true&amp;type=undergrad</t>
  </si>
  <si>
    <t>https://engineering.purdue.edu/ECE/Academics/Undergraduates/UGO/CourseInfo/courseInfo?courseid=65&amp;show=true&amp;type=undergrad</t>
  </si>
  <si>
    <t>https://engineering.purdue.edu/ECE/Academics/Undergraduates/UGO/CourseInfo/courseInfo?courseid=649&amp;show=true&amp;type=grad</t>
  </si>
  <si>
    <t>https://engineering.purdue.edu/ECE/Academics/Undergraduates/UGO/CourseInfo/courseInfo?courseid=718&amp;show=true&amp;type=grad</t>
  </si>
  <si>
    <t>https://engineering.purdue.edu/ECE/Academics/Undergraduates/UGO/CourseInfo/courseInfo?courseid=719&amp;show=true&amp;type=grad</t>
  </si>
  <si>
    <t>https://engineering.purdue.edu/ECE/Academics/Undergraduates/UGO/CourseInfo/courseInfo?courseid=717&amp;show=true&amp;type=grad</t>
  </si>
  <si>
    <t>https://engineering.purdue.edu/ECE/Academics/Undergraduates/UGO/CourseInfo/courseInfo?courseid=748&amp;show=true&amp;type=grad</t>
  </si>
  <si>
    <t>https://engineering.purdue.edu/ECE/Academics/Undergraduates/UGO/CourseInfo/courseInfo?courseid=721&amp;show=true&amp;type=grad</t>
  </si>
  <si>
    <t>https://engineering.purdue.edu/ECE/Academics/Undergraduates/UGO/CourseInfo/courseInfo?courseid=819&amp;show=true&amp;type=undergrad</t>
  </si>
  <si>
    <t>https://engineering.purdue.edu/ECE/Academics/Undergraduates/UGO/CourseInfo/courseInfo?courseid=479&amp;show=true&amp;type=grad</t>
  </si>
  <si>
    <t>https://engineering.purdue.edu/ECE/Academics/Undergraduates/UGO/CourseInfo/courseInfo?courseid=695&amp;show=true&amp;type=grad</t>
  </si>
  <si>
    <t>https://engineering.purdue.edu/ECE/Academics/Undergraduates/UGO/CourseInfo/courseInfo?courseid=336&amp;show=true&amp;type=grad</t>
  </si>
  <si>
    <t>https://engineering.purdue.edu/ECE/Academics/Undergraduates/UGO/CourseInfo/courseInfo?courseid=439&amp;show=true&amp;type=grad</t>
  </si>
  <si>
    <t>https://engineering.purdue.edu/ECE/Academics/Undergraduates/UGO/CourseInfo/courseInfo?courseid=375&amp;show=true&amp;type=grad</t>
  </si>
  <si>
    <t>https://engineering.purdue.edu/ECE/Academics/Undergraduates/UGO/CourseInfo/courseInfo?courseid=440&amp;show=true&amp;type=grad</t>
  </si>
  <si>
    <t>https://engineering.purdue.edu/ECE/Academics/Undergraduates/UGO/CourseInfo/courseInfo?courseid=281&amp;show=true&amp;type=grad</t>
  </si>
  <si>
    <t>https://engineering.purdue.edu/ECE/Academics/Undergraduates/UGO/CourseInfo/courseInfo?courseid=798&amp;show=true&amp;type=grad</t>
  </si>
  <si>
    <t>https://engineering.purdue.edu/ECE/Academics/Undergraduates/UGO/CourseInfo/courseInfo?courseid=731&amp;show=true&amp;type=grad</t>
  </si>
  <si>
    <t>This course is the second 1-credit module in a 3-module series. This module introduces the fundamentals of MEMS design. We begin with the design and analysis of micromechanical springs most commonly used in successful MEMS devices. Next, we investigate popular transduction mechanisms, which allow the needed conversion of energy between electrical signals and mechanical motion (and vice versa). This is a critical component of all MEMS actuators and sensors. The course focuses primarily on electrostatic and piezoelectric transduction. Modeling of MEMS devices is then considered, with focus on linearized models and electromechanical resonance.</t>
  </si>
  <si>
    <t>This course is the third in a series of three 1-credit courses on semiconductor lithography. This course covers the specific aspects of computational lithography, including physics of sub-wavelength image formation; Fourier imaging at the diffraction limit; forward model for patterning simulations; and applications in manufacturing.</t>
  </si>
  <si>
    <t>https://engineering.purdue.edu/ECE/Academics/Undergraduates/UGO/CourseInfo/courseInfo?courseid=860&amp;show=true&amp;type=grad</t>
  </si>
  <si>
    <t>This course introduces the fundamentals of microfabrication used for wafer-scale manufacturing of Microelectromechanical Systems (MEMS). Borrowing some techniques from the integrated circuit (IC) fabrication and engineering new techniques to solve MEMS-specific challenges, MEMS microfabrication boasts an extensive toolbox employed both in research-level prototyping and in mass production in MEMS industry. The course reviews key methods for deposition, patterning, release, and packaging of MEMS devices. Considerations for benefits and levels of integration of MEMS and ICs are discussed. Micro-fabrication case studies of several MEMS devices are reviewed.</t>
  </si>
  <si>
    <t>https://engineering.purdue.edu/ECE/Academics/Undergraduates/UGO/CourseInfo/courseInfo?courseid=732&amp;show=true&amp;type=grad</t>
  </si>
  <si>
    <t>This module surveys both established and emergent applications of MEMS. With the growing demand for cheap, microscale, low power sensors, the first part of this course will cover MEMS sensor applications including inertial, chemical, field, and IR sensor devices. We will discuss limits of sensitivity, design, fabrication, and system-level integration. Other topics will include microrobotics, optical MEMS, BioMEMS and Lab on a Chip, and quantum computing with MEMS/NEMS.</t>
  </si>
  <si>
    <t>https://engineering.purdue.edu/ECE/Academics/Undergraduates/UGO/CourseInfo/courseInfo?courseid=733&amp;show=true&amp;type=grad</t>
  </si>
  <si>
    <t>https://engineering.purdue.edu/ECE/Academics/Undergraduates/UGO/CourseInfo/courseInfo?courseid=822&amp;show=true&amp;type=grad</t>
  </si>
  <si>
    <t>https://engineering.purdue.edu/ECE/Academics/Undergraduates/UGO/CourseInfo/courseInfo?courseid=650&amp;show=true&amp;type=grad</t>
  </si>
  <si>
    <t>https://engineering.purdue.edu/ECE/Academics/Undergraduates/UGO/CourseInfo/courseInfo?courseid=673&amp;show=true&amp;type=grad</t>
  </si>
  <si>
    <t>https://engineering.purdue.edu/ECE/Academics/Undergraduates/UGO/CourseInfo/courseInfo?courseid=692&amp;show=true&amp;type=grad</t>
  </si>
  <si>
    <t>https://engineering.purdue.edu/ECE/Academics/Undergraduates/UGO/CourseInfo/courseInfo?courseid=714&amp;show=true&amp;type=grad</t>
  </si>
  <si>
    <t>https://engineering.purdue.edu/ECE/Academics/Undergraduates/UGO/CourseInfo/courseInfo?courseid=715&amp;show=true&amp;type=grad</t>
  </si>
  <si>
    <t>https://engineering.purdue.edu/ECE/Academics/Undergraduates/UGO/CourseInfo/courseInfo?courseid=707&amp;show=true&amp;type=grad</t>
  </si>
  <si>
    <t>https://engineering.purdue.edu/ECE/Academics/Undergraduates/UGO/CourseInfo/courseInfo?courseid=660&amp;show=true&amp;type=grad</t>
  </si>
  <si>
    <t>https://engineering.purdue.edu/ECE/Academics/Undergraduates/UGO/CourseInfo/courseInfo?courseid=449&amp;show=true&amp;type=grad</t>
  </si>
  <si>
    <t>ECE 69500 AI Hardware</t>
  </si>
  <si>
    <t>(ECE 20002 or ECE 25500) and (PHYS 27200 or PHYS 24100 or PHYS 26100 or PHYS 25100) and (MA 26600 or MA 26200 or MA 36600)</t>
  </si>
  <si>
    <t>IE 49000 Semiconductor Manufacturing and Supply Chain</t>
  </si>
  <si>
    <t>IE 49000 Supply Chain Engineering</t>
  </si>
  <si>
    <t>MSE 58500</t>
  </si>
  <si>
    <t>Now offered as MSE 58500</t>
  </si>
  <si>
    <t>MSE 58500 Magnetic Materials: Physical Properties And Applications</t>
  </si>
  <si>
    <t>This course provides an introduction of the basic physical and structural properties that determine the functionality of magnetic materials and devices. Starting from basic concepts on the physics of magnetism, materials synthesis and device fabrication, the functional requirements of magnetic materials for diverse applications will be discussed. Magnetic material properties depend on the electronic structure of the constituent elements and their electronic interactions. These interactions are controlled by their atomic arrangement, microstructure, defects, and strain fields that distort the local atomic order. Furthermore, the role of reduced dimensionality on the physical and functional properties of nanoscale materials will be discussed.</t>
  </si>
  <si>
    <t>https://selfservice.mypurdue.purdue.edu/prod/bwckctlg.p_disp_course_detail?cat_term_in=202710&amp;subj_code_in=MSE&amp;crse_numb_in=58500</t>
  </si>
  <si>
    <t>(Student Attribute: GR; May not be taken concurrently.  ) or (  Course or Test: MSE 33000. Minimum Grade of D-. May not be taken concurrently  and  Course or Test: MSE 37000. Minimum Grade of D-. May not be taken concurrently. )</t>
  </si>
  <si>
    <t>ENGR 12100 or ENFY 12600 or ENGR 12600 or ENFY 13100 or ENGR 13100 or ENGR 13000 or VIP 17911 or ENGR 17911 or ENGR 16100 or EPCS 11100 or EPCS 12100 or ENFY 19500 or ENGR 19500 or ENGR 14100 or ENGR 16100) and (PHYS 17200 or (PHYS 16200 and PHYS 16300) or (ENGR 16200) and (MA 16100 or MA 16700 Minimum Grade of</t>
  </si>
  <si>
    <t>CHE 20500 and (MA 26100 or MATH 26100 or MA 18200 or MA 17400 or MA 27100 or MA 26300 or MA 17200</t>
  </si>
  <si>
    <t>CHE 20500 and CHE 21100</t>
  </si>
  <si>
    <t>CHE 20500 or ABE 20100) and MA 26100 [concurrent ok] and (CHM 26100 or CHM 25500 [concurrent ok] or CHM 25700 [concurrent ok]) and (MA 26200 [concurrent ok] or MATH 26200 or MA 26500 [concurrent ok] or MA 35100 [concurrent ok]</t>
  </si>
  <si>
    <t>CHE 21100 and (MA 26600 [concurrent ok] or MA 30300 [concurrent ok] or MA 36600 [concurrent ok] or ME 58100 [concurrent ok] or MA 51400 [concurrent ok]</t>
  </si>
  <si>
    <t>CHE 21100 and (MA 26600 [concurrent ok] or MA 30300 [concurrent ok] or MA 36600 [concurrent ok] or MA 51400 [concurrent ok] or ME 58100 [concurrent ok]</t>
  </si>
  <si>
    <t>CHE 21100 and CHE 37700</t>
  </si>
  <si>
    <t>CHE 34800 [concurrent ok] and CHE 37800 [concurrent ok]</t>
  </si>
  <si>
    <t>CHE 32000 and CHE 34800 and CHE 37800 and CHE 30600</t>
  </si>
  <si>
    <t>CHE 30600 and CHE 37800 and CHE 42000 and CHE 45600 and CHE 43500 [concurrent ok]</t>
  </si>
  <si>
    <t>CHE 37700 and CHE 34800 [concurrent ok] and CHE 37800 [concurrent ok]</t>
  </si>
  <si>
    <t>CHE 34800 or CHE 37800</t>
  </si>
  <si>
    <t>CHM 26200 or CHM 37000</t>
  </si>
  <si>
    <t>CHE 30600 or CHE 37800</t>
  </si>
  <si>
    <t>CHM 26100 or CHM 25500 or CHM 25700</t>
  </si>
  <si>
    <t>MA 15900 or MA 15800 or MA 15400 or MATH 15400 or MA 16100 [concurrent ok] or MA 16500 [concurrent ok] or MA 22300 [concurrent ok] or MA 23100 [concurrent ok] or MA 16010 [concurrent ok]) or ALEKS Math Assessment 075 or SATR Math 620 or SAT Mathematics 600 or ACT Math 26</t>
  </si>
  <si>
    <t>CHM 11200 or CHM 11500 or CHM 12500 or CHM 10901 or CHM 12901 or CHM 12300 or CHM 13500 or (CHEM C1050 and CHEM C1250) or (CHEM C1010 and CHEM C1210</t>
  </si>
  <si>
    <t>CHM 11600 or CHM 12600 or CHM 12901 or CHM 13600 or (CHM 11610 and CHM 11620</t>
  </si>
  <si>
    <t>CHM 11600 or CHM 12600 or CHM 13600 or (CHEM C1020 and CHEM C1220) or (CHEM C1060 and CHEM C1260</t>
  </si>
  <si>
    <t>CHM 11600 or CHM 11610 or CHM 12600 or CHM 13600 or CHM 12901 or (CHEM C1060 and CHEM C1260</t>
  </si>
  <si>
    <t>CHM 26100 or CHEM C3410 or CHM 26505</t>
  </si>
  <si>
    <t>CHM 22404 or FS 16300</t>
  </si>
  <si>
    <t>CHM 25600 or CHM 26200 or CHM 26605 or MCMP 20500 or PHSC 20500</t>
  </si>
  <si>
    <t>CHM 11600 or CHM 12600 or CHM 12901 or CHM 13600) and (MA 16200 or MA 16600 or MATH 16600) and (PHYS 22100 or PHYS 24100 or PHYS 25100 or PHYS 27200</t>
  </si>
  <si>
    <t>CHM 37300 [concurrent ok]</t>
  </si>
  <si>
    <t>CHM 37000 [concurrent ok] or CHM 37400 [concurrent ok]</t>
  </si>
  <si>
    <t>CHM 22404 or CHM 32100 or CHM 32300) and (PHYS 22100 or PHYS 24100 or PHYS 27200</t>
  </si>
  <si>
    <t>CHM 26200 or CHEM C3420 or CHM 26605 or CHM 25600 or MCMP 20500 or PHSC 20500</t>
  </si>
  <si>
    <t>CHM 11600 or CHM 10901 or CHM 12901 or CHM 12600 or CHM 13600) and (MA 16100 or MA 16500 or MA 16010</t>
  </si>
  <si>
    <t>CHM 38600</t>
  </si>
  <si>
    <t>CHM 24100 or CHM 25500 or CHM 26100 or CHM 26505 or EAS 23000 or NRES 23000</t>
  </si>
  <si>
    <t>ENGR 13000 or ENGR 13100 or ENGR 14100 or ENGR 16100 or ENGR 13300 or ENGR 19600) and ((ENGR 16100 and ENGR 16200) or PHYS 17200 or PHYS 15200) and (MA 16600 or MA 16200 or MATH 16600) and (MA 26100 [concurrent ok] or MA 17400 [concurrent ok] or MA 18200 [concurrent ok] or MA 27101 [concurrent ok]</t>
  </si>
  <si>
    <t>ECE 20001 and (MA 26200 [concurrent ok] or MA 26600 [concurrent ok] or MA 36600 [concurrent ok]</t>
  </si>
  <si>
    <t>ECE 20002 or ECE 25500) and (PHYS 27200 or PHYS 24100 or PHYS 26100 or PHYS 25100) and (MA 26600 or MA 26200 or MA 36600</t>
  </si>
  <si>
    <t>ECE 20008 or ECE 20800) and ECE 30100 [concurrent ok] and ECE 30200 [concurrent ok]</t>
  </si>
  <si>
    <t>MA 26100 and (MA 26600 or MA 26200) and (PHYS 27200 or PHYS 24100) and (CHM 11500 or (CHM 11100 and CHM 11200</t>
  </si>
  <si>
    <t>ECE 20002 or ECE 25500</t>
  </si>
  <si>
    <t>ECE 27000</t>
  </si>
  <si>
    <t>ECE 27000 and (ENGR 11700 or CS 15900</t>
  </si>
  <si>
    <t>ECE 20002 and ECE 30500 [concurrent ok]</t>
  </si>
  <si>
    <t>ECE 33700 and ECE 36200</t>
  </si>
  <si>
    <t>MA 26600 and MA 26500) or MA 26200</t>
  </si>
  <si>
    <t>ECE 20002 or (ECE 20200 and ECE 25500) and ECE 30500 [concurrent ok]</t>
  </si>
  <si>
    <t>ECE 20002 or (ECE 20200 and ECE 25500) and ECE 27000 and ECE 30500</t>
  </si>
  <si>
    <t>ECE 30500 or MSE 37000 or ME 31500 or ME 36300 or CHE 37800 or PHYS 33000 or CHM 37000</t>
  </si>
  <si>
    <t>CHM 11500 or PHYS 24100 or PHYS 27200 or MA 26200 or MA 26600</t>
  </si>
  <si>
    <t>ECE 30500 or ECE 50641</t>
  </si>
  <si>
    <t>MA 26200 or MA 26500 or MA 26600</t>
  </si>
  <si>
    <t>ECE 25500</t>
  </si>
  <si>
    <t>ECE 36800</t>
  </si>
  <si>
    <t>ECE 30100 or ECE 31100</t>
  </si>
  <si>
    <t>ECE 30500 or ECE 43700</t>
  </si>
  <si>
    <t>ECE 60600 required; ECE 61200 and ECE 55800 are recommended</t>
  </si>
  <si>
    <t>ECET 17700 or ECET 22400 or ECE 20001 and ECE 20007) and (MA 16010 or MA 22700 or MA 22300 or MA 22100 or MA 16100 or MA 16300 or MA 16500 or MA 16700 or MA 21900 or MA 22500 or MA 22900 or MATH M1190 or MATH M2080 or MATH M2150 or MATH 16300</t>
  </si>
  <si>
    <t>ENGT 18000 and ENGT 18100) or ENGT 18200 or ECET 12000 or ECET 22400 or (ECE 20001 and ECE 20007</t>
  </si>
  <si>
    <t>ECET 27900</t>
  </si>
  <si>
    <t>ECET 22700 and ECET 37600</t>
  </si>
  <si>
    <t>ECET 17900 and ECET 22900</t>
  </si>
  <si>
    <t>CS 18000 or CS 17700 or CS 15900 or CNIT 10500 or CNIT 15501) and (ECET 22400 or ECET 17700 or (ECE 20001 and ECE 20007) or (ECE 20100 and ECE 20700</t>
  </si>
  <si>
    <t>ECET 27900 [concurrent ok] and ECET 37600</t>
  </si>
  <si>
    <t>ECET 27700 [concurrent ok] or ECET 33700 [concurrent ok]</t>
  </si>
  <si>
    <t>ECET 22900 and ECET 34900</t>
  </si>
  <si>
    <t>ECET 32300 or ECET 37300</t>
  </si>
  <si>
    <t>ME 27000 or AAE 20300) and (NUCL 27300 [concurrent ok] or AAE 20400 [concurrent ok] or ME 32300 [concurrent ok]</t>
  </si>
  <si>
    <t>IE 33500</t>
  </si>
  <si>
    <t>IE 33000 or STAT 51100</t>
  </si>
  <si>
    <t>IE 33000 or IE 33600</t>
  </si>
  <si>
    <t>IE 33000 or STAT 51100 or STAT 35000</t>
  </si>
  <si>
    <t>ME 20000 and ME 30800</t>
  </si>
  <si>
    <t>ME 37500</t>
  </si>
  <si>
    <t>ME 32300</t>
  </si>
  <si>
    <t>ME 31500</t>
  </si>
  <si>
    <t>ME 30000 or ME 31500</t>
  </si>
  <si>
    <t>ME 36500</t>
  </si>
  <si>
    <t>ME 35200</t>
  </si>
  <si>
    <t>MA 30300</t>
  </si>
  <si>
    <t>MET 23000 or MET 33000</t>
  </si>
  <si>
    <t>MET 28400 or ECET 30201</t>
  </si>
  <si>
    <t>MFET 23000 and MFET 25000</t>
  </si>
  <si>
    <t>MFET 25000 and STAT 30100</t>
  </si>
  <si>
    <t>CNIT 15501 or CS 17700) and (MA 16020 or MA 16200 or MA 16600) and STAT 30100</t>
  </si>
  <si>
    <t>MFET 23000 and MFET 36100</t>
  </si>
  <si>
    <t>MFET 35200 and MFET 36100 and IET 21400</t>
  </si>
  <si>
    <t>ECON 26000 or ECON 36000 or ECON E2700 or MGMT 30500 or STAT 35000</t>
  </si>
  <si>
    <t>MGMT 36100</t>
  </si>
  <si>
    <t>MGMT 36100 [concurrent ok]</t>
  </si>
  <si>
    <t>ECON 26000 or ECON 36000 or MGMT 30500 or STAT 35000 or STAT 41600 or STAT 50100 or STAT 51100</t>
  </si>
  <si>
    <t>ECON 26000 or ECON 36000 or MGMT 30500 or STAT 35000 or STAT 50100 or STAT 51100</t>
  </si>
  <si>
    <t>MGMT 38200 and (MGMT 28800 or CNIT 17500 or CS 17600 or CS 17700 or CS 18000 or ENGR 13300 or MGMT 38800</t>
  </si>
  <si>
    <t>MGMT 36100 or MGMT 66000</t>
  </si>
  <si>
    <t>Students are expected to have taken a basic course on operations (such as the masters core class MGMT 66000: Introduction to Operations Management) and a basic course on supply chain management (such as the masters elective MGMT 66400: Supply Chain Management</t>
  </si>
  <si>
    <t>Students are expected to have taken a basic course on operations (such as the masters core class MGMT 66000: Introduction to Operations Management) and a basic course on supply chain management (such as the masters elective MGMT 66400: Supply Chain Management). Exposure to a course on optimization is also preferred, but not required. The course requires logical and analytical thinking</t>
  </si>
  <si>
    <t>MGMT 66000 (or equivalent course) and MGMT 67000 (or equivalent course</t>
  </si>
  <si>
    <t>CHM 11500 or (CHM 11510 and CHM 11520 or CHM 11530) or (CHM 11100 and CHM 11200) or CHM 13500 or CHM 12300 or CHM 12500 or (CHEM C1050 and CHEM C1250) or (CHEM C1010 and CHEM C1210) and (MA 16500 or MA 16300 or MA 16100 or MATH 16300</t>
  </si>
  <si>
    <t>MA 26100 or MATH 26100 or MA 17200 or MA 17400 or MA 18200 or MA 26300 or MA 27100) and MSE 23000 [concurrent ok] and CHM 11600 or (CHM 11610 [concurrent ok] and CHM 11620 [concurrent ok]) or CHM 13600 [concurrent ok]</t>
  </si>
  <si>
    <t>MA 26100 [concurrent ok] or MATH 26100 [concurrent ok] or MA 17200 [concurrent ok] or MA 17400 [concurrent ok] or MA 18200 [concurrent ok] or MA 26300 [concurrent ok] or MA 27100 [concurrent ok]) and (MA 26500 [concurrent ok] or MA 35100 [concurrent ok]) or (MA 26200 [concurrent ok] or MATH 26200 [concurrent ok] or MA 36300 [concurrent ok]) and MSE 23000 [concurrent ok]</t>
  </si>
  <si>
    <t>MSE 23500 or MSE 29200</t>
  </si>
  <si>
    <t>MSE 23500</t>
  </si>
  <si>
    <t>MSE 23000 and MSE 27000 and (PHYS 24100 or PHYS 27200 or PHYS 26100 or PHYS 25100 or PHYS 27100</t>
  </si>
  <si>
    <t>MSE 33500 or MSE 38200</t>
  </si>
  <si>
    <t>NUCL 32000</t>
  </si>
  <si>
    <t>PHYS 24100 or PHYS 25100 or PHYS 26100 or PHYS 27200</t>
  </si>
  <si>
    <t>PHYS 34202 or PHYS 34400</t>
  </si>
  <si>
    <t>PHYS 24100 or PHYS 25100 or PHYS 26100 or PHYS 27200 or (PHYS 27100 and PHYS 27101</t>
  </si>
  <si>
    <t>PHYS 36000 or PHYS 55000) and (PHYS 41600 or PHYS 41610 or PHYS 51500 [concurrent ok]</t>
  </si>
  <si>
    <t>PHYS 42200 [concurrent ok] or PHYS 32200 [concurrent ok]</t>
  </si>
  <si>
    <t>PHYS 36000 or PHYS 46000 or PHYS 55000</t>
  </si>
  <si>
    <t>PHYS 27200</t>
  </si>
  <si>
    <t>PHYS 36000 or PHYS 46000 or PHYS 55000 or PHYS 41600 or PHYS 41610 or PHYS 51500</t>
  </si>
  <si>
    <t>MA 16020 or MA 16021 or MA 16200 or MA 16400 or MA 16600 or MA 16900 or MA 17300 or MA 18100 or MA 22200 or MATH 16400</t>
  </si>
  <si>
    <t>Replaced with ECE 50631</t>
  </si>
  <si>
    <t>Replaced withECE 50632</t>
  </si>
  <si>
    <t>Replaced with 50631</t>
  </si>
  <si>
    <t>Replaced with 50632</t>
  </si>
  <si>
    <t>Introduction to principles of microfabrication, including lithography, deposition, etching and planarization. This course provides a framework for understanding processes used in manufacturing of semiconductor devices, integrated circuits, microphotonic and micro-electromechanical systems (MEMS) components.</t>
  </si>
  <si>
    <t>https://engineering.purdue.edu/ECE/Academics/Undergraduates/UGO/CourseInfo/courseInfo?courseid=740&amp;show=true&amp;type=undergrad</t>
  </si>
  <si>
    <t>https://engineering.purdue.edu/ECE/Academics/Undergraduates/UGO/CourseInfo/courseInfo?courseid=720&amp;show=true&amp;type=undergrad</t>
  </si>
  <si>
    <t>https://engineering.purdue.edu/ECE/Academics/Undergraduates/UGO/CourseInfo/courseInfo?courseid=742&amp;show=true&amp;type=undergrad</t>
  </si>
  <si>
    <t>https://engineering.purdue.edu/ECE/Academics/Undergraduates/UGO/CourseInfo/courseInfo?courseid=712&amp;show=true&amp;type=undergrad</t>
  </si>
  <si>
    <t>This course is designed for students from all disciplines in engineering and science seeking to learn about how solar cells function, how they are connected into modules, how modules are assembled into panels, and how panels are fielded in solar farms. The basics of solar farms are covered as well as the reliability of solar cells. The course is at the advanced undergraduate / beginning graduate student level.</t>
  </si>
  <si>
    <t>This course about semiconductors is designed to provide a foundation to understand the operation of devices such as transistors, diodes, solar cells, light-emitting devices, etc. The course does not discuss devices ??? it prepares students to understand the operation of semiconductor devices. The treatment is physical and intuitive, and not heavily mathematical. Technology users will gain an understanding of the semiconductor physics that is the basis for devices. Semiconductor technology developers may find it a useful starting point for diving deeper into condensed matter physics, statistical mechanics, thermodynamics, and materials science. The course presents an electrical engineering perspective on semiconductors, but those in other fields may find it a useful introduction to the approach that has guided the development of semiconductor technology for the past 50+ years. Topics include semiconductor fundamentals such as energy bands, bandgaps, effective masses, electrons and holes, and elements of quantum mechanics. The Fermi function, doping, and carrier densities are then discussed. Carrier transport and generation-recombination are examined along with the important concept of quasi-Fermi levels. The course concludes with the ???semiconductor equations,??? which provide a complete, mathematical description of electrons and holes in semiconductors (subject to some important simplifying assumptions) and ends with a discussion of how energy band diagrams provide a qualitative solution to these equations.</t>
  </si>
  <si>
    <t>(ECE 20002 or ECE 25500) and (PHYS 27200 or PHYS 24100 or PHYS 26100 or PHYS 25100) and (MA 26600 or MA 26200 or MA 3660)</t>
  </si>
  <si>
    <t>MA 26600 and [PHYS 27200 or PHYS 24100] and CHM 11500</t>
  </si>
  <si>
    <t>[MA 26200 or MA 26600] and [PHYS 27200 or PHYS 24100] and CHM 11500 and [ECE 59500 Microfabrication Fundamentals or (ECE 59500 MEMS I: Microfabrication and Materials for MEMS)</t>
  </si>
  <si>
    <t>Introduction to manufacturing processes suitable for CMOS and CMOS-compatible integrated devices. Unit processes for multi-level metal interconnects, including physical deposition, plasma enhanced chemical vapor deposition, copper plating, chemical mechanical polishing of dielectrics and metals. Process development of Si/Ge, low-k dielectrics, metal gates, 3D NANDs and photonic devices, etc.</t>
  </si>
  <si>
    <t>ECE 30500 or ECE 60600 or ECE 69500A (Primer on Semiconductor Fundamentals) or equivalent</t>
  </si>
  <si>
    <t>CHE 59700A Risk Management In The Design, Development And Optimization Of New Products And Processes</t>
  </si>
  <si>
    <t>ECE 69500 Hardware for Machine Learning</t>
  </si>
  <si>
    <t>Undergraduate level understanding of traditional computer architecture, circuits and basic linear algebra. Some exposure to deep learning algorithms is beneficial but not required.</t>
  </si>
  <si>
    <t>This course offers an in-depth exploration of how advances in deep learning algorithms have driven innovations in hardware design, and vice versa. It covers advancements in traditional computing architectures, specialized machine learning accelerators, and novel paradigms like compute-in-memory and neuromorphic computing. Students will develop the skills to formulate algorithm-hardware co-design techniques for designing/optimizing hardware tailored for deep learning algorithms.</t>
  </si>
  <si>
    <t>https://engineering.purdue.edu/ECE/Academics/Undergraduates/UGO/CourseInfo/courseInfo?courseid=859&amp;show=true&amp;type=grad</t>
  </si>
  <si>
    <t xml:space="preserve">This course covers an introduction to mathematical concepts, exploratory data analysis, data preparation, data visualization, supervised learning, unsupervised learning, deep learning, and reinforcement learning with applications in thermal systems. Basic knowledge in Thermodynamics and Python would be helpful but not required. Course materials will be provided to understand the required thermal concepts. Detailed instructions on how to get started with Python using Jupyter Notebook and TensorFlow will be provided at the beginning of the course. This course provides an integrated approach from fundamentals to applications with practice problems and presentations from leading industry experts on the industrial applications of AI. Students have the freedom to identify the course project based on their interests and work individually or in a group. Students who have difficulty can take help from the instructor to identify the project topics. Students will apply the concepts learned from lectures in their course projects. No exams. 
</t>
  </si>
  <si>
    <t>https://engineering.purdue.edu/AAEFlightPlanNews/news/classes/me-597-artificial-intelligence-in-thermal-systems</t>
  </si>
  <si>
    <t>https://engineering.purdue.edu/MSE/academics/courses/MSE597G/index.html</t>
  </si>
  <si>
    <t xml:space="preserve">The primary goal of this course is to introduce students to advanced materials simulation techniques and their use to characterize a wide range of phenomena from electronic and atomic structure to macroscopic behavior.
</t>
  </si>
  <si>
    <t>https://www.physics.purdue.edu/academic-programs/courses/course_detail.php?c=phys570ai&amp;SEM=fall2026</t>
  </si>
  <si>
    <t>https://www.physics.purdue.edu/academic-programs/courses/course_detail.php?SEM=fall2011&amp;c=phys570K</t>
  </si>
  <si>
    <t>Phys 545 (Solid-State Physics)</t>
  </si>
  <si>
    <t>STARS: Introduction to SoCET 1</t>
  </si>
  <si>
    <t xml:space="preserve">The primary objective of the SoCET team is to provide students with a comprehensive System on Chip design, fabrication and test experience that is as similar to industry practice as possible
</t>
  </si>
  <si>
    <t>Introduction to SoCET 1</t>
  </si>
  <si>
    <t>SoCET Main Team</t>
  </si>
  <si>
    <t>The primary objective of the SoCET team is to provide students with a comprehensive System on Chip design, fabrication and test experience that is as similar to industry practice as possible.</t>
  </si>
  <si>
    <t>https://engineering.purdue.edu/VIP/teams/tagged_items/socet</t>
  </si>
  <si>
    <t>ID#</t>
  </si>
  <si>
    <t>Semester 1 of SoCET</t>
  </si>
  <si>
    <t>Semester 2 of SoCET and beyond</t>
  </si>
  <si>
    <t>CHM 49000</t>
  </si>
  <si>
    <t xml:space="preserve">CHM 49000 Chemistry of the Smartphone </t>
  </si>
  <si>
    <t xml:space="preserve">Have you ever wondered about the materials in your smartphone and how chemistry was used to shape them? If you want to dive into the relationship between chemistry and technology, then this is the course for you! Over the semester we will discuss the role of solid-state chemistry in the design of the materials that make your phone function. This course explores the underlying chemistry that makes the touchscreen, light display, battery, and central processing unit function.The total cost of the raw elements in a smart phone is &lt;$2, but the average cost of a new smart phone is ~$300-1000! In a smart phone weighing only ~130 grams, over 80% of its total weight is owed to just six elements: aluminum, carbon, oxygen, iron, silicon, and copper. Yet mining the elements required to make the smart phone in your pocket requires the extraction of &gt;34,000 grams of complex ore, the use of &gt;100 liters of reverse osmosis purified water, and ~20.5 grams of potassium cyanide, (among many other acids, etc.). This course uses the “smart phone” and it’s design as a vehicle to discuss (1) inorganic chemistry in the context of solid state materials (2) how chemistry can be applied to design materials for specific function, (3) how that function emerges not just from combinations of specific elements, but also how specific elements are arranged in crystalline lattices, and (4) how we should consider the impact of materials design and technological development on the environment, a globally interconnected society, and the sustainability of our current consumption of critical elemental resources. </t>
  </si>
  <si>
    <t>https://purdue.edu/registrar/legacy/Home/Course/19R0432D0AAIK1HTMJ70</t>
  </si>
  <si>
    <t>Legacy information online.</t>
  </si>
  <si>
    <t>CHE 56000</t>
  </si>
  <si>
    <t>CHE 56000 Introduction To Energy Storage Systems</t>
  </si>
  <si>
    <t>Now CHE 56000</t>
  </si>
  <si>
    <t>https://selfservice.mypurdue.purdue.edu/prod/bwckctlg.p_disp_course_detail?cat_term_in=202710&amp;subj_code_in=CHE&amp;crse_numb_in=56000</t>
  </si>
  <si>
    <t>Energy Storage Systems Laboratory course is designed to introduce fundamentals of electrochemistry and electrochemical engineering of rechargeable lithium ion batteries (LIBs) to undergraduate and graduate students. The course will be reviewing working principles of LIBs, hands-on experience on their assembly, charge-discharge testing, data analysis and related safety aspects. Strong emphasis will be given on the Li-ion battery technology, nanotechnology implementation and the materials design. Beyond conventional Li-ion systems and Pb-acid batteries, next generation Na-ion, K-ion and Li-S batteries will be discussed and designed. Students will be fabricating and testing high energy density batteries utilizing engineered electrodes, electrolytes and separators. Broader perspectives on sustainable, cost effective, longer lasting battery manufacturing will be provided.</t>
  </si>
  <si>
    <t>https://purdue.edu/registrar/legacy/Home/Course/19R02F2CXGZL21JDJTB1</t>
  </si>
  <si>
    <t>CHM 69600 Sustainability and Green Chemistry</t>
  </si>
  <si>
    <t>CHM 69600 Foundations of Soft Materials</t>
  </si>
  <si>
    <t>MSE 59700-3</t>
  </si>
  <si>
    <t>MSE 59700 Materials and Devices for Solid-State Energy Conversion</t>
  </si>
  <si>
    <t>Cross-listed with ECE 59500</t>
  </si>
  <si>
    <t>Principles of solid-state conversion of energy between electrical and light (photovoltaics and light-emitting diodes), thermal and electrical (thermoelectric and solid-state thermionic), thermodynamic limits, materials figures-of-merit, device design issues; challenges in materials engineering; potential advantages of nanocomposites; prospects for technology replacement; societal impact assessment.</t>
  </si>
  <si>
    <t>https://engineering.purdue.edu/ECE/Academics/Undergraduates/UGO/CourseInfo/courseInfo?courseid=374&amp;show=true&amp;type=undergrad</t>
  </si>
  <si>
    <t>Senior status and above</t>
  </si>
  <si>
    <t>Junior status and above</t>
  </si>
  <si>
    <t xml:space="preserve">This course is designed for MS &amp; PhD students doing semiconductor research (including Engineering students, who are welcome!). A knowledge of elementary quantum mechanics &amp; elementary statistical physics is assumed. Some knowledge of elementary solid state physics would be helpful, but isn't essential. It would be helpful (but it isn't vital) to have had a solid state physics course similar to our Physics 545.
</t>
  </si>
  <si>
    <t>https://www.physics.purdue.edu/academic-programs/courses/course_catalog_details.php?c=phys570p</t>
  </si>
  <si>
    <t>https://www.physics.purdue.edu/academic-programs/courses/course_catalog_details.php?c=phys580</t>
  </si>
  <si>
    <t>A physics background in mechanics at the level of PHYS 310 or 410, and quantum mechanics at the level of PHYS 342 (or higher) is required. A practical programming experience is highly desirable though formal computer science course such as CS 150 (Fortran) or CS 180 (C) can be tolerated as substitutes.</t>
  </si>
  <si>
    <t>https://engineering.purdue.edu/ECE/Academics/Undergraduates/UGO/CourseInfo/courseInfo?courseid=741&amp;show=true&amp;type=undergrad</t>
  </si>
  <si>
    <t>Principles and methods of lithographic techniques used in semiconductor manufacturing as well as prototyping and production of nanometer-scale devices. Fundamental aspects of optical resolution, proximity effect, and resolution enhancement techniques.</t>
  </si>
  <si>
    <t>https://engineering.purdue.edu/ECE/Academics/Undergraduates/UGO/CourseInfo/courseInfo?courseid=747&amp;show=true&amp;type=undergrad</t>
  </si>
  <si>
    <t>ECE 30500 (grade of B or better) or ECE 60600 or ECE 59500 Semiconductor Fundamentals</t>
  </si>
  <si>
    <t>This course is designed for anyone seeking a sound, physical, intuitive understanding of how modern transistors operate. Important technology considerations and applications of transistors are also discussed. The focus is on MOSFETs for digital logic, but other types of transistors are briefly considered. The course is broadly accessible to students with only a very basic knowledge of semiconductor physics and electronic circuits and should be useful for advanced undergraduates, beginning graduate students, as well as practicing engineers and scientists.</t>
  </si>
  <si>
    <t>https://engineering.purdue.edu/ECE/Academics/Undergraduates/UGO/CourseInfo/courseInfo?courseid=848&amp;show=true&amp;type=grad</t>
  </si>
  <si>
    <t>ECE 20002 and ECE 20875 and (PHYS 27200 or (PHYS 24100 and PHYS 25200)) and (MA 26600 or MA 26200 or MA 36600); Recommended: ECE 50631, 50632, 50633</t>
  </si>
  <si>
    <t>The application oriented computational nanotechnology course sequence aims to train semiconductor engineers in how to model nanodevices with state-of-the-art quantum transport simulation tools. The emphasis lies here on acquiring the understanding which of the commonly available electronic models is appropriate for which device type, how to interpret typically available simulation results and how to reliably distinguish numerical artifacts from physically meaning device features. With the downscaling of modern semiconductor devices to the nanometer and atomistic lengthscales, semiconductor engineers have to interpret device behavior in a regime often considered unintuitive. Simulations are the most important tools to help them understand the device performance and identify ways to improve it in that nanoscale regime. Usage of those tools requires, however, sufficient understanding of their control parameters, their underlying methods and most importantly common pitfalls that open when the tools are used with the wrong settings. This class sequence trains students by guiding them to implement their own quantum transport simulation tool and connect it to Purdue's quantum code library. This way the students get hands-on experience in how to validate quantum transport tools, how to interpret simulation results and how to run state-of-the-art professional simulation engines. Part 1 of the class sequence covers basic concepts such as how to utilize transmission and density of states to validate simulation setups, how to ensure reliable convergence and numerical efficiency for nanodevices with few or many resonant states (such as nanosheets and nanowire transistors, FinFETs, quantum dots and quantum sensors).</t>
  </si>
  <si>
    <t>https://engineering.purdue.edu/ECE/Academics/Undergraduates/UGO/CourseInfo/courseInfo?courseid=717&amp;show=true&amp;type=undergrad</t>
  </si>
  <si>
    <t>MA 26200 or (MA 26500 and MA 26600)</t>
  </si>
  <si>
    <t>This course introduces the key concepts of equilibrium statistical mechanics leading to the celebrated Boltzmann law and how it leads to Boltzmann machines and related concepts in modern machine learning. No prior background in statistical mechanics is assumed.</t>
  </si>
  <si>
    <t>ECE 59500, Intro to Nanolithography and ECE 59500, EUV Lithography</t>
  </si>
  <si>
    <t>PHYS 27200 or equivalent</t>
  </si>
  <si>
    <t>ECE 59500 MEMS II</t>
  </si>
  <si>
    <t>ECE 59500 Digital Logic Systems: Design Automation</t>
  </si>
  <si>
    <t>This course will provide an introduction to the tools used to design and analyze circuits at the logic level of abstraction (where circuits are composed of gates and flip-flops). Most digital chips used in computing and electronic systems (including microprocessors, graphics processors, chips used in network routers, cell phones, digital audio/video appliances, automotive electronics) are entirely or largely designed using EDA tools. ECE595Z will focus on the foundations of logic-level EDA tools, including the design of exact and heuristic algorithms that form the basis for VLSI Computer-Aided Design. Topics covered include an overview of the IC design flow and levels of abstraction, synthesis of two-level (AND-OR / PLA) circuits, multi-level logic synthesis and technology mapping, sequential circuit synthesis, Logic-level verification using Boolean Satisfiability and BDDs, Timing Analysis, Power analysis and Reduction, and design techniques for emerging nanoscale technologies.</t>
  </si>
  <si>
    <t>https://engineering.purdue.edu/ECE/Academics/Undergraduates/UGO/CourseInfo/courseInfo?courseid=796&amp;show=true&amp;type=undergrad</t>
  </si>
  <si>
    <t>This course provides an overview of running computer vision (OpenCV and PyTorch) on an embedded system (Raspberry Pi). The course emphasizes on the resource constraints imposed by embedded systems and examines methods (such as quantization and pruning) to reduce resource requirements. This course will have programming assignments and projects proposed by the students.</t>
  </si>
  <si>
    <t>ECE 20875</t>
  </si>
  <si>
    <t>https://engineering.purdue.edu/ECE/Academics/Undergraduates/UGO/CourseInfo/courseInfo?courseid=524&amp;show=true&amp;type=undergrad</t>
  </si>
  <si>
    <t>May only take one of  the 3 cross-listed courses (ME 59700, ECE 59500, or MSE 49700) or ME 597 Fundamentals of Microsystems Packaging</t>
  </si>
  <si>
    <t>Other Restrictions / Notes</t>
  </si>
  <si>
    <t>Junior-level standing in an ABET accredited engineering curriculum or permission of course instructor</t>
  </si>
  <si>
    <t>ECE 30500 - Semiconductor Devices Credit Hours: 3.00</t>
  </si>
  <si>
    <t>ECE 45300 - Fundamentals Of Nanoelectronics Credit Hours: 3.00</t>
  </si>
  <si>
    <t>ECE 50616 - Physics And Manufacturing Of Solar Cells Credit Hours: 3.00</t>
  </si>
  <si>
    <t>ECE 50631 - Fundamentals Of Current Flow Credit Hours: 1.00</t>
  </si>
  <si>
    <t>ECE 50632 - Introduction To Quantum Transport Credit Hours: 1.00</t>
  </si>
  <si>
    <t>ECE 50633 - Boltzmann Law: Physics To Computing Credit Hours: 1.00</t>
  </si>
  <si>
    <t>ECE 50641 - Semiconductor Fundamentals Credit Hours: 1.00</t>
  </si>
  <si>
    <t>ECE 50642 - Fundamental Of Transistors Credit Hours: 1.00</t>
  </si>
  <si>
    <t>PHYS 32200 - Intermediate Optics Credit Hours: 3.00</t>
  </si>
  <si>
    <t>PHYS 34900 - Introduction To Quantum Computing Credit Hours: 3.00</t>
  </si>
  <si>
    <t>PHYS 45000 - Intermediate Laboratory Credit Hours: 2.00</t>
  </si>
  <si>
    <t>PHYS 52600 - Physics Of Quantum Computing And Quantum Information Credit Hours: 3.00</t>
  </si>
  <si>
    <t>PHYS 54500 - Solid-State Physics Credit Hours: 3.00</t>
  </si>
  <si>
    <t>CHE 37800 - Heat And Mass Transfer Credit Hours: 4.00</t>
  </si>
  <si>
    <t>CHE 42000 - Process Safety Management And Analysis Credit Hours: 3.00</t>
  </si>
  <si>
    <t>CHE 45600 - Process Dynamics And Control Credit Hours: 3.00</t>
  </si>
  <si>
    <t>CHE 54000 - Transport Phenomena Credit Hours: 3.00</t>
  </si>
  <si>
    <t>CHE 54400 - Structure And Physical Behavior Of Polymer Systems Credit Hours: 3.00</t>
  </si>
  <si>
    <t>CHM 34200 - Inorganic Chemistry Credit Hours: 3.00</t>
  </si>
  <si>
    <t>IE 37000 - Manufacturing Processes I Credit Hours: 3.00</t>
  </si>
  <si>
    <t>IE 38300 - Integrated Production Systems I Credit Hours: 3.00</t>
  </si>
  <si>
    <t>IE 47000 - Manufacturing Processes II Credit Hours: 3.00</t>
  </si>
  <si>
    <t>IE 57000 - Manufacturing Process Engineering Credit Hours: 3.00</t>
  </si>
  <si>
    <t>IE 57900 - Design And Control Of Production And Manufacturing Systems Credit Hours: 3.00</t>
  </si>
  <si>
    <t>IE 58300 - Design And Evaluation Of Material Handling Systems Credit Hours: 3.00</t>
  </si>
  <si>
    <t>ME 36300 - Principles And Practices Of Manufacturing Processes Credit Hours: 3.00</t>
  </si>
  <si>
    <t>ME 55700 - Design For Manufacturability Credit Hours: 3.00</t>
  </si>
  <si>
    <t>MSE 23000 - Structure And Properties Of Materials Credit Hours: 3.00</t>
  </si>
  <si>
    <t>MSE 27000 - Atomistic Materials Science Credit Hours: 3.00</t>
  </si>
  <si>
    <t>MSE 36700 - Materials Processing Laboratory Credit Hours: 3.00</t>
  </si>
  <si>
    <t>MSE 37000 - Electrical, Optical, And Magnetic Properties Of Materials Credit Hours: 3.00</t>
  </si>
  <si>
    <t>MSE 50200 - Defects In Solids Credit Hours: 3.00</t>
  </si>
  <si>
    <t>MSE 51000 - Microstructural Characterization Techniques Credit Hours: 3.00</t>
  </si>
  <si>
    <t>MSE 52300 - Physical Ceramics Credit Hours: 3.00</t>
  </si>
  <si>
    <t>MSE 54700 - Introduction To Surface Science Credit Hours: 3.00</t>
  </si>
  <si>
    <t>MSE 54800 - Deposition Processing Of Thin Films And Coatings Credit Hours: 3.00</t>
  </si>
  <si>
    <t>NUCL 42001 - Radiation Interaction With Materials And Applications Credit Hours: 3.00</t>
  </si>
  <si>
    <t>NUCL 52000 - Radiation Effects And Reactor Materials Credit Hours: 3.00</t>
  </si>
  <si>
    <t>NUCL 55300 - Nano-Macro Scale Applications Of Nuclear Technology Credit Hours: 3.00</t>
  </si>
  <si>
    <t>ECE 33700 - ASIC Design Laboratory Credit Hours: 2.00</t>
  </si>
  <si>
    <t>ECE 36200 - Microprocessor Systems And Interfacing Credit Hours: 4.00</t>
  </si>
  <si>
    <t>ECE 40655 - Digital Integrated Circuit Analysis And Design Credit Hours: 3.00</t>
  </si>
  <si>
    <t>ECE 40656 - CMOS Analog And Mixed Signal Integrated Circuits Credit Hours: 3.00</t>
  </si>
  <si>
    <t>ECE 51214 - CMOS Analog IC Design Credit Hours: 3.00</t>
  </si>
  <si>
    <t>ECE 51220 - Applied Algorithms Credit Hours: 3.00</t>
  </si>
  <si>
    <t>ECE 55900 - MOS VLSI Design Credit Hours: 3.00</t>
  </si>
  <si>
    <t>ECE 56800 - Embedded Systems Credit Hours: 3.00</t>
  </si>
  <si>
    <t>CHE 32000 - Statistical Modeling And Quality Enhancement Credit Hours: 3.00</t>
  </si>
  <si>
    <t>ME 50300 - Micro-And-Nano-Scale Energy Transfer Processes Credit Hours: 3.00</t>
  </si>
  <si>
    <t>ME 51100 - Heat Transfer In Electronic Systems Credit Hours: 3.00</t>
  </si>
  <si>
    <t>PHYS 53600 - Electronic Techniques For Research Credit Hours: 4.00</t>
  </si>
  <si>
    <t>IE 38600 - Work Analysis And Design I Credit Hours: 3.00</t>
  </si>
  <si>
    <t>IE 48400 - Integrated Production Systems II Credit Hours: 3.00</t>
  </si>
  <si>
    <t>IE 48600 - Work Analysis And Design II Credit Hours: 3.00</t>
  </si>
  <si>
    <t>IE 53200 - Reliability Credit Hours: 3.00</t>
  </si>
  <si>
    <t>IE 53300 - Industrial Applications Of Statistics Credit Hours: 3.00</t>
  </si>
  <si>
    <t>IE 55800 - Safety Engineering Credit Hours: 3.00</t>
  </si>
  <si>
    <t>IE 56600 - Production Management Control Credit Hours: 3.00</t>
  </si>
  <si>
    <t>IE 58200 - Advanced Facilities Design Credit Hours: 3.00</t>
  </si>
  <si>
    <t>MIS 47900 - Data Visualization Credit Hours: 2.00 or 3.00</t>
  </si>
  <si>
    <t>QM 40500 - Six Sigma And Quality Analytics Credit Hours: 3.00</t>
  </si>
  <si>
    <t>QM 47300 - Data Mining Credit Hours: 3.00</t>
  </si>
  <si>
    <t>QM 47400 - Predictive Analytics Credit Hours: 3.00</t>
  </si>
  <si>
    <t>SCOM 26100 - Introduction To Supply Chain Management Credit Hours: 3.00</t>
  </si>
  <si>
    <t>SCOM 46200 - Advanced Manufacturing Planning And Control Systems Credit Hours: 3.00</t>
  </si>
  <si>
    <t>SCOM 46300 - Supply Chain Analytics Credit Hours: 3.00</t>
  </si>
  <si>
    <t>Semiconductor Materirals, Characterization, and Processing</t>
  </si>
  <si>
    <t>https://catalog.purdue.edu/preview_program.php?catoid=19&amp;poid=35832&amp;hl=%22semiconductor%22&amp;returnto=search</t>
  </si>
  <si>
    <t>Currently running as three 5-week modules: ECE 50631: Fundamentals of Current Flow, ECE 50632: Introduction to Quantum Transport and ECE 50633: Boltzmann Law: Physics to Machine Learning</t>
  </si>
  <si>
    <t>PHYS450: Optics Laboratory I</t>
  </si>
  <si>
    <t>PHYS 32200 Intermediate Optics</t>
  </si>
  <si>
    <t>QM 47300</t>
  </si>
  <si>
    <t>QM 47300 Data Mining</t>
  </si>
  <si>
    <t>QM 47400</t>
  </si>
  <si>
    <t>QM 47400 Predictive Analytics</t>
  </si>
  <si>
    <t>MIS 47900</t>
  </si>
  <si>
    <t>SCOM 26100</t>
  </si>
  <si>
    <t>SCOM 26100 Introduction To Supply Chain Management</t>
  </si>
  <si>
    <t>QM 40500</t>
  </si>
  <si>
    <t>SCOM 46200</t>
  </si>
  <si>
    <t>QM 40500 Six Sigma And Quality Analytics</t>
  </si>
  <si>
    <t>SCOM 46200 Advanced Manufacturing Planning And Control Systems</t>
  </si>
  <si>
    <t>SCOM 46300</t>
  </si>
  <si>
    <t>SCOM 46300 Supply Chain Analytics</t>
  </si>
  <si>
    <t>MIS 47900 Data Visualization</t>
  </si>
  <si>
    <t>Process Analysis &amp; Scheduling</t>
  </si>
  <si>
    <t>Quantum Computing</t>
  </si>
  <si>
    <t>Processor Design</t>
  </si>
  <si>
    <t>Quantum Mechanics &amp; Solid State Physics</t>
  </si>
  <si>
    <t>Material Properties</t>
  </si>
  <si>
    <t>Nanoscale Materials, Systems, &amp; Devices</t>
  </si>
  <si>
    <t>Micro-Electro-Mechanical Systems (MEMS)</t>
  </si>
  <si>
    <t>Health &amp; Safety</t>
  </si>
  <si>
    <t>Facilities Design</t>
  </si>
  <si>
    <t>Quality Control</t>
  </si>
  <si>
    <t>Artificial Intelligence &amp; Machine Learning</t>
  </si>
  <si>
    <t>MSE 49700 Electronics Packaging and Heterogeneous Integration</t>
  </si>
  <si>
    <t>YES</t>
  </si>
  <si>
    <t>STARS (Taken in 2026 and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</si>
</sst>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sz val="11"/>
      <color theme="1"/>
      <name val="Aptos Narrow"/>
      <family val="2"/>
      <scheme val="minor"/>
    </font>
    <font>
      <sz val="11"/>
      <name val="Calibri (Body)"/>
    </font>
    <font>
      <sz val="10"/>
      <name val="Calibri (Body)"/>
    </font>
    <font>
      <strike/>
      <sz val="12"/>
      <color rgb="FFFF0000"/>
      <name val="Aptos Narrow"/>
      <family val="2"/>
      <scheme val="minor"/>
    </font>
    <font>
      <b/>
      <strike/>
      <sz val="12"/>
      <color rgb="FFFF0000"/>
      <name val="Aptos Narrow"/>
      <family val="2"/>
      <scheme val="minor"/>
    </font>
    <font>
      <sz val="12"/>
      <color rgb="FFFF0000"/>
      <name val="Aptos Narrow"/>
      <family val="2"/>
      <scheme val="minor"/>
    </font>
    <font>
      <sz val="11"/>
      <color rgb="FFFF0000"/>
      <name val="Calibri (Body)"/>
    </font>
    <font>
      <sz val="10"/>
      <color rgb="FFFF0000"/>
      <name val="Calibri (Body)"/>
    </font>
    <font>
      <strike/>
      <sz val="12"/>
      <color rgb="FFC00000"/>
      <name val="Aptos Narrow"/>
      <family val="2"/>
      <scheme val="minor"/>
    </font>
    <font>
      <sz val="12"/>
      <color rgb="FF00B050"/>
      <name val="Aptos Narrow"/>
      <family val="2"/>
      <scheme val="minor"/>
    </font>
    <font>
      <sz val="12"/>
      <color rgb="FF1F1F1F"/>
      <name val="Arial"/>
      <family val="2"/>
    </font>
    <font>
      <b/>
      <sz val="12"/>
      <color rgb="FF1F1F1F"/>
      <name val="Arial"/>
      <family val="2"/>
    </font>
    <font>
      <sz val="12"/>
      <color theme="1"/>
      <name val="Arial"/>
      <family val="2"/>
    </font>
    <font>
      <u/>
      <sz val="12"/>
      <color theme="10"/>
      <name val="Aptos Narrow"/>
      <family val="2"/>
      <scheme val="minor"/>
    </font>
    <font>
      <sz val="12"/>
      <color theme="1"/>
      <name val="Aptos Narrow"/>
      <family val="2"/>
      <charset val="1"/>
    </font>
    <font>
      <u/>
      <sz val="12"/>
      <color theme="10"/>
      <name val="Aptos Narrow"/>
      <family val="2"/>
      <charset val="1"/>
    </font>
    <font>
      <sz val="10"/>
      <name val="Arial"/>
      <family val="2"/>
    </font>
    <font>
      <sz val="10"/>
      <color theme="1"/>
      <name val="Arial"/>
      <family val="2"/>
    </font>
    <font>
      <b/>
      <sz val="10"/>
      <color theme="1"/>
      <name val="Arial"/>
      <family val="2"/>
    </font>
    <font>
      <b/>
      <sz val="10"/>
      <name val="Arial"/>
      <family val="2"/>
    </font>
    <font>
      <b/>
      <sz val="10"/>
      <color theme="1"/>
      <name val="Aptos Narrow"/>
      <family val="2"/>
    </font>
    <font>
      <sz val="10"/>
      <color theme="1"/>
      <name val="Aptos Narrow"/>
      <family val="2"/>
      <charset val="1"/>
    </font>
    <font>
      <u/>
      <sz val="10"/>
      <color theme="10"/>
      <name val="Aptos Narrow"/>
      <family val="2"/>
      <scheme val="minor"/>
    </font>
    <font>
      <sz val="8"/>
      <color theme="1"/>
      <name val="Arial"/>
      <family val="2"/>
    </font>
    <font>
      <b/>
      <sz val="8"/>
      <color theme="1"/>
      <name val="Arial"/>
      <family val="2"/>
    </font>
    <font>
      <b/>
      <sz val="8"/>
      <name val="Arial"/>
      <family val="2"/>
    </font>
    <font>
      <sz val="8"/>
      <name val="Arial"/>
      <family val="2"/>
    </font>
    <font>
      <u/>
      <sz val="8"/>
      <color theme="10"/>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C4BD97"/>
        <bgColor indexed="64"/>
      </patternFill>
    </fill>
    <fill>
      <patternFill patternType="solid">
        <fgColor rgb="FFDDD9C4"/>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CCCCCC"/>
      </left>
      <right style="thin">
        <color rgb="FFCCCCCC"/>
      </right>
      <top style="thin">
        <color rgb="FFCCCCCC"/>
      </top>
      <bottom style="thin">
        <color rgb="FFCCCCCC"/>
      </bottom>
      <diagonal/>
    </border>
  </borders>
  <cellStyleXfs count="7">
    <xf numFmtId="0" fontId="0" fillId="0" borderId="0"/>
    <xf numFmtId="0" fontId="5" fillId="0" borderId="0"/>
    <xf numFmtId="0" fontId="2" fillId="0" borderId="0"/>
    <xf numFmtId="0" fontId="18" fillId="0" borderId="0" applyNumberFormat="0" applyFill="0" applyBorder="0" applyAlignment="0" applyProtection="0"/>
    <xf numFmtId="0" fontId="19" fillId="0" borderId="0"/>
    <xf numFmtId="0" fontId="20" fillId="0" borderId="0" applyNumberFormat="0" applyFill="0" applyBorder="0" applyAlignment="0" applyProtection="0"/>
    <xf numFmtId="0" fontId="1" fillId="0" borderId="0"/>
  </cellStyleXfs>
  <cellXfs count="70">
    <xf numFmtId="0" fontId="0" fillId="0" borderId="0" xfId="0"/>
    <xf numFmtId="0" fontId="3" fillId="0" borderId="0" xfId="1" applyFont="1"/>
    <xf numFmtId="0" fontId="3" fillId="0" borderId="0" xfId="1" applyFont="1" applyAlignment="1">
      <alignment horizontal="center"/>
    </xf>
    <xf numFmtId="0" fontId="3" fillId="2" borderId="1" xfId="1" applyFont="1" applyFill="1" applyBorder="1" applyAlignment="1">
      <alignment horizontal="center" textRotation="45"/>
    </xf>
    <xf numFmtId="0" fontId="4" fillId="0" borderId="0" xfId="1" applyFont="1" applyAlignment="1">
      <alignment horizontal="center" vertical="center"/>
    </xf>
    <xf numFmtId="0" fontId="6" fillId="0" borderId="0" xfId="1" applyFont="1" applyAlignment="1">
      <alignment horizontal="center"/>
    </xf>
    <xf numFmtId="0" fontId="6" fillId="0" borderId="0" xfId="1" applyFont="1" applyAlignment="1">
      <alignment wrapText="1"/>
    </xf>
    <xf numFmtId="0" fontId="6" fillId="0" borderId="0" xfId="1" applyFont="1" applyAlignment="1">
      <alignment horizontal="center" wrapText="1"/>
    </xf>
    <xf numFmtId="0" fontId="6" fillId="0" borderId="0" xfId="1" applyFont="1"/>
    <xf numFmtId="0" fontId="7" fillId="0" borderId="0" xfId="1" applyFont="1" applyAlignment="1">
      <alignment horizontal="center" wrapText="1"/>
    </xf>
    <xf numFmtId="0" fontId="4" fillId="0" borderId="0" xfId="1" applyFont="1"/>
    <xf numFmtId="0" fontId="8" fillId="0" borderId="0" xfId="1" applyFont="1"/>
    <xf numFmtId="0" fontId="9" fillId="0" borderId="0" xfId="1" applyFont="1" applyAlignment="1">
      <alignment horizontal="center" vertical="center"/>
    </xf>
    <xf numFmtId="0" fontId="0" fillId="2" borderId="1" xfId="1" applyFont="1" applyFill="1" applyBorder="1" applyAlignment="1">
      <alignment horizontal="center" textRotation="45"/>
    </xf>
    <xf numFmtId="0" fontId="11" fillId="0" borderId="0" xfId="1" applyFont="1" applyAlignment="1">
      <alignment horizontal="center"/>
    </xf>
    <xf numFmtId="0" fontId="12" fillId="0" borderId="0" xfId="1" applyFont="1" applyAlignment="1">
      <alignment horizontal="center" wrapText="1"/>
    </xf>
    <xf numFmtId="0" fontId="10" fillId="0" borderId="0" xfId="1" applyFont="1" applyAlignment="1">
      <alignment horizontal="center"/>
    </xf>
    <xf numFmtId="0" fontId="13" fillId="2" borderId="1" xfId="1" applyFont="1" applyFill="1" applyBorder="1" applyAlignment="1">
      <alignment horizontal="center" textRotation="45"/>
    </xf>
    <xf numFmtId="0" fontId="8" fillId="2" borderId="1" xfId="1" applyFont="1" applyFill="1" applyBorder="1" applyAlignment="1">
      <alignment horizontal="center" textRotation="45"/>
    </xf>
    <xf numFmtId="0" fontId="13" fillId="5" borderId="1" xfId="1" applyFont="1" applyFill="1" applyBorder="1" applyAlignment="1">
      <alignment horizontal="center" textRotation="45"/>
    </xf>
    <xf numFmtId="0" fontId="13" fillId="5" borderId="1" xfId="1" applyFont="1" applyFill="1" applyBorder="1" applyAlignment="1">
      <alignment textRotation="45"/>
    </xf>
    <xf numFmtId="0" fontId="14" fillId="2" borderId="1" xfId="1" applyFont="1" applyFill="1" applyBorder="1" applyAlignment="1">
      <alignment horizontal="center" textRotation="45"/>
    </xf>
    <xf numFmtId="0" fontId="8" fillId="5" borderId="1" xfId="1" applyFont="1" applyFill="1" applyBorder="1" applyAlignment="1">
      <alignment textRotation="45"/>
    </xf>
    <xf numFmtId="0" fontId="16" fillId="0" borderId="0" xfId="0" applyFont="1" applyAlignment="1">
      <alignment horizontal="center" vertical="center" readingOrder="1"/>
    </xf>
    <xf numFmtId="0" fontId="15" fillId="0" borderId="0" xfId="0" applyFont="1" applyAlignment="1">
      <alignment horizontal="left" vertical="center" readingOrder="1"/>
    </xf>
    <xf numFmtId="0" fontId="15" fillId="0" borderId="0" xfId="0" applyFont="1" applyAlignment="1">
      <alignment horizontal="center" vertical="center" readingOrder="1"/>
    </xf>
    <xf numFmtId="0" fontId="16" fillId="0" borderId="0" xfId="0" applyFont="1" applyAlignment="1">
      <alignment horizontal="left" vertical="center" readingOrder="1"/>
    </xf>
    <xf numFmtId="0" fontId="17" fillId="0" borderId="0" xfId="0" applyFont="1" applyAlignment="1">
      <alignment horizontal="center"/>
    </xf>
    <xf numFmtId="0" fontId="17" fillId="0" borderId="0" xfId="0" applyFont="1"/>
    <xf numFmtId="0" fontId="17" fillId="0" borderId="0" xfId="1" applyFont="1" applyAlignment="1">
      <alignment horizontal="center"/>
    </xf>
    <xf numFmtId="0" fontId="4" fillId="0" borderId="0" xfId="0" applyFont="1"/>
    <xf numFmtId="0" fontId="22" fillId="2" borderId="1" xfId="1" applyFont="1" applyFill="1" applyBorder="1" applyAlignment="1">
      <alignment horizontal="center" textRotation="45"/>
    </xf>
    <xf numFmtId="0" fontId="21" fillId="2" borderId="1" xfId="1" applyFont="1" applyFill="1" applyBorder="1" applyAlignment="1">
      <alignment horizontal="center" textRotation="45"/>
    </xf>
    <xf numFmtId="0" fontId="22" fillId="0" borderId="0" xfId="1" applyFont="1" applyAlignment="1">
      <alignment vertical="top"/>
    </xf>
    <xf numFmtId="0" fontId="22" fillId="0" borderId="0" xfId="1" applyFont="1" applyAlignment="1">
      <alignment horizontal="center" vertical="top"/>
    </xf>
    <xf numFmtId="0" fontId="22" fillId="0" borderId="0" xfId="1" applyFont="1" applyAlignment="1">
      <alignment vertical="top" wrapText="1"/>
    </xf>
    <xf numFmtId="0" fontId="3" fillId="0" borderId="0" xfId="1" applyFont="1" applyAlignment="1">
      <alignment vertical="top"/>
    </xf>
    <xf numFmtId="0" fontId="23" fillId="0" borderId="0" xfId="1" applyFont="1" applyAlignment="1">
      <alignment vertical="top"/>
    </xf>
    <xf numFmtId="0" fontId="23" fillId="0" borderId="0" xfId="1" applyFont="1" applyAlignment="1">
      <alignment horizontal="center" vertical="top"/>
    </xf>
    <xf numFmtId="0" fontId="23" fillId="0" borderId="0" xfId="1" applyFont="1" applyAlignment="1">
      <alignment horizontal="left" vertical="top"/>
    </xf>
    <xf numFmtId="0" fontId="23" fillId="0" borderId="0" xfId="1" applyFont="1" applyAlignment="1">
      <alignment horizontal="center" vertical="top" wrapText="1"/>
    </xf>
    <xf numFmtId="0" fontId="23" fillId="3" borderId="2" xfId="1" applyFont="1" applyFill="1" applyBorder="1" applyAlignment="1">
      <alignment horizontal="center" vertical="top"/>
    </xf>
    <xf numFmtId="0" fontId="21" fillId="0" borderId="0" xfId="1" applyFont="1" applyAlignment="1">
      <alignment horizontal="center" vertical="top"/>
    </xf>
    <xf numFmtId="0" fontId="21" fillId="0" borderId="0" xfId="1" applyFont="1" applyAlignment="1">
      <alignment vertical="top"/>
    </xf>
    <xf numFmtId="0" fontId="22" fillId="0" borderId="0" xfId="1" applyFont="1" applyAlignment="1">
      <alignment vertical="top" shrinkToFit="1"/>
    </xf>
    <xf numFmtId="0" fontId="26" fillId="0" borderId="0" xfId="4" applyFont="1" applyAlignment="1">
      <alignment vertical="top"/>
    </xf>
    <xf numFmtId="0" fontId="26" fillId="0" borderId="0" xfId="4" applyFont="1" applyAlignment="1">
      <alignment horizontal="center" vertical="top"/>
    </xf>
    <xf numFmtId="0" fontId="21" fillId="0" borderId="3" xfId="0" applyFont="1" applyBorder="1" applyAlignment="1">
      <alignment vertical="top"/>
    </xf>
    <xf numFmtId="0" fontId="21" fillId="0" borderId="3" xfId="0" applyFont="1" applyBorder="1" applyAlignment="1">
      <alignment horizontal="center" vertical="top"/>
    </xf>
    <xf numFmtId="0" fontId="25" fillId="0" borderId="0" xfId="4" applyFont="1" applyAlignment="1">
      <alignment vertical="top"/>
    </xf>
    <xf numFmtId="0" fontId="24" fillId="0" borderId="3" xfId="0" applyFont="1" applyBorder="1" applyAlignment="1">
      <alignment horizontal="center" vertical="top"/>
    </xf>
    <xf numFmtId="0" fontId="23" fillId="0" borderId="0" xfId="6" applyFont="1" applyAlignment="1">
      <alignment horizontal="center" vertical="top"/>
    </xf>
    <xf numFmtId="0" fontId="27" fillId="0" borderId="3" xfId="3" applyFont="1" applyBorder="1" applyAlignment="1">
      <alignment vertical="top"/>
    </xf>
    <xf numFmtId="0" fontId="28" fillId="0" borderId="0" xfId="1" applyFont="1" applyAlignment="1">
      <alignment horizontal="center" vertical="top"/>
    </xf>
    <xf numFmtId="0" fontId="18" fillId="0" borderId="0" xfId="3" applyAlignment="1">
      <alignment horizontal="left" vertical="center" wrapText="1" indent="1"/>
    </xf>
    <xf numFmtId="0" fontId="22" fillId="6" borderId="0" xfId="1" applyFont="1" applyFill="1" applyAlignment="1">
      <alignment vertical="top"/>
    </xf>
    <xf numFmtId="0" fontId="29" fillId="0" borderId="0" xfId="6" applyFont="1" applyAlignment="1">
      <alignment horizontal="center" vertical="top"/>
    </xf>
    <xf numFmtId="0" fontId="30" fillId="0" borderId="3" xfId="0" applyFont="1" applyBorder="1" applyAlignment="1">
      <alignment horizontal="center" vertical="top"/>
    </xf>
    <xf numFmtId="0" fontId="29" fillId="0" borderId="0" xfId="4" applyFont="1" applyAlignment="1">
      <alignment vertical="top"/>
    </xf>
    <xf numFmtId="0" fontId="28" fillId="0" borderId="0" xfId="4" applyFont="1" applyAlignment="1">
      <alignment vertical="top"/>
    </xf>
    <xf numFmtId="0" fontId="28" fillId="0" borderId="0" xfId="4" applyFont="1" applyAlignment="1">
      <alignment horizontal="center" vertical="top"/>
    </xf>
    <xf numFmtId="0" fontId="31" fillId="0" borderId="3" xfId="0" applyFont="1" applyBorder="1" applyAlignment="1">
      <alignment vertical="top"/>
    </xf>
    <xf numFmtId="0" fontId="31" fillId="0" borderId="3" xfId="0" applyFont="1" applyBorder="1" applyAlignment="1">
      <alignment horizontal="center" vertical="top"/>
    </xf>
    <xf numFmtId="0" fontId="32" fillId="0" borderId="3" xfId="3" applyFont="1" applyFill="1" applyBorder="1" applyAlignment="1">
      <alignment vertical="top"/>
    </xf>
    <xf numFmtId="0" fontId="28" fillId="0" borderId="0" xfId="1" applyFont="1" applyAlignment="1">
      <alignment vertical="top"/>
    </xf>
    <xf numFmtId="0" fontId="32" fillId="0" borderId="0" xfId="3" applyFont="1" applyAlignment="1">
      <alignment vertical="top"/>
    </xf>
    <xf numFmtId="0" fontId="22" fillId="0" borderId="0" xfId="1" applyFont="1" applyAlignment="1">
      <alignment horizontal="fill" vertical="top"/>
    </xf>
    <xf numFmtId="0" fontId="23" fillId="0" borderId="0" xfId="1" applyFont="1" applyAlignment="1">
      <alignment horizontal="fill" vertical="top"/>
    </xf>
    <xf numFmtId="0" fontId="4" fillId="3" borderId="2" xfId="1" applyFont="1" applyFill="1" applyBorder="1" applyAlignment="1">
      <alignment horizontal="center" vertical="center"/>
    </xf>
    <xf numFmtId="0" fontId="4" fillId="4" borderId="2" xfId="1" applyFont="1" applyFill="1" applyBorder="1" applyAlignment="1">
      <alignment horizontal="center" vertical="center"/>
    </xf>
  </cellXfs>
  <cellStyles count="7">
    <cellStyle name="Hyperlink" xfId="3" builtinId="8"/>
    <cellStyle name="Hyperlink 2" xfId="5" xr:uid="{4D73043C-1722-44A7-B448-851679FBC9BD}"/>
    <cellStyle name="Normal" xfId="0" builtinId="0"/>
    <cellStyle name="Normal 2" xfId="1" xr:uid="{0995A192-3FA5-8748-8420-0BF807C01FC8}"/>
    <cellStyle name="Normal 2 2" xfId="6" xr:uid="{B208A240-5240-488F-A00C-C46D6D77CE3B}"/>
    <cellStyle name="Normal 3" xfId="2" xr:uid="{C0E8F44F-40FF-487A-83C8-4EBFF3F0130B}"/>
    <cellStyle name="Normal 4" xfId="4" xr:uid="{47339D40-DF43-4811-80D2-3204EE8638E7}"/>
  </cellStyles>
  <dxfs count="17">
    <dxf>
      <font>
        <color theme="2" tint="-0.24994659260841701"/>
      </font>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2" tint="-0.24994659260841701"/>
      </font>
    </dxf>
    <dxf>
      <font>
        <color rgb="FF9C5700"/>
      </font>
      <fill>
        <patternFill>
          <bgColor rgb="FFFFEB9C"/>
        </patternFill>
      </fill>
    </dxf>
    <dxf>
      <font>
        <color rgb="FF006100"/>
      </font>
      <fill>
        <patternFill>
          <bgColor rgb="FFC6EFCE"/>
        </patternFill>
      </fill>
    </dxf>
    <dxf>
      <font>
        <color theme="2" tint="-0.24994659260841701"/>
      </font>
    </dxf>
    <dxf>
      <font>
        <color theme="2" tint="-0.24994659260841701"/>
      </font>
    </dxf>
    <dxf>
      <font>
        <color theme="2" tint="-0.24994659260841701"/>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tint="-0.499984740745262"/>
      </font>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DD9C4"/>
      <color rgb="FFC4BD97"/>
      <color rgb="FFE9D588"/>
      <color rgb="FFC8B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my Marconnet" id="{A07825DE-FCB3-4FB6-96D3-A188D29A87DF}" userId="de831455f0cdded8" providerId="Windows Live"/>
  <person displayName="Amy M Marconnet" id="{623CF856-4020-4446-8E68-BF15204BC218}" userId="S::amarconn@purdue.edu::ebba11c2-5c1f-4e9b-952e-3cfc2538d6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9-23T13:40:10.48" personId="{A07825DE-FCB3-4FB6-96D3-A188D29A87DF}" id="{BC23CA88-8A19-47AC-8110-F865B74BF337}">
    <text>Retrieved from https://sswis.mypurdue.purdue.edu/PurdueFacAdvSS/flow/PreReqReport</text>
    <extLst>
      <x:ext xmlns:xltc2="http://schemas.microsoft.com/office/spreadsheetml/2020/threadedcomments2" uri="{F7C98A9C-CBB3-438F-8F68-D28B6AF4A901}">
        <xltc2:checksum>3693573621</xltc2:checksum>
        <xltc2:hyperlink startIndex="15" length="66" url="https://sswis.mypurdue.purdue.edu/PurdueFacAdvSS/flow/PreReqReport"/>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07-22T16:33:58.67" personId="{623CF856-4020-4446-8E68-BF15204BC218}" id="{93A25ABE-A9C8-41EF-8822-4C86DEDDD54B}">
    <text>VIP courses and 59X courses often have the same number for many titles. This is why I moved to a single column with the course number and name for sorting</text>
  </threadedComment>
  <threadedComment ref="D1" dT="2026-07-22T16:27:44.91" personId="{623CF856-4020-4446-8E68-BF15204BC218}" id="{B7BDEAD6-B3F9-4C75-B15B-AE5C66804E5F}">
    <text>This column is not needed</text>
  </threadedComment>
  <threadedComment ref="H1" dT="2026-07-22T16:38:54.97" personId="{623CF856-4020-4446-8E68-BF15204BC218}" id="{A54E8B21-CB3C-4688-8939-A8FF199EDFD1}">
    <text>Combined with column I</text>
  </threadedComment>
  <threadedComment ref="L1" dT="2026-07-22T16:39:23.95" personId="{623CF856-4020-4446-8E68-BF15204BC218}" id="{D0EAF73D-4A39-467F-BFE2-4AAA683FA394}">
    <text>No classes here --&gt; EDA category</text>
  </threadedComment>
  <threadedComment ref="Z1" dT="2026-07-22T16:40:08.03" personId="{623CF856-4020-4446-8E68-BF15204BC218}" id="{CDE4C3E1-97AC-448D-B7AA-B1C759F752A1}">
    <text>Merged with column AA</text>
  </threadedComment>
  <threadedComment ref="AJ1" dT="2026-07-22T16:37:33.01" personId="{623CF856-4020-4446-8E68-BF15204BC218}" id="{3BF82F6E-E168-4C4E-9BA4-F99F118F41FB}">
    <text>Merged with the next column</text>
  </threadedComment>
  <threadedComment ref="AT1" dT="2026-07-22T17:00:24.26" personId="{623CF856-4020-4446-8E68-BF15204BC218}" id="{D9179983-09C2-40DD-8345-B42462534830}">
    <text xml:space="preserve">Split into AU and AV
</text>
  </threadedComment>
  <threadedComment ref="BA1" dT="2026-07-22T17:02:55.09" personId="{623CF856-4020-4446-8E68-BF15204BC218}" id="{18903066-9631-4F14-BFE0-9B6F72EA248E}">
    <text>Titles updated</text>
  </threadedComment>
  <threadedComment ref="BD1" dT="2026-07-22T16:41:17.81" personId="{623CF856-4020-4446-8E68-BF15204BC218}" id="{381C768C-E952-4032-870B-4E6199A68270}">
    <text>These courses count only in the experiential learning requirement</text>
  </threadedComment>
  <threadedComment ref="BE1" dT="2026-07-22T16:47:10.25" personId="{623CF856-4020-4446-8E68-BF15204BC218}" id="{1D873400-8EC4-43C7-9760-3E734814680E}">
    <text xml:space="preserve">Combined into column V
</text>
  </threadedComment>
  <threadedComment ref="BF1" dT="2026-07-22T16:47:44.13" personId="{623CF856-4020-4446-8E68-BF15204BC218}" id="{57569E71-3525-44B8-B6E9-D5EDEA9FC6E5}">
    <text>Combined with column AA</text>
  </threadedComment>
  <threadedComment ref="BG1" dT="2026-07-22T16:48:17.52" personId="{623CF856-4020-4446-8E68-BF15204BC218}" id="{991E55D2-A48E-42FD-B772-333A9CAE8E6A}">
    <text>Combined with AB</text>
  </threadedComment>
  <threadedComment ref="BH1" dT="2026-07-22T16:48:56.55" personId="{623CF856-4020-4446-8E68-BF15204BC218}" id="{7A26AD72-B48B-403D-9C57-9A5FCEECDCBB}">
    <text>Combined with AC</text>
  </threadedComment>
  <threadedComment ref="BI1" dT="2026-07-22T16:50:08.42" personId="{623CF856-4020-4446-8E68-BF15204BC218}" id="{DE86287F-C386-4979-901B-2F657769E767}">
    <text>Captured in columns AD-AF</text>
  </threadedComment>
  <threadedComment ref="BJ1" dT="2026-07-22T16:50:52.06" personId="{623CF856-4020-4446-8E68-BF15204BC218}" id="{934F18D7-6545-47D0-BEDD-46A16771EEF3}">
    <text>Col AG</text>
  </threadedComment>
  <threadedComment ref="BK1" dT="2026-07-22T16:51:37.34" personId="{623CF856-4020-4446-8E68-BF15204BC218}" id="{4B14545A-590E-45B0-9AEB-EDA5C8CC0BA1}">
    <text>Caputred in AH-AI</text>
  </threadedComment>
  <threadedComment ref="BL1" dT="2026-07-22T16:52:21.10" personId="{623CF856-4020-4446-8E68-BF15204BC218}" id="{BF2CCE5F-D7F3-47A2-9279-2C05CB4991E3}">
    <text>Captured in AK</text>
  </threadedComment>
  <threadedComment ref="BM1" dT="2026-07-22T16:52:55.18" personId="{623CF856-4020-4446-8E68-BF15204BC218}" id="{76921AE8-8954-4166-B89C-1BF033F4C022}">
    <text>Column AL</text>
  </threadedComment>
  <threadedComment ref="BN1" dT="2026-07-22T16:54:24.38" personId="{623CF856-4020-4446-8E68-BF15204BC218}" id="{711F8C19-B12E-4383-AF27-32C23A41915F}">
    <text>Combined with AO</text>
  </threadedComment>
  <threadedComment ref="BO1" dT="2026-07-22T16:57:00.67" personId="{623CF856-4020-4446-8E68-BF15204BC218}" id="{05C01C38-90DE-47BF-8F3F-7A10315ACA64}">
    <text>Comb w AP</text>
  </threadedComment>
  <threadedComment ref="BP1" dT="2026-07-22T17:00:30.66" personId="{623CF856-4020-4446-8E68-BF15204BC218}" id="{A7C41ED2-AC98-496E-A0A2-175CBAECB735}">
    <text>Cols AU-AV</text>
  </threadedComment>
  <threadedComment ref="BQ1" dT="2026-07-22T17:01:38.22" personId="{623CF856-4020-4446-8E68-BF15204BC218}" id="{C1D3DBB7-922C-4542-82C2-B309C553B1BC}">
    <text>Col AW</text>
  </threadedComment>
  <threadedComment ref="BR1" dT="2026-07-22T17:04:46.20" personId="{623CF856-4020-4446-8E68-BF15204BC218}" id="{155FCEDF-5A3F-4BF2-813D-C6FBA39E368C}">
    <text>Cols  AY-AZ</text>
  </threadedComment>
  <threadedComment ref="BS1" dT="2026-07-22T17:03:59.52" personId="{623CF856-4020-4446-8E68-BF15204BC218}" id="{34FF3757-5DA2-4C58-B2D5-7A7FBC819B79}">
    <text>Columns BA-BB</text>
  </threadedComment>
  <threadedComment ref="BT1" dT="2026-07-22T16:55:48.75" personId="{623CF856-4020-4446-8E68-BF15204BC218}" id="{AB554DFE-4B3A-4095-9ECD-729A06E430E7}">
    <text>BC</text>
  </threadedComment>
  <threadedComment ref="BU1" dT="2026-07-22T16:55:22.63" personId="{623CF856-4020-4446-8E68-BF15204BC218}" id="{60EB767E-A8E8-4D1E-9F49-1B89E1016AE5}">
    <text xml:space="preserve">Combined with BD
</text>
  </threadedComment>
  <threadedComment ref="A2" dT="2026-07-22T16:29:30.04" personId="{623CF856-4020-4446-8E68-BF15204BC218}" id="{C274A650-0D73-494F-B24B-B4595F0CA858}">
    <text xml:space="preserve">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text>
  </threadedComment>
  <threadedComment ref="A2" dT="2026-07-22T16:32:40.01" personId="{623CF856-4020-4446-8E68-BF15204BC218}" id="{B6EC2C85-39DA-4A63-9D5A-7EF1DCEC7FAB}" parentId="{C274A650-0D73-494F-B24B-B4595F0CA858}">
    <text xml:space="preserve">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ext>
  </threadedComment>
  <threadedComment ref="B3" dT="2026-07-22T16:32:55.50" personId="{623CF856-4020-4446-8E68-BF15204BC218}" id="{DB7CB955-7967-4417-8825-E741428F9FA2}">
    <text>Uncategorized generally means it is not part of the certificate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07905A-CB92-4D3A-837D-4DFEE8CF18B8}">
  <we:reference id="wa200009404" version="1.0.0.8" store="en-US" storeType="OMEX"/>
  <we:alternateReferences>
    <we:reference id="WA200009404" version="1.0.0.8" store="WA200009404" storeType="OMEX"/>
  </we:alternateReferences>
  <we:properties>
    <we:property name="claude.fileId" value="&quot;35a973c2-f17c-42b7-8d59-3eccbd895eb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6" Type="http://schemas.openxmlformats.org/officeDocument/2006/relationships/hyperlink" Target="https://catalog.purdue.edu/preview_program.php?catoid=19&amp;poid=35832&amp;hl=%22semiconductor%22&amp;returnto=search" TargetMode="External"/><Relationship Id="rId21" Type="http://schemas.openxmlformats.org/officeDocument/2006/relationships/hyperlink" Target="https://catalog.purdue.edu/preview_program.php?catoid=19&amp;poid=35832&amp;hl=%22semiconductor%22&amp;returnto=search" TargetMode="External"/><Relationship Id="rId34" Type="http://schemas.openxmlformats.org/officeDocument/2006/relationships/hyperlink" Target="https://catalog.purdue.edu/preview_program.php?catoid=19&amp;poid=35832&amp;hl=%22semiconductor%22&amp;returnto=search" TargetMode="External"/><Relationship Id="rId42" Type="http://schemas.openxmlformats.org/officeDocument/2006/relationships/hyperlink" Target="https://catalog.purdue.edu/preview_program.php?catoid=19&amp;poid=35832&amp;hl=%22semiconductor%22&amp;returnto=search" TargetMode="External"/><Relationship Id="rId47" Type="http://schemas.openxmlformats.org/officeDocument/2006/relationships/hyperlink" Target="https://catalog.purdue.edu/preview_program.php?catoid=19&amp;poid=35832&amp;hl=%22semiconductor%22&amp;returnto=search" TargetMode="External"/><Relationship Id="rId50" Type="http://schemas.openxmlformats.org/officeDocument/2006/relationships/hyperlink" Target="https://catalog.purdue.edu/preview_program.php?catoid=19&amp;poid=35832&amp;hl=%22semiconductor%22&amp;returnto=search" TargetMode="External"/><Relationship Id="rId55" Type="http://schemas.openxmlformats.org/officeDocument/2006/relationships/hyperlink" Target="https://catalog.purdue.edu/preview_program.php?catoid=19&amp;poid=35832&amp;hl=%22semiconductor%22&amp;returnto=search" TargetMode="External"/><Relationship Id="rId63" Type="http://schemas.openxmlformats.org/officeDocument/2006/relationships/hyperlink" Target="https://catalog.purdue.edu/preview_program.php?catoid=19&amp;poid=35832&amp;hl=%22semiconductor%22&amp;returnto=search" TargetMode="External"/><Relationship Id="rId7" Type="http://schemas.openxmlformats.org/officeDocument/2006/relationships/hyperlink" Target="https://catalog.purdue.edu/preview_program.php?catoid=19&amp;poid=35832&amp;hl=%22semiconductor%22&amp;returnto=search" TargetMode="External"/><Relationship Id="rId2" Type="http://schemas.openxmlformats.org/officeDocument/2006/relationships/hyperlink" Target="https://catalog.purdue.edu/preview_program.php?catoid=19&amp;poid=35832&amp;hl=%22semiconductor%22&amp;returnto=search" TargetMode="External"/><Relationship Id="rId16" Type="http://schemas.openxmlformats.org/officeDocument/2006/relationships/hyperlink" Target="https://catalog.purdue.edu/preview_program.php?catoid=19&amp;poid=35832&amp;hl=%22semiconductor%22&amp;returnto=search" TargetMode="External"/><Relationship Id="rId29" Type="http://schemas.openxmlformats.org/officeDocument/2006/relationships/hyperlink" Target="https://catalog.purdue.edu/preview_program.php?catoid=19&amp;poid=35832&amp;hl=%22semiconductor%22&amp;returnto=search" TargetMode="External"/><Relationship Id="rId11" Type="http://schemas.openxmlformats.org/officeDocument/2006/relationships/hyperlink" Target="https://catalog.purdue.edu/preview_program.php?catoid=19&amp;poid=35832&amp;hl=%22semiconductor%22&amp;returnto=search" TargetMode="External"/><Relationship Id="rId24" Type="http://schemas.openxmlformats.org/officeDocument/2006/relationships/hyperlink" Target="https://catalog.purdue.edu/preview_program.php?catoid=19&amp;poid=35832&amp;hl=%22semiconductor%22&amp;returnto=search" TargetMode="External"/><Relationship Id="rId32" Type="http://schemas.openxmlformats.org/officeDocument/2006/relationships/hyperlink" Target="https://catalog.purdue.edu/preview_program.php?catoid=19&amp;poid=35832&amp;hl=%22semiconductor%22&amp;returnto=search" TargetMode="External"/><Relationship Id="rId37" Type="http://schemas.openxmlformats.org/officeDocument/2006/relationships/hyperlink" Target="https://catalog.purdue.edu/preview_program.php?catoid=19&amp;poid=35832&amp;hl=%22semiconductor%22&amp;returnto=search" TargetMode="External"/><Relationship Id="rId40" Type="http://schemas.openxmlformats.org/officeDocument/2006/relationships/hyperlink" Target="https://catalog.purdue.edu/preview_program.php?catoid=19&amp;poid=35832&amp;hl=%22semiconductor%22&amp;returnto=search" TargetMode="External"/><Relationship Id="rId45" Type="http://schemas.openxmlformats.org/officeDocument/2006/relationships/hyperlink" Target="https://catalog.purdue.edu/preview_program.php?catoid=19&amp;poid=35832&amp;hl=%22semiconductor%22&amp;returnto=search" TargetMode="External"/><Relationship Id="rId53" Type="http://schemas.openxmlformats.org/officeDocument/2006/relationships/hyperlink" Target="https://catalog.purdue.edu/preview_program.php?catoid=19&amp;poid=35832&amp;hl=%22semiconductor%22&amp;returnto=search" TargetMode="External"/><Relationship Id="rId58" Type="http://schemas.openxmlformats.org/officeDocument/2006/relationships/hyperlink" Target="https://catalog.purdue.edu/preview_program.php?catoid=19&amp;poid=35832&amp;hl=%22semiconductor%22&amp;returnto=search" TargetMode="External"/><Relationship Id="rId66" Type="http://schemas.openxmlformats.org/officeDocument/2006/relationships/hyperlink" Target="https://catalog.purdue.edu/preview_program.php?catoid=19&amp;poid=35832&amp;hl=%22semiconductor%22&amp;returnto=search" TargetMode="External"/><Relationship Id="rId5" Type="http://schemas.openxmlformats.org/officeDocument/2006/relationships/hyperlink" Target="https://catalog.purdue.edu/preview_program.php?catoid=19&amp;poid=35832&amp;hl=%22semiconductor%22&amp;returnto=search" TargetMode="External"/><Relationship Id="rId61" Type="http://schemas.openxmlformats.org/officeDocument/2006/relationships/hyperlink" Target="https://catalog.purdue.edu/preview_program.php?catoid=19&amp;poid=35832&amp;hl=%22semiconductor%22&amp;returnto=search" TargetMode="External"/><Relationship Id="rId19" Type="http://schemas.openxmlformats.org/officeDocument/2006/relationships/hyperlink" Target="https://catalog.purdue.edu/preview_program.php?catoid=19&amp;poid=35832&amp;hl=%22semiconductor%22&amp;returnto=search" TargetMode="External"/><Relationship Id="rId14" Type="http://schemas.openxmlformats.org/officeDocument/2006/relationships/hyperlink" Target="https://catalog.purdue.edu/preview_program.php?catoid=19&amp;poid=35832&amp;hl=%22semiconductor%22&amp;returnto=search" TargetMode="External"/><Relationship Id="rId22" Type="http://schemas.openxmlformats.org/officeDocument/2006/relationships/hyperlink" Target="https://catalog.purdue.edu/preview_program.php?catoid=19&amp;poid=35832&amp;hl=%22semiconductor%22&amp;returnto=search" TargetMode="External"/><Relationship Id="rId27" Type="http://schemas.openxmlformats.org/officeDocument/2006/relationships/hyperlink" Target="https://catalog.purdue.edu/preview_program.php?catoid=19&amp;poid=35832&amp;hl=%22semiconductor%22&amp;returnto=search" TargetMode="External"/><Relationship Id="rId30" Type="http://schemas.openxmlformats.org/officeDocument/2006/relationships/hyperlink" Target="https://catalog.purdue.edu/preview_program.php?catoid=19&amp;poid=35832&amp;hl=%22semiconductor%22&amp;returnto=search" TargetMode="External"/><Relationship Id="rId35" Type="http://schemas.openxmlformats.org/officeDocument/2006/relationships/hyperlink" Target="https://catalog.purdue.edu/preview_program.php?catoid=19&amp;poid=35832&amp;hl=%22semiconductor%22&amp;returnto=search" TargetMode="External"/><Relationship Id="rId43" Type="http://schemas.openxmlformats.org/officeDocument/2006/relationships/hyperlink" Target="https://catalog.purdue.edu/preview_program.php?catoid=19&amp;poid=35832&amp;hl=%22semiconductor%22&amp;returnto=search" TargetMode="External"/><Relationship Id="rId48" Type="http://schemas.openxmlformats.org/officeDocument/2006/relationships/hyperlink" Target="https://catalog.purdue.edu/preview_program.php?catoid=19&amp;poid=35832&amp;hl=%22semiconductor%22&amp;returnto=search" TargetMode="External"/><Relationship Id="rId56" Type="http://schemas.openxmlformats.org/officeDocument/2006/relationships/hyperlink" Target="https://catalog.purdue.edu/preview_program.php?catoid=19&amp;poid=35832&amp;hl=%22semiconductor%22&amp;returnto=search" TargetMode="External"/><Relationship Id="rId64" Type="http://schemas.openxmlformats.org/officeDocument/2006/relationships/hyperlink" Target="https://catalog.purdue.edu/preview_program.php?catoid=19&amp;poid=35832&amp;hl=%22semiconductor%22&amp;returnto=search" TargetMode="External"/><Relationship Id="rId8" Type="http://schemas.openxmlformats.org/officeDocument/2006/relationships/hyperlink" Target="https://catalog.purdue.edu/preview_program.php?catoid=19&amp;poid=35832&amp;hl=%22semiconductor%22&amp;returnto=search" TargetMode="External"/><Relationship Id="rId51" Type="http://schemas.openxmlformats.org/officeDocument/2006/relationships/hyperlink" Target="https://catalog.purdue.edu/preview_program.php?catoid=19&amp;poid=35832&amp;hl=%22semiconductor%22&amp;returnto=search" TargetMode="External"/><Relationship Id="rId3" Type="http://schemas.openxmlformats.org/officeDocument/2006/relationships/hyperlink" Target="https://catalog.purdue.edu/preview_program.php?catoid=19&amp;poid=35832&amp;hl=%22semiconductor%22&amp;returnto=search" TargetMode="External"/><Relationship Id="rId12" Type="http://schemas.openxmlformats.org/officeDocument/2006/relationships/hyperlink" Target="https://catalog.purdue.edu/preview_program.php?catoid=19&amp;poid=35832&amp;hl=%22semiconductor%22&amp;returnto=search" TargetMode="External"/><Relationship Id="rId17" Type="http://schemas.openxmlformats.org/officeDocument/2006/relationships/hyperlink" Target="https://catalog.purdue.edu/preview_program.php?catoid=19&amp;poid=35832&amp;hl=%22semiconductor%22&amp;returnto=search" TargetMode="External"/><Relationship Id="rId25" Type="http://schemas.openxmlformats.org/officeDocument/2006/relationships/hyperlink" Target="https://catalog.purdue.edu/preview_program.php?catoid=19&amp;poid=35832&amp;hl=%22semiconductor%22&amp;returnto=search" TargetMode="External"/><Relationship Id="rId33" Type="http://schemas.openxmlformats.org/officeDocument/2006/relationships/hyperlink" Target="https://catalog.purdue.edu/preview_program.php?catoid=19&amp;poid=35832&amp;hl=%22semiconductor%22&amp;returnto=search" TargetMode="External"/><Relationship Id="rId38" Type="http://schemas.openxmlformats.org/officeDocument/2006/relationships/hyperlink" Target="https://catalog.purdue.edu/preview_program.php?catoid=19&amp;poid=35832&amp;hl=%22semiconductor%22&amp;returnto=search" TargetMode="External"/><Relationship Id="rId46" Type="http://schemas.openxmlformats.org/officeDocument/2006/relationships/hyperlink" Target="https://catalog.purdue.edu/preview_program.php?catoid=19&amp;poid=35832&amp;hl=%22semiconductor%22&amp;returnto=search" TargetMode="External"/><Relationship Id="rId59" Type="http://schemas.openxmlformats.org/officeDocument/2006/relationships/hyperlink" Target="https://catalog.purdue.edu/preview_program.php?catoid=19&amp;poid=35832&amp;hl=%22semiconductor%22&amp;returnto=search" TargetMode="External"/><Relationship Id="rId67" Type="http://schemas.openxmlformats.org/officeDocument/2006/relationships/hyperlink" Target="https://catalog.purdue.edu/preview_program.php?catoid=19&amp;poid=35832&amp;hl=%22semiconductor%22&amp;returnto=search" TargetMode="External"/><Relationship Id="rId20" Type="http://schemas.openxmlformats.org/officeDocument/2006/relationships/hyperlink" Target="https://catalog.purdue.edu/preview_program.php?catoid=19&amp;poid=35832&amp;hl=%22semiconductor%22&amp;returnto=search" TargetMode="External"/><Relationship Id="rId41" Type="http://schemas.openxmlformats.org/officeDocument/2006/relationships/hyperlink" Target="https://catalog.purdue.edu/preview_program.php?catoid=19&amp;poid=35832&amp;hl=%22semiconductor%22&amp;returnto=search" TargetMode="External"/><Relationship Id="rId54" Type="http://schemas.openxmlformats.org/officeDocument/2006/relationships/hyperlink" Target="https://catalog.purdue.edu/preview_program.php?catoid=19&amp;poid=35832&amp;hl=%22semiconductor%22&amp;returnto=search" TargetMode="External"/><Relationship Id="rId62" Type="http://schemas.openxmlformats.org/officeDocument/2006/relationships/hyperlink" Target="https://catalog.purdue.edu/preview_program.php?catoid=19&amp;poid=35832&amp;hl=%22semiconductor%22&amp;returnto=search" TargetMode="External"/><Relationship Id="rId1" Type="http://schemas.openxmlformats.org/officeDocument/2006/relationships/hyperlink" Target="https://catalog.purdue.edu/preview_program.php?catoid=19&amp;poid=35832&amp;hl=%22semiconductor%22&amp;returnto=search" TargetMode="External"/><Relationship Id="rId6" Type="http://schemas.openxmlformats.org/officeDocument/2006/relationships/hyperlink" Target="https://catalog.purdue.edu/preview_program.php?catoid=19&amp;poid=35832&amp;hl=%22semiconductor%22&amp;returnto=search" TargetMode="External"/><Relationship Id="rId15" Type="http://schemas.openxmlformats.org/officeDocument/2006/relationships/hyperlink" Target="https://catalog.purdue.edu/preview_program.php?catoid=19&amp;poid=35832&amp;hl=%22semiconductor%22&amp;returnto=search" TargetMode="External"/><Relationship Id="rId23" Type="http://schemas.openxmlformats.org/officeDocument/2006/relationships/hyperlink" Target="https://catalog.purdue.edu/preview_program.php?catoid=19&amp;poid=35832&amp;hl=%22semiconductor%22&amp;returnto=search" TargetMode="External"/><Relationship Id="rId28" Type="http://schemas.openxmlformats.org/officeDocument/2006/relationships/hyperlink" Target="https://catalog.purdue.edu/preview_program.php?catoid=19&amp;poid=35832&amp;hl=%22semiconductor%22&amp;returnto=search" TargetMode="External"/><Relationship Id="rId36" Type="http://schemas.openxmlformats.org/officeDocument/2006/relationships/hyperlink" Target="https://catalog.purdue.edu/preview_program.php?catoid=19&amp;poid=35832&amp;hl=%22semiconductor%22&amp;returnto=search" TargetMode="External"/><Relationship Id="rId49" Type="http://schemas.openxmlformats.org/officeDocument/2006/relationships/hyperlink" Target="https://catalog.purdue.edu/preview_program.php?catoid=19&amp;poid=35832&amp;hl=%22semiconductor%22&amp;returnto=search" TargetMode="External"/><Relationship Id="rId57" Type="http://schemas.openxmlformats.org/officeDocument/2006/relationships/hyperlink" Target="https://catalog.purdue.edu/preview_program.php?catoid=19&amp;poid=35832&amp;hl=%22semiconductor%22&amp;returnto=search" TargetMode="External"/><Relationship Id="rId10" Type="http://schemas.openxmlformats.org/officeDocument/2006/relationships/hyperlink" Target="https://catalog.purdue.edu/preview_program.php?catoid=19&amp;poid=35832&amp;hl=%22semiconductor%22&amp;returnto=search" TargetMode="External"/><Relationship Id="rId31" Type="http://schemas.openxmlformats.org/officeDocument/2006/relationships/hyperlink" Target="https://catalog.purdue.edu/preview_program.php?catoid=19&amp;poid=35832&amp;hl=%22semiconductor%22&amp;returnto=search" TargetMode="External"/><Relationship Id="rId44" Type="http://schemas.openxmlformats.org/officeDocument/2006/relationships/hyperlink" Target="https://catalog.purdue.edu/preview_program.php?catoid=19&amp;poid=35832&amp;hl=%22semiconductor%22&amp;returnto=search" TargetMode="External"/><Relationship Id="rId52" Type="http://schemas.openxmlformats.org/officeDocument/2006/relationships/hyperlink" Target="https://catalog.purdue.edu/preview_program.php?catoid=19&amp;poid=35832&amp;hl=%22semiconductor%22&amp;returnto=search" TargetMode="External"/><Relationship Id="rId60" Type="http://schemas.openxmlformats.org/officeDocument/2006/relationships/hyperlink" Target="https://catalog.purdue.edu/preview_program.php?catoid=19&amp;poid=35832&amp;hl=%22semiconductor%22&amp;returnto=search" TargetMode="External"/><Relationship Id="rId65" Type="http://schemas.openxmlformats.org/officeDocument/2006/relationships/hyperlink" Target="https://catalog.purdue.edu/preview_program.php?catoid=19&amp;poid=35832&amp;hl=%22semiconductor%22&amp;returnto=search" TargetMode="External"/><Relationship Id="rId4" Type="http://schemas.openxmlformats.org/officeDocument/2006/relationships/hyperlink" Target="https://catalog.purdue.edu/preview_program.php?catoid=19&amp;poid=35832&amp;hl=%22semiconductor%22&amp;returnto=search" TargetMode="External"/><Relationship Id="rId9" Type="http://schemas.openxmlformats.org/officeDocument/2006/relationships/hyperlink" Target="https://catalog.purdue.edu/preview_program.php?catoid=19&amp;poid=35832&amp;hl=%22semiconductor%22&amp;returnto=search" TargetMode="External"/><Relationship Id="rId13" Type="http://schemas.openxmlformats.org/officeDocument/2006/relationships/hyperlink" Target="https://catalog.purdue.edu/preview_program.php?catoid=19&amp;poid=35832&amp;hl=%22semiconductor%22&amp;returnto=search" TargetMode="External"/><Relationship Id="rId18" Type="http://schemas.openxmlformats.org/officeDocument/2006/relationships/hyperlink" Target="https://catalog.purdue.edu/preview_program.php?catoid=19&amp;poid=35832&amp;hl=%22semiconductor%22&amp;returnto=search" TargetMode="External"/><Relationship Id="rId39" Type="http://schemas.openxmlformats.org/officeDocument/2006/relationships/hyperlink" Target="https://catalog.purdue.edu/preview_program.php?catoid=19&amp;poid=35832&amp;hl=%22semiconductor%22&amp;returnto=search"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ngineering.purdue.edu/MSE/academics/courses/MSE597G/index.html" TargetMode="External"/><Relationship Id="rId2" Type="http://schemas.openxmlformats.org/officeDocument/2006/relationships/hyperlink" Target="https://selfservice.mypurdue.purdue.edu/prod/bwckctlg.p_disp_course_detail?cat_term_in=202710&amp;subj_code_in=MSE&amp;crse_numb_in=58500" TargetMode="External"/><Relationship Id="rId1" Type="http://schemas.openxmlformats.org/officeDocument/2006/relationships/hyperlink" Target="https://selfservice.mypurdue.purdue.edu/prod/bwckctlg.p_disp_course_detail?cat_term_in=202710&amp;subj_code_in=MGMT&amp;crse_numb_in=5900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lfservice.mypurdue.purdue.edu/prod/bwckctlg.p_disp_course_detail?cat_term_in=202710&amp;subj_code_in=MGMT&amp;crse_numb_in=59000"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AD09-135F-4A26-947C-E1AB890CA3B6}">
  <sheetPr>
    <tabColor rgb="FFFF0000"/>
  </sheetPr>
  <dimension ref="A1:BL262"/>
  <sheetViews>
    <sheetView zoomScaleNormal="100" workbookViewId="0">
      <pane xSplit="4" ySplit="2" topLeftCell="H82" activePane="bottomRight" state="frozen"/>
      <selection pane="topRight" activeCell="D1" sqref="D1"/>
      <selection pane="bottomLeft" activeCell="A3" sqref="A3"/>
      <selection pane="bottomRight" activeCell="H98" sqref="H98"/>
    </sheetView>
  </sheetViews>
  <sheetFormatPr defaultColWidth="10.875" defaultRowHeight="12.75"/>
  <cols>
    <col min="1" max="1" width="8.75" style="33" customWidth="1"/>
    <col min="2" max="2" width="17.625" style="34" customWidth="1"/>
    <col min="3" max="3" width="13" style="34" customWidth="1"/>
    <col min="4" max="4" width="61" style="33" customWidth="1"/>
    <col min="5" max="5" width="8.375" style="34" customWidth="1"/>
    <col min="6" max="6" width="25.125" style="66" customWidth="1"/>
    <col min="7" max="7" width="19.5" style="44" customWidth="1"/>
    <col min="8" max="8" width="35.125" style="66" customWidth="1"/>
    <col min="9" max="9" width="26.625" style="33" customWidth="1"/>
    <col min="10" max="10" width="58.5" style="35" customWidth="1"/>
    <col min="11" max="11" width="12.75" style="33" customWidth="1"/>
    <col min="12" max="13" width="9.75" style="33" customWidth="1"/>
    <col min="14" max="64" width="3.75" style="34" customWidth="1"/>
    <col min="65" max="65" width="3.75" style="33" customWidth="1"/>
    <col min="66" max="68" width="6.625" style="33" customWidth="1"/>
    <col min="69" max="16384" width="10.875" style="33"/>
  </cols>
  <sheetData>
    <row r="1" spans="1:64" ht="114.75" customHeight="1">
      <c r="N1" s="31" t="s">
        <v>31</v>
      </c>
      <c r="O1" s="31" t="s">
        <v>1572</v>
      </c>
      <c r="P1" s="31" t="s">
        <v>0</v>
      </c>
      <c r="Q1" s="31" t="s">
        <v>2</v>
      </c>
      <c r="R1" s="31" t="s">
        <v>3</v>
      </c>
      <c r="S1" s="31" t="s">
        <v>27</v>
      </c>
      <c r="T1" s="31" t="s">
        <v>4</v>
      </c>
      <c r="U1" s="31" t="s">
        <v>40</v>
      </c>
      <c r="V1" s="31" t="s">
        <v>38</v>
      </c>
      <c r="W1" s="31" t="s">
        <v>29</v>
      </c>
      <c r="X1" s="31" t="s">
        <v>47</v>
      </c>
      <c r="Y1" s="31" t="s">
        <v>5</v>
      </c>
      <c r="Z1" s="31" t="s">
        <v>17</v>
      </c>
      <c r="AA1" s="31" t="s">
        <v>34</v>
      </c>
      <c r="AB1" s="31" t="s">
        <v>21</v>
      </c>
      <c r="AC1" s="31" t="s">
        <v>1570</v>
      </c>
      <c r="AD1" s="31" t="s">
        <v>6</v>
      </c>
      <c r="AE1" s="31" t="s">
        <v>7</v>
      </c>
      <c r="AF1" s="31" t="s">
        <v>32</v>
      </c>
      <c r="AG1" s="31" t="s">
        <v>22</v>
      </c>
      <c r="AH1" s="31" t="s">
        <v>25</v>
      </c>
      <c r="AI1" s="31" t="s">
        <v>1566</v>
      </c>
      <c r="AJ1" s="31" t="s">
        <v>8</v>
      </c>
      <c r="AK1" s="31" t="s">
        <v>1568</v>
      </c>
      <c r="AL1" s="31" t="s">
        <v>9</v>
      </c>
      <c r="AM1" s="31" t="s">
        <v>1567</v>
      </c>
      <c r="AN1" s="31" t="s">
        <v>18</v>
      </c>
      <c r="AO1" s="31" t="s">
        <v>10</v>
      </c>
      <c r="AP1" s="31" t="s">
        <v>36</v>
      </c>
      <c r="AQ1" s="31" t="s">
        <v>11</v>
      </c>
      <c r="AR1" s="31" t="s">
        <v>1562</v>
      </c>
      <c r="AS1" s="31" t="s">
        <v>23</v>
      </c>
      <c r="AT1" s="31" t="s">
        <v>1564</v>
      </c>
      <c r="AU1" s="31" t="s">
        <v>1571</v>
      </c>
      <c r="AV1" s="31" t="s">
        <v>1563</v>
      </c>
      <c r="AW1" s="31" t="s">
        <v>1565</v>
      </c>
      <c r="AX1" s="31" t="s">
        <v>24</v>
      </c>
      <c r="AY1" s="32" t="s">
        <v>42</v>
      </c>
      <c r="AZ1" s="31" t="s">
        <v>13</v>
      </c>
      <c r="BA1" s="31" t="s">
        <v>1569</v>
      </c>
      <c r="BB1" s="31" t="s">
        <v>14</v>
      </c>
      <c r="BC1" s="31" t="s">
        <v>20</v>
      </c>
      <c r="BD1" s="31" t="s">
        <v>41</v>
      </c>
      <c r="BE1" s="31" t="s">
        <v>26</v>
      </c>
      <c r="BF1" s="31" t="s">
        <v>30</v>
      </c>
      <c r="BG1" s="31" t="s">
        <v>43</v>
      </c>
      <c r="BH1" s="31" t="s">
        <v>33</v>
      </c>
      <c r="BI1" s="31" t="s">
        <v>37</v>
      </c>
      <c r="BJ1" s="31" t="s">
        <v>16</v>
      </c>
      <c r="BK1" s="32" t="s">
        <v>556</v>
      </c>
      <c r="BL1" s="31" t="s">
        <v>557</v>
      </c>
    </row>
    <row r="2" spans="1:64">
      <c r="A2" s="37" t="s">
        <v>558</v>
      </c>
      <c r="B2" s="38" t="s">
        <v>53</v>
      </c>
      <c r="C2" s="38" t="s">
        <v>1427</v>
      </c>
      <c r="D2" s="38" t="s">
        <v>55</v>
      </c>
      <c r="E2" s="38" t="s">
        <v>56</v>
      </c>
      <c r="F2" s="67" t="s">
        <v>559</v>
      </c>
      <c r="G2" s="39" t="s">
        <v>563</v>
      </c>
      <c r="H2" s="37" t="s">
        <v>561</v>
      </c>
      <c r="I2" s="38" t="s">
        <v>1475</v>
      </c>
      <c r="J2" s="40" t="s">
        <v>560</v>
      </c>
      <c r="K2" s="38" t="s">
        <v>562</v>
      </c>
      <c r="L2" s="38" t="s">
        <v>1225</v>
      </c>
      <c r="M2" s="38" t="s">
        <v>58</v>
      </c>
      <c r="N2" s="41">
        <f>COUNTIFS(N$3:N$400,"x",$A$3:$A$400,"Yes*")+COUNTIFS(N$3:N$400,"x",$A$3:$A$400,"Add*")</f>
        <v>6</v>
      </c>
      <c r="O2" s="41">
        <f t="shared" ref="O2:BL2" si="0">COUNTIFS(O$3:O$400,"x",$A$3:$A$400,"Yes*")+COUNTIFS(O$3:O$400,"x",$A$3:$A$400,"Add*")</f>
        <v>3</v>
      </c>
      <c r="P2" s="41">
        <f t="shared" si="0"/>
        <v>1</v>
      </c>
      <c r="Q2" s="41">
        <f t="shared" si="0"/>
        <v>5</v>
      </c>
      <c r="R2" s="41">
        <f t="shared" si="0"/>
        <v>3</v>
      </c>
      <c r="S2" s="41">
        <f t="shared" si="0"/>
        <v>9</v>
      </c>
      <c r="T2" s="41">
        <f t="shared" si="0"/>
        <v>5</v>
      </c>
      <c r="U2" s="41">
        <f t="shared" si="0"/>
        <v>22</v>
      </c>
      <c r="V2" s="41">
        <f t="shared" si="0"/>
        <v>3</v>
      </c>
      <c r="W2" s="41">
        <f t="shared" si="0"/>
        <v>3</v>
      </c>
      <c r="X2" s="41">
        <f t="shared" si="0"/>
        <v>4</v>
      </c>
      <c r="Y2" s="41">
        <f t="shared" si="0"/>
        <v>23</v>
      </c>
      <c r="Z2" s="41">
        <f t="shared" si="0"/>
        <v>17</v>
      </c>
      <c r="AA2" s="41">
        <f t="shared" si="0"/>
        <v>4</v>
      </c>
      <c r="AB2" s="41">
        <f t="shared" si="0"/>
        <v>9</v>
      </c>
      <c r="AC2" s="41">
        <f t="shared" si="0"/>
        <v>2</v>
      </c>
      <c r="AD2" s="41">
        <f t="shared" si="0"/>
        <v>2</v>
      </c>
      <c r="AE2" s="41">
        <f t="shared" si="0"/>
        <v>4</v>
      </c>
      <c r="AF2" s="41">
        <f t="shared" si="0"/>
        <v>2</v>
      </c>
      <c r="AG2" s="41">
        <f t="shared" si="0"/>
        <v>12</v>
      </c>
      <c r="AH2" s="41">
        <f t="shared" si="0"/>
        <v>16</v>
      </c>
      <c r="AI2" s="41">
        <f t="shared" si="0"/>
        <v>4</v>
      </c>
      <c r="AJ2" s="41">
        <f t="shared" si="0"/>
        <v>2</v>
      </c>
      <c r="AK2" s="41">
        <f t="shared" si="0"/>
        <v>4</v>
      </c>
      <c r="AL2" s="41">
        <f t="shared" si="0"/>
        <v>1</v>
      </c>
      <c r="AM2" s="41">
        <f t="shared" si="0"/>
        <v>9</v>
      </c>
      <c r="AN2" s="41">
        <f t="shared" si="0"/>
        <v>4</v>
      </c>
      <c r="AO2" s="41">
        <f t="shared" si="0"/>
        <v>3</v>
      </c>
      <c r="AP2" s="41">
        <f t="shared" si="0"/>
        <v>0</v>
      </c>
      <c r="AQ2" s="41">
        <f t="shared" si="0"/>
        <v>1</v>
      </c>
      <c r="AR2" s="41">
        <f t="shared" si="0"/>
        <v>4</v>
      </c>
      <c r="AS2" s="41">
        <f t="shared" si="0"/>
        <v>3</v>
      </c>
      <c r="AT2" s="41">
        <f t="shared" si="0"/>
        <v>0</v>
      </c>
      <c r="AU2" s="41">
        <f t="shared" si="0"/>
        <v>2</v>
      </c>
      <c r="AV2" s="41">
        <f t="shared" si="0"/>
        <v>2</v>
      </c>
      <c r="AW2" s="41">
        <f t="shared" si="0"/>
        <v>6</v>
      </c>
      <c r="AX2" s="41">
        <f t="shared" si="0"/>
        <v>7</v>
      </c>
      <c r="AY2" s="41">
        <f t="shared" si="0"/>
        <v>11</v>
      </c>
      <c r="AZ2" s="41">
        <f t="shared" si="0"/>
        <v>3</v>
      </c>
      <c r="BA2" s="41">
        <f t="shared" si="0"/>
        <v>1</v>
      </c>
      <c r="BB2" s="41">
        <f t="shared" si="0"/>
        <v>25</v>
      </c>
      <c r="BC2" s="41">
        <f t="shared" si="0"/>
        <v>0</v>
      </c>
      <c r="BD2" s="41">
        <f t="shared" si="0"/>
        <v>11</v>
      </c>
      <c r="BE2" s="41">
        <f t="shared" si="0"/>
        <v>2</v>
      </c>
      <c r="BF2" s="41">
        <f t="shared" si="0"/>
        <v>21</v>
      </c>
      <c r="BG2" s="41">
        <f t="shared" si="0"/>
        <v>4</v>
      </c>
      <c r="BH2" s="41">
        <f t="shared" si="0"/>
        <v>5</v>
      </c>
      <c r="BI2" s="41">
        <f t="shared" si="0"/>
        <v>13</v>
      </c>
      <c r="BJ2" s="41">
        <f t="shared" si="0"/>
        <v>3</v>
      </c>
      <c r="BK2" s="41">
        <f t="shared" si="0"/>
        <v>1</v>
      </c>
      <c r="BL2" s="41">
        <f t="shared" si="0"/>
        <v>7</v>
      </c>
    </row>
    <row r="3" spans="1:64" s="36" customFormat="1" ht="15.75">
      <c r="A3" s="33" t="s">
        <v>1177</v>
      </c>
      <c r="B3" s="34" t="s">
        <v>60</v>
      </c>
      <c r="C3" s="34" t="s">
        <v>60</v>
      </c>
      <c r="D3" s="33" t="s">
        <v>62</v>
      </c>
      <c r="E3" s="34">
        <f>IF(_xlfn.IFNA(VLOOKUP(B3,Data!B:G,3,FALSE),"")=0, "", _xlfn.IFNA(VLOOKUP(B3,Data!B:G,3,FALSE),""))</f>
        <v>4</v>
      </c>
      <c r="F3" s="33" t="s">
        <v>1175</v>
      </c>
      <c r="G3" s="33"/>
      <c r="H3" s="33" t="str">
        <f>IF(_xlfn.IFNA(VLOOKUP(C3,Data!A:G,5,FALSE),"")=0, "Check course registration information", _xlfn.IFNA(VLOOKUP(C3,Data!A:G,5,FALSE),""))</f>
        <v>ENGR 12100 or ENFY 12600 or ENGR 12600 or ENFY 13100 or ENGR 13100 or ENGR 13000 or VIP 17911 or ENGR 17911 or ENGR 16100 or EPCS 11100 or EPCS 12100 or ENFY 19500 or ENGR 19500 or ENGR 14100 or ENGR 16100) and (PHYS 17200 or (PHYS 16200 and PHYS 16300) or (ENGR 16200) and (MA 16100 or MA 16700 Minimum Grade of</v>
      </c>
      <c r="I3" s="33"/>
      <c r="J3" s="33" t="str">
        <f>IF(_xlfn.IFNA(VLOOKUP(C3,Data!A:G,6,FALSE),"")=0, "Check course registration information", _xlfn.IFNA(VLOOKUP(C3,Data!A:G,6,FALSE),""))</f>
        <v>Quantitative applications of steady-state mass and energy balances to solve problems involving multi-component systems and multi-unit chemical processes. Single-component and multi-component phase equilibria, single-reaction and multiple-reaction stoichiometry, coupled mass and energy balances, chemical processes involving bypass and recycle streams</v>
      </c>
      <c r="K3" s="33" t="str">
        <f>IF(_xlfn.IFNA(VLOOKUP(C3,Data!A:H,7,FALSE),"")=0, "", _xlfn.IFNA(HYPERLINK(VLOOKUP(C3,Data!A:H,7,FALSE),"Catalog Link"),""))</f>
        <v>Catalog Link</v>
      </c>
      <c r="L3" s="33" t="str">
        <f>IF(_xlfn.IFNA(VLOOKUP(C3,Data!A:I,8,FALSE),"")=0, "", _xlfn.IFNA(HYPERLINK(VLOOKUP(C3,Data!A:I,8,FALSE),"Additional Information"),""))</f>
        <v/>
      </c>
      <c r="M3" s="34">
        <f t="shared" ref="M3:M66" si="1">COUNTIF(N3:BL3,"x")</f>
        <v>2</v>
      </c>
      <c r="N3" s="42" t="s">
        <v>63</v>
      </c>
      <c r="O3" s="42" t="s">
        <v>63</v>
      </c>
      <c r="P3" s="42"/>
      <c r="Q3" s="42" t="s">
        <v>63</v>
      </c>
      <c r="R3" s="42" t="s">
        <v>63</v>
      </c>
      <c r="S3" s="42" t="s">
        <v>63</v>
      </c>
      <c r="T3" s="42" t="s">
        <v>63</v>
      </c>
      <c r="U3" s="42" t="s">
        <v>63</v>
      </c>
      <c r="V3" s="42" t="s">
        <v>63</v>
      </c>
      <c r="W3" s="42" t="s">
        <v>63</v>
      </c>
      <c r="X3" s="42" t="s">
        <v>63</v>
      </c>
      <c r="Y3" s="42" t="s">
        <v>63</v>
      </c>
      <c r="Z3" s="42" t="s">
        <v>63</v>
      </c>
      <c r="AA3" s="43" t="s">
        <v>63</v>
      </c>
      <c r="AB3" s="42" t="s">
        <v>63</v>
      </c>
      <c r="AC3" s="42"/>
      <c r="AD3" s="42" t="s">
        <v>63</v>
      </c>
      <c r="AE3" s="42" t="s">
        <v>63</v>
      </c>
      <c r="AF3" s="42" t="s">
        <v>63</v>
      </c>
      <c r="AG3" s="42" t="s">
        <v>63</v>
      </c>
      <c r="AH3" s="42" t="s">
        <v>63</v>
      </c>
      <c r="AI3" s="42"/>
      <c r="AJ3" s="42" t="s">
        <v>63</v>
      </c>
      <c r="AK3" s="42"/>
      <c r="AL3" s="42" t="s">
        <v>63</v>
      </c>
      <c r="AM3" s="42"/>
      <c r="AN3" s="42" t="s">
        <v>63</v>
      </c>
      <c r="AO3" s="42" t="s">
        <v>63</v>
      </c>
      <c r="AP3" s="42" t="s">
        <v>63</v>
      </c>
      <c r="AQ3" s="42" t="s">
        <v>63</v>
      </c>
      <c r="AR3" s="42"/>
      <c r="AS3" s="42" t="s">
        <v>64</v>
      </c>
      <c r="AT3" s="42" t="s">
        <v>63</v>
      </c>
      <c r="AU3" s="42"/>
      <c r="AV3" s="42"/>
      <c r="AW3" s="42" t="s">
        <v>63</v>
      </c>
      <c r="AX3" s="42" t="s">
        <v>63</v>
      </c>
      <c r="AY3" s="42" t="s">
        <v>63</v>
      </c>
      <c r="AZ3" s="42" t="s">
        <v>63</v>
      </c>
      <c r="BA3" s="42"/>
      <c r="BB3" s="42" t="s">
        <v>63</v>
      </c>
      <c r="BC3" s="42" t="s">
        <v>63</v>
      </c>
      <c r="BD3" s="42" t="s">
        <v>63</v>
      </c>
      <c r="BE3" s="42" t="s">
        <v>63</v>
      </c>
      <c r="BF3" s="42" t="s">
        <v>63</v>
      </c>
      <c r="BG3" s="42" t="s">
        <v>63</v>
      </c>
      <c r="BH3" s="42" t="s">
        <v>63</v>
      </c>
      <c r="BI3" s="42" t="s">
        <v>64</v>
      </c>
      <c r="BJ3" s="42" t="s">
        <v>63</v>
      </c>
      <c r="BK3" s="42" t="s">
        <v>63</v>
      </c>
      <c r="BL3" s="42" t="s">
        <v>63</v>
      </c>
    </row>
    <row r="4" spans="1:64" s="36" customFormat="1" ht="15.75">
      <c r="A4" s="33" t="s">
        <v>1177</v>
      </c>
      <c r="B4" s="34" t="s">
        <v>65</v>
      </c>
      <c r="C4" s="34" t="s">
        <v>65</v>
      </c>
      <c r="D4" s="33" t="s">
        <v>66</v>
      </c>
      <c r="E4" s="34">
        <f>IF(_xlfn.IFNA(VLOOKUP(B4,Data!B:G,3,FALSE),"")=0, "", _xlfn.IFNA(VLOOKUP(B4,Data!B:G,3,FALSE),""))</f>
        <v>4</v>
      </c>
      <c r="F4" s="33" t="s">
        <v>1175</v>
      </c>
      <c r="G4" s="33"/>
      <c r="H4" s="33" t="str">
        <f>IF(_xlfn.IFNA(VLOOKUP(C4,Data!A:G,5,FALSE),"")=0, "Check course registration information", _xlfn.IFNA(VLOOKUP(C4,Data!A:G,5,FALSE),""))</f>
        <v>CHE 20500 and (MA 26100 or MATH 26100 or MA 18200 or MA 17400 or MA 27100 or MA 26300 or MA 17200</v>
      </c>
      <c r="I4" s="33"/>
      <c r="J4" s="33" t="str">
        <f>IF(_xlfn.IFNA(VLOOKUP(C4,Data!A:G,6,FALSE),"")=0, "Check course registration information", _xlfn.IFNA(VLOOKUP(C4,Data!A:G,6,FALSE),""))</f>
        <v>Basic principles and concepts of thermodynamics applied to chemical engineering problems; use of basic thermodynamic functions of enthalpy, entropy, free energy to solutions, phase equilibria, and chemical equilibria; thermodynamic processes and efficiencies; equations of state; and relation of macroscopic to molecular properties</v>
      </c>
      <c r="K4" s="33" t="str">
        <f>IF(_xlfn.IFNA(VLOOKUP(C4,Data!A:H,7,FALSE),"")=0, "", _xlfn.IFNA(HYPERLINK(VLOOKUP(C4,Data!A:H,7,FALSE),"Catalog Link"),""))</f>
        <v>Catalog Link</v>
      </c>
      <c r="L4" s="33" t="str">
        <f>IF(_xlfn.IFNA(VLOOKUP(C4,Data!A:I,8,FALSE),"")=0, "", _xlfn.IFNA(HYPERLINK(VLOOKUP(C4,Data!A:I,8,FALSE),"Additional Information"),""))</f>
        <v/>
      </c>
      <c r="M4" s="34">
        <f t="shared" si="1"/>
        <v>4</v>
      </c>
      <c r="N4" s="42" t="s">
        <v>63</v>
      </c>
      <c r="O4" s="42" t="s">
        <v>63</v>
      </c>
      <c r="P4" s="42" t="s">
        <v>63</v>
      </c>
      <c r="Q4" s="42" t="s">
        <v>63</v>
      </c>
      <c r="R4" s="42" t="s">
        <v>63</v>
      </c>
      <c r="S4" s="42" t="s">
        <v>64</v>
      </c>
      <c r="T4" s="42" t="s">
        <v>63</v>
      </c>
      <c r="U4" s="42" t="s">
        <v>63</v>
      </c>
      <c r="V4" s="42" t="s">
        <v>63</v>
      </c>
      <c r="W4" s="42" t="s">
        <v>64</v>
      </c>
      <c r="X4" s="42" t="s">
        <v>63</v>
      </c>
      <c r="Y4" s="42" t="s">
        <v>63</v>
      </c>
      <c r="Z4" s="42" t="s">
        <v>63</v>
      </c>
      <c r="AA4" s="43" t="s">
        <v>63</v>
      </c>
      <c r="AB4" s="42" t="s">
        <v>63</v>
      </c>
      <c r="AC4" s="42"/>
      <c r="AD4" s="42" t="s">
        <v>63</v>
      </c>
      <c r="AE4" s="42" t="s">
        <v>63</v>
      </c>
      <c r="AF4" s="42" t="s">
        <v>63</v>
      </c>
      <c r="AG4" s="42" t="s">
        <v>63</v>
      </c>
      <c r="AH4" s="42" t="s">
        <v>63</v>
      </c>
      <c r="AI4" s="42"/>
      <c r="AJ4" s="42" t="s">
        <v>63</v>
      </c>
      <c r="AK4" s="42"/>
      <c r="AL4" s="42" t="s">
        <v>63</v>
      </c>
      <c r="AM4" s="42"/>
      <c r="AN4" s="42" t="s">
        <v>63</v>
      </c>
      <c r="AO4" s="42" t="s">
        <v>63</v>
      </c>
      <c r="AP4" s="42" t="s">
        <v>63</v>
      </c>
      <c r="AQ4" s="42" t="s">
        <v>63</v>
      </c>
      <c r="AR4" s="42"/>
      <c r="AS4" s="42" t="s">
        <v>63</v>
      </c>
      <c r="AT4" s="42" t="s">
        <v>63</v>
      </c>
      <c r="AU4" s="42"/>
      <c r="AV4" s="42"/>
      <c r="AW4" s="42" t="s">
        <v>63</v>
      </c>
      <c r="AX4" s="42" t="s">
        <v>63</v>
      </c>
      <c r="AY4" s="42" t="s">
        <v>63</v>
      </c>
      <c r="AZ4" s="42" t="s">
        <v>63</v>
      </c>
      <c r="BA4" s="42"/>
      <c r="BB4" s="42" t="s">
        <v>63</v>
      </c>
      <c r="BC4" s="42" t="s">
        <v>63</v>
      </c>
      <c r="BD4" s="42" t="s">
        <v>63</v>
      </c>
      <c r="BE4" s="42" t="s">
        <v>63</v>
      </c>
      <c r="BF4" s="42" t="s">
        <v>64</v>
      </c>
      <c r="BG4" s="42" t="s">
        <v>63</v>
      </c>
      <c r="BH4" s="42" t="s">
        <v>63</v>
      </c>
      <c r="BI4" s="42" t="s">
        <v>64</v>
      </c>
      <c r="BJ4" s="42" t="s">
        <v>63</v>
      </c>
      <c r="BK4" s="42" t="s">
        <v>63</v>
      </c>
      <c r="BL4" s="42" t="s">
        <v>63</v>
      </c>
    </row>
    <row r="5" spans="1:64" s="36" customFormat="1" ht="15.75">
      <c r="A5" s="33" t="s">
        <v>1177</v>
      </c>
      <c r="B5" s="34" t="s">
        <v>67</v>
      </c>
      <c r="C5" s="34" t="s">
        <v>67</v>
      </c>
      <c r="D5" s="33" t="s">
        <v>68</v>
      </c>
      <c r="E5" s="34">
        <f>IF(_xlfn.IFNA(VLOOKUP(B5,Data!B:G,3,FALSE),"")=0, "", _xlfn.IFNA(VLOOKUP(B5,Data!B:G,3,FALSE),""))</f>
        <v>3</v>
      </c>
      <c r="F5" s="33" t="s">
        <v>1175</v>
      </c>
      <c r="G5" s="33"/>
      <c r="H5" s="33" t="str">
        <f>IF(_xlfn.IFNA(VLOOKUP(C5,Data!A:G,5,FALSE),"")=0, "Check course registration information", _xlfn.IFNA(VLOOKUP(C5,Data!A:G,5,FALSE),""))</f>
        <v>CHE 20500 and CHE 21100</v>
      </c>
      <c r="I5" s="33"/>
      <c r="J5" s="33" t="str">
        <f>IF(_xlfn.IFNA(VLOOKUP(C5,Data!A:G,6,FALSE),"")=0, "Check course registration information", _xlfn.IFNA(VLOOKUP(C5,Data!A:G,6,FALSE),""))</f>
        <v>The application of equilibria and mass and energy balances for the design of staged separation processes. Use of various equilibrium data and thermodynamic principles for the design of batch and continuous distillation, absorption, stripping, and extraction systems. Stagewise calculations and graphical methods for design of binary systems. Design of multicomponent separators. Determination of stage efficiency and column size</v>
      </c>
      <c r="K5" s="33" t="str">
        <f>IF(_xlfn.IFNA(VLOOKUP(C5,Data!A:H,7,FALSE),"")=0, "", _xlfn.IFNA(HYPERLINK(VLOOKUP(C5,Data!A:H,7,FALSE),"Catalog Link"),""))</f>
        <v>Catalog Link</v>
      </c>
      <c r="L5" s="33" t="str">
        <f>IF(_xlfn.IFNA(VLOOKUP(C5,Data!A:I,8,FALSE),"")=0, "", _xlfn.IFNA(HYPERLINK(VLOOKUP(C5,Data!A:I,8,FALSE),"Additional Information"),""))</f>
        <v/>
      </c>
      <c r="M5" s="34">
        <f t="shared" si="1"/>
        <v>0</v>
      </c>
      <c r="N5" s="42" t="s">
        <v>63</v>
      </c>
      <c r="O5" s="42" t="s">
        <v>63</v>
      </c>
      <c r="P5" s="42" t="s">
        <v>63</v>
      </c>
      <c r="Q5" s="42" t="s">
        <v>63</v>
      </c>
      <c r="R5" s="42" t="s">
        <v>63</v>
      </c>
      <c r="S5" s="42" t="s">
        <v>63</v>
      </c>
      <c r="T5" s="42" t="s">
        <v>63</v>
      </c>
      <c r="U5" s="42" t="s">
        <v>63</v>
      </c>
      <c r="V5" s="42" t="s">
        <v>63</v>
      </c>
      <c r="W5" s="42" t="s">
        <v>63</v>
      </c>
      <c r="X5" s="42" t="s">
        <v>63</v>
      </c>
      <c r="Y5" s="42" t="s">
        <v>63</v>
      </c>
      <c r="Z5" s="42" t="s">
        <v>63</v>
      </c>
      <c r="AA5" s="43" t="s">
        <v>63</v>
      </c>
      <c r="AB5" s="42" t="s">
        <v>63</v>
      </c>
      <c r="AC5" s="42"/>
      <c r="AD5" s="42" t="s">
        <v>63</v>
      </c>
      <c r="AE5" s="42" t="s">
        <v>63</v>
      </c>
      <c r="AF5" s="42" t="s">
        <v>63</v>
      </c>
      <c r="AG5" s="42" t="s">
        <v>63</v>
      </c>
      <c r="AH5" s="42" t="s">
        <v>63</v>
      </c>
      <c r="AI5" s="42"/>
      <c r="AJ5" s="42" t="s">
        <v>63</v>
      </c>
      <c r="AK5" s="42"/>
      <c r="AL5" s="42" t="s">
        <v>63</v>
      </c>
      <c r="AM5" s="42"/>
      <c r="AN5" s="42" t="s">
        <v>63</v>
      </c>
      <c r="AO5" s="42" t="s">
        <v>63</v>
      </c>
      <c r="AP5" s="42" t="s">
        <v>63</v>
      </c>
      <c r="AQ5" s="42" t="s">
        <v>63</v>
      </c>
      <c r="AR5" s="42"/>
      <c r="AS5" s="42" t="s">
        <v>63</v>
      </c>
      <c r="AT5" s="42" t="s">
        <v>63</v>
      </c>
      <c r="AU5" s="42"/>
      <c r="AV5" s="42"/>
      <c r="AW5" s="42" t="s">
        <v>63</v>
      </c>
      <c r="AX5" s="42" t="s">
        <v>63</v>
      </c>
      <c r="AY5" s="42" t="s">
        <v>63</v>
      </c>
      <c r="AZ5" s="42" t="s">
        <v>63</v>
      </c>
      <c r="BA5" s="42"/>
      <c r="BB5" s="42" t="s">
        <v>63</v>
      </c>
      <c r="BC5" s="42" t="s">
        <v>63</v>
      </c>
      <c r="BD5" s="42" t="s">
        <v>63</v>
      </c>
      <c r="BE5" s="42" t="s">
        <v>63</v>
      </c>
      <c r="BF5" s="42" t="s">
        <v>63</v>
      </c>
      <c r="BG5" s="42" t="s">
        <v>63</v>
      </c>
      <c r="BH5" s="42" t="s">
        <v>63</v>
      </c>
      <c r="BI5" s="42" t="s">
        <v>63</v>
      </c>
      <c r="BJ5" s="42" t="s">
        <v>63</v>
      </c>
      <c r="BK5" s="42" t="s">
        <v>63</v>
      </c>
      <c r="BL5" s="42" t="s">
        <v>63</v>
      </c>
    </row>
    <row r="6" spans="1:64">
      <c r="A6" s="33" t="s">
        <v>1176</v>
      </c>
      <c r="B6" s="34" t="s">
        <v>349</v>
      </c>
      <c r="C6" s="34" t="s">
        <v>349</v>
      </c>
      <c r="D6" s="33" t="s">
        <v>351</v>
      </c>
      <c r="E6" s="34">
        <f>IF(_xlfn.IFNA(VLOOKUP(B6,Data!B:G,3,FALSE),"")=0, "", _xlfn.IFNA(VLOOKUP(B6,Data!B:G,3,FALSE),""))</f>
        <v>3</v>
      </c>
      <c r="F6" s="66" t="s">
        <v>348</v>
      </c>
      <c r="H6" s="66" t="str">
        <f>IF(_xlfn.IFNA(VLOOKUP(C6,Data!A:G,5,FALSE),"")=0, "Check course registration information", _xlfn.IFNA(VLOOKUP(C6,Data!A:G,5,FALSE),""))</f>
        <v>CHE 20500 or ABE 20100) and MA 26100 [concurrent ok] and (CHM 26100 or CHM 25500 [concurrent ok] or CHM 25700 [concurrent ok]) and (MA 26200 [concurrent ok] or MATH 26200 or MA 26500 [concurrent ok] or MA 35100 [concurrent ok]</v>
      </c>
      <c r="J6" s="33" t="str">
        <f>IF(_xlfn.IFNA(VLOOKUP(C6,Data!A:G,6,FALSE),"")=0, "Check course registration information", _xlfn.IFNA(VLOOKUP(C6,Data!A:G,6,FALSE),""))</f>
        <v>Statistical modeling methods, design of experiments, error analysis, curve fitting and regression, analysis of variance, confidence intervals, quality control and enhancement: emphasizes preparation for designing chemical engineering laboratory experiments and analyzing data</v>
      </c>
      <c r="K6" s="33" t="str">
        <f>IF(_xlfn.IFNA(VLOOKUP(C6,Data!A:H,7,FALSE),"")=0, "", _xlfn.IFNA(HYPERLINK(VLOOKUP(C6,Data!A:H,7,FALSE),"Catalog Link"),""))</f>
        <v>Catalog Link</v>
      </c>
      <c r="L6" s="33" t="str">
        <f>IF(_xlfn.IFNA(VLOOKUP(C6,Data!A:I,8,FALSE),"")=0, "", _xlfn.IFNA(HYPERLINK(VLOOKUP(C6,Data!A:I,8,FALSE),"Additional Information"),""))</f>
        <v/>
      </c>
      <c r="M6" s="34">
        <f t="shared" si="1"/>
        <v>7</v>
      </c>
      <c r="N6" s="42" t="s">
        <v>63</v>
      </c>
      <c r="O6" s="42" t="s">
        <v>64</v>
      </c>
      <c r="P6" s="42" t="s">
        <v>63</v>
      </c>
      <c r="Q6" s="42" t="s">
        <v>63</v>
      </c>
      <c r="R6" s="42" t="s">
        <v>63</v>
      </c>
      <c r="S6" s="42" t="s">
        <v>63</v>
      </c>
      <c r="T6" s="42" t="s">
        <v>63</v>
      </c>
      <c r="U6" s="42" t="s">
        <v>64</v>
      </c>
      <c r="V6" s="42"/>
      <c r="W6" s="42" t="s">
        <v>63</v>
      </c>
      <c r="X6" s="42" t="s">
        <v>63</v>
      </c>
      <c r="Y6" s="42" t="s">
        <v>63</v>
      </c>
      <c r="Z6" s="42" t="s">
        <v>63</v>
      </c>
      <c r="AA6" s="42" t="s">
        <v>63</v>
      </c>
      <c r="AB6" s="42" t="s">
        <v>63</v>
      </c>
      <c r="AC6" s="42"/>
      <c r="AD6" s="42" t="s">
        <v>63</v>
      </c>
      <c r="AE6" s="42" t="s">
        <v>63</v>
      </c>
      <c r="AF6" s="42" t="s">
        <v>63</v>
      </c>
      <c r="AG6" s="42" t="s">
        <v>63</v>
      </c>
      <c r="AH6" s="42" t="s">
        <v>64</v>
      </c>
      <c r="AI6" s="42"/>
      <c r="AJ6" s="42" t="s">
        <v>63</v>
      </c>
      <c r="AK6" s="42"/>
      <c r="AL6" s="42" t="s">
        <v>63</v>
      </c>
      <c r="AM6" s="42"/>
      <c r="AN6" s="42" t="s">
        <v>63</v>
      </c>
      <c r="AO6" s="42" t="s">
        <v>63</v>
      </c>
      <c r="AP6" s="42" t="s">
        <v>63</v>
      </c>
      <c r="AQ6" s="42" t="s">
        <v>63</v>
      </c>
      <c r="AR6" s="42"/>
      <c r="AS6" s="42" t="s">
        <v>63</v>
      </c>
      <c r="AT6" s="42" t="s">
        <v>63</v>
      </c>
      <c r="AU6" s="42" t="s">
        <v>64</v>
      </c>
      <c r="AV6" s="42"/>
      <c r="AW6" s="42" t="s">
        <v>63</v>
      </c>
      <c r="AX6" s="42" t="s">
        <v>63</v>
      </c>
      <c r="AY6" s="42" t="s">
        <v>64</v>
      </c>
      <c r="AZ6" s="42" t="s">
        <v>63</v>
      </c>
      <c r="BA6" s="42"/>
      <c r="BB6" s="42" t="s">
        <v>63</v>
      </c>
      <c r="BC6" s="42" t="s">
        <v>63</v>
      </c>
      <c r="BD6" s="42" t="s">
        <v>64</v>
      </c>
      <c r="BE6" s="42" t="s">
        <v>63</v>
      </c>
      <c r="BF6" s="42" t="s">
        <v>63</v>
      </c>
      <c r="BG6" s="42" t="s">
        <v>63</v>
      </c>
      <c r="BH6" s="42" t="s">
        <v>63</v>
      </c>
      <c r="BI6" s="42" t="s">
        <v>63</v>
      </c>
      <c r="BJ6" s="42" t="s">
        <v>63</v>
      </c>
      <c r="BK6" s="42" t="s">
        <v>64</v>
      </c>
      <c r="BL6" s="42" t="s">
        <v>63</v>
      </c>
    </row>
    <row r="7" spans="1:64" s="36" customFormat="1" ht="15.75">
      <c r="A7" s="33" t="s">
        <v>1177</v>
      </c>
      <c r="B7" s="34" t="s">
        <v>72</v>
      </c>
      <c r="C7" s="34" t="s">
        <v>72</v>
      </c>
      <c r="D7" s="33" t="s">
        <v>73</v>
      </c>
      <c r="E7" s="34">
        <f>IF(_xlfn.IFNA(VLOOKUP(B7,Data!B:G,3,FALSE),"")=0, "", _xlfn.IFNA(VLOOKUP(B7,Data!B:G,3,FALSE),""))</f>
        <v>4</v>
      </c>
      <c r="F7" s="33" t="s">
        <v>1175</v>
      </c>
      <c r="G7" s="33"/>
      <c r="H7" s="33" t="str">
        <f>IF(_xlfn.IFNA(VLOOKUP(C7,Data!A:G,5,FALSE),"")=0, "Check course registration information", _xlfn.IFNA(VLOOKUP(C7,Data!A:G,5,FALSE),""))</f>
        <v>CHE 21100 and (MA 26600 [concurrent ok] or MA 30300 [concurrent ok] or MA 36600 [concurrent ok] or ME 58100 [concurrent ok] or MA 51400 [concurrent ok]</v>
      </c>
      <c r="I7" s="33"/>
      <c r="J7" s="33" t="str">
        <f>IF(_xlfn.IFNA(VLOOKUP(C7,Data!A:G,6,FALSE),"")=0, "Check course registration information", _xlfn.IFNA(VLOOKUP(C7,Data!A:G,6,FALSE),""))</f>
        <v>Application of kinetic rate equations, mass balances and energy balances to the analysis and design of chemical reactors involving homogeneous and heterogeneous chemical reactions. Chemical equilibria, kinetic rate equations for homogeneous and heterogeneously catalyzed reactions, design of ideal isothermal reactors, effects of non-isothermal operation, effects of diffusion in porous catalysts and non-ideal mixing in continuous flow reactors</v>
      </c>
      <c r="K7" s="33" t="str">
        <f>IF(_xlfn.IFNA(VLOOKUP(C7,Data!A:H,7,FALSE),"")=0, "", _xlfn.IFNA(HYPERLINK(VLOOKUP(C7,Data!A:H,7,FALSE),"Catalog Link"),""))</f>
        <v>Catalog Link</v>
      </c>
      <c r="L7" s="33" t="str">
        <f>IF(_xlfn.IFNA(VLOOKUP(C7,Data!A:I,8,FALSE),"")=0, "", _xlfn.IFNA(HYPERLINK(VLOOKUP(C7,Data!A:I,8,FALSE),"Additional Information"),""))</f>
        <v/>
      </c>
      <c r="M7" s="34">
        <f t="shared" si="1"/>
        <v>0</v>
      </c>
      <c r="N7" s="42" t="s">
        <v>63</v>
      </c>
      <c r="O7" s="42" t="s">
        <v>63</v>
      </c>
      <c r="P7" s="42" t="s">
        <v>63</v>
      </c>
      <c r="Q7" s="42" t="s">
        <v>63</v>
      </c>
      <c r="R7" s="42" t="s">
        <v>63</v>
      </c>
      <c r="S7" s="42" t="s">
        <v>63</v>
      </c>
      <c r="T7" s="42" t="s">
        <v>63</v>
      </c>
      <c r="U7" s="42" t="s">
        <v>63</v>
      </c>
      <c r="V7" s="42" t="s">
        <v>63</v>
      </c>
      <c r="W7" s="42" t="s">
        <v>63</v>
      </c>
      <c r="X7" s="42" t="s">
        <v>63</v>
      </c>
      <c r="Y7" s="42" t="s">
        <v>63</v>
      </c>
      <c r="Z7" s="42" t="s">
        <v>63</v>
      </c>
      <c r="AA7" s="43" t="s">
        <v>63</v>
      </c>
      <c r="AB7" s="42" t="s">
        <v>63</v>
      </c>
      <c r="AC7" s="42"/>
      <c r="AD7" s="42" t="s">
        <v>63</v>
      </c>
      <c r="AE7" s="42" t="s">
        <v>63</v>
      </c>
      <c r="AF7" s="42" t="s">
        <v>63</v>
      </c>
      <c r="AG7" s="42" t="s">
        <v>63</v>
      </c>
      <c r="AH7" s="42" t="s">
        <v>63</v>
      </c>
      <c r="AI7" s="42"/>
      <c r="AJ7" s="42" t="s">
        <v>63</v>
      </c>
      <c r="AK7" s="42"/>
      <c r="AL7" s="42" t="s">
        <v>63</v>
      </c>
      <c r="AM7" s="42"/>
      <c r="AN7" s="42" t="s">
        <v>63</v>
      </c>
      <c r="AO7" s="42" t="s">
        <v>63</v>
      </c>
      <c r="AP7" s="42" t="s">
        <v>63</v>
      </c>
      <c r="AQ7" s="42" t="s">
        <v>63</v>
      </c>
      <c r="AR7" s="42"/>
      <c r="AS7" s="42" t="s">
        <v>63</v>
      </c>
      <c r="AT7" s="42" t="s">
        <v>63</v>
      </c>
      <c r="AU7" s="42"/>
      <c r="AV7" s="42"/>
      <c r="AW7" s="42" t="s">
        <v>63</v>
      </c>
      <c r="AX7" s="42" t="s">
        <v>63</v>
      </c>
      <c r="AY7" s="42" t="s">
        <v>63</v>
      </c>
      <c r="AZ7" s="42" t="s">
        <v>63</v>
      </c>
      <c r="BA7" s="42"/>
      <c r="BB7" s="42" t="s">
        <v>63</v>
      </c>
      <c r="BC7" s="42" t="s">
        <v>63</v>
      </c>
      <c r="BD7" s="42" t="s">
        <v>63</v>
      </c>
      <c r="BE7" s="42" t="s">
        <v>63</v>
      </c>
      <c r="BF7" s="42" t="s">
        <v>63</v>
      </c>
      <c r="BG7" s="42" t="s">
        <v>63</v>
      </c>
      <c r="BH7" s="42" t="s">
        <v>63</v>
      </c>
      <c r="BI7" s="42" t="s">
        <v>63</v>
      </c>
      <c r="BJ7" s="42" t="s">
        <v>63</v>
      </c>
      <c r="BK7" s="42" t="s">
        <v>63</v>
      </c>
      <c r="BL7" s="42" t="s">
        <v>63</v>
      </c>
    </row>
    <row r="8" spans="1:64" s="36" customFormat="1" ht="15.75">
      <c r="A8" s="33" t="s">
        <v>1177</v>
      </c>
      <c r="B8" s="34" t="s">
        <v>74</v>
      </c>
      <c r="C8" s="34" t="s">
        <v>74</v>
      </c>
      <c r="D8" s="33" t="s">
        <v>75</v>
      </c>
      <c r="E8" s="34">
        <f>IF(_xlfn.IFNA(VLOOKUP(B8,Data!B:G,3,FALSE),"")=0, "", _xlfn.IFNA(VLOOKUP(B8,Data!B:G,3,FALSE),""))</f>
        <v>4</v>
      </c>
      <c r="F8" s="33" t="s">
        <v>1175</v>
      </c>
      <c r="G8" s="33"/>
      <c r="H8" s="33" t="str">
        <f>IF(_xlfn.IFNA(VLOOKUP(C8,Data!A:G,5,FALSE),"")=0, "Check course registration information", _xlfn.IFNA(VLOOKUP(C8,Data!A:G,5,FALSE),""))</f>
        <v>CHE 21100 and (MA 26600 [concurrent ok] or MA 30300 [concurrent ok] or MA 36600 [concurrent ok] or MA 51400 [concurrent ok] or ME 58100 [concurrent ok]</v>
      </c>
      <c r="I8" s="33"/>
      <c r="J8" s="33" t="str">
        <f>IF(_xlfn.IFNA(VLOOKUP(C8,Data!A:G,6,FALSE),"")=0, "Check course registration information", _xlfn.IFNA(VLOOKUP(C8,Data!A:G,6,FALSE),""))</f>
        <v>Differential (microscopic) and integral (macroscopic) mass, momentum, and energy balances. Newtonian and non-Newtonian fluids. Fluid statics. One-dimensional steady and transient laminar flows. Turbulence. Dimensional analysis and similarity. Friction factors and drag coefficients. Applications to engineering analysis of practical problems. Introduction to numerical analysis and visualization of flows</v>
      </c>
      <c r="K8" s="33" t="str">
        <f>IF(_xlfn.IFNA(VLOOKUP(C8,Data!A:H,7,FALSE),"")=0, "", _xlfn.IFNA(HYPERLINK(VLOOKUP(C8,Data!A:H,7,FALSE),"Catalog Link"),""))</f>
        <v>Catalog Link</v>
      </c>
      <c r="L8" s="33" t="str">
        <f>IF(_xlfn.IFNA(VLOOKUP(C8,Data!A:I,8,FALSE),"")=0, "", _xlfn.IFNA(HYPERLINK(VLOOKUP(C8,Data!A:I,8,FALSE),"Additional Information"),""))</f>
        <v/>
      </c>
      <c r="M8" s="34">
        <f t="shared" si="1"/>
        <v>1</v>
      </c>
      <c r="N8" s="42" t="s">
        <v>63</v>
      </c>
      <c r="O8" s="42" t="s">
        <v>63</v>
      </c>
      <c r="P8" s="42" t="s">
        <v>63</v>
      </c>
      <c r="Q8" s="42" t="s">
        <v>63</v>
      </c>
      <c r="R8" s="42"/>
      <c r="S8" s="42" t="s">
        <v>63</v>
      </c>
      <c r="T8" s="42" t="s">
        <v>63</v>
      </c>
      <c r="U8" s="42" t="s">
        <v>63</v>
      </c>
      <c r="V8" s="42" t="s">
        <v>63</v>
      </c>
      <c r="W8" s="42" t="s">
        <v>63</v>
      </c>
      <c r="X8" s="42" t="s">
        <v>63</v>
      </c>
      <c r="Y8" s="42" t="s">
        <v>63</v>
      </c>
      <c r="Z8" s="42" t="s">
        <v>63</v>
      </c>
      <c r="AA8" s="43" t="s">
        <v>63</v>
      </c>
      <c r="AB8" s="42" t="s">
        <v>63</v>
      </c>
      <c r="AC8" s="42"/>
      <c r="AD8" s="42" t="s">
        <v>63</v>
      </c>
      <c r="AE8" s="42" t="s">
        <v>63</v>
      </c>
      <c r="AF8" s="42" t="s">
        <v>63</v>
      </c>
      <c r="AG8" s="42" t="s">
        <v>63</v>
      </c>
      <c r="AH8" s="42" t="s">
        <v>63</v>
      </c>
      <c r="AI8" s="42"/>
      <c r="AJ8" s="42" t="s">
        <v>63</v>
      </c>
      <c r="AK8" s="42"/>
      <c r="AL8" s="42" t="s">
        <v>63</v>
      </c>
      <c r="AM8" s="42"/>
      <c r="AN8" s="42" t="s">
        <v>63</v>
      </c>
      <c r="AO8" s="42" t="s">
        <v>63</v>
      </c>
      <c r="AP8" s="42" t="s">
        <v>63</v>
      </c>
      <c r="AQ8" s="42" t="s">
        <v>63</v>
      </c>
      <c r="AR8" s="42"/>
      <c r="AS8" s="42" t="s">
        <v>63</v>
      </c>
      <c r="AT8" s="42" t="s">
        <v>63</v>
      </c>
      <c r="AU8" s="42"/>
      <c r="AV8" s="42"/>
      <c r="AW8" s="42" t="s">
        <v>63</v>
      </c>
      <c r="AX8" s="42" t="s">
        <v>63</v>
      </c>
      <c r="AY8" s="42" t="s">
        <v>63</v>
      </c>
      <c r="AZ8" s="42" t="s">
        <v>63</v>
      </c>
      <c r="BA8" s="42"/>
      <c r="BB8" s="42" t="s">
        <v>63</v>
      </c>
      <c r="BC8" s="42" t="s">
        <v>63</v>
      </c>
      <c r="BD8" s="42" t="s">
        <v>63</v>
      </c>
      <c r="BE8" s="42" t="s">
        <v>63</v>
      </c>
      <c r="BF8" s="42" t="s">
        <v>63</v>
      </c>
      <c r="BG8" s="42" t="s">
        <v>63</v>
      </c>
      <c r="BH8" s="42" t="s">
        <v>63</v>
      </c>
      <c r="BI8" s="42" t="s">
        <v>64</v>
      </c>
      <c r="BJ8" s="42" t="s">
        <v>63</v>
      </c>
      <c r="BK8" s="42" t="s">
        <v>63</v>
      </c>
      <c r="BL8" s="42" t="s">
        <v>63</v>
      </c>
    </row>
    <row r="9" spans="1:64">
      <c r="A9" s="33" t="s">
        <v>1176</v>
      </c>
      <c r="B9" s="34" t="s">
        <v>445</v>
      </c>
      <c r="C9" s="34" t="s">
        <v>445</v>
      </c>
      <c r="D9" s="33" t="s">
        <v>446</v>
      </c>
      <c r="E9" s="34">
        <f>IF(_xlfn.IFNA(VLOOKUP(B9,Data!B:G,3,FALSE),"")=0, "", _xlfn.IFNA(VLOOKUP(B9,Data!B:G,3,FALSE),""))</f>
        <v>4</v>
      </c>
      <c r="F9" s="66" t="s">
        <v>106</v>
      </c>
      <c r="H9" s="66" t="str">
        <f>IF(_xlfn.IFNA(VLOOKUP(C9,Data!A:G,5,FALSE),"")=0, "Check course registration information", _xlfn.IFNA(VLOOKUP(C9,Data!A:G,5,FALSE),""))</f>
        <v>CHE 21100 and CHE 37700</v>
      </c>
      <c r="J9" s="33" t="str">
        <f>IF(_xlfn.IFNA(VLOOKUP(C9,Data!A:G,6,FALSE),"")=0, "Check course registration information", _xlfn.IFNA(VLOOKUP(C9,Data!A:G,6,FALSE),""))</f>
        <v>Macroscopic and differential energy balances. Heat transfer coefficients for free and forced convection and phase change. Conductive and radiative heat transfer. Applications to heat transfer equipment design and compressible fluid flow. Macroscopic and differential species balances. Mass transfer coefficients and analogies. Mass transfer with and without chemical reaction. Mass transfer equipment design</v>
      </c>
      <c r="K9" s="33" t="str">
        <f>IF(_xlfn.IFNA(VLOOKUP(C9,Data!A:H,7,FALSE),"")=0, "", _xlfn.IFNA(HYPERLINK(VLOOKUP(C9,Data!A:H,7,FALSE),"Catalog Link"),""))</f>
        <v>Catalog Link</v>
      </c>
      <c r="L9" s="33" t="str">
        <f>IF(_xlfn.IFNA(VLOOKUP(C9,Data!A:I,8,FALSE),"")=0, "", _xlfn.IFNA(HYPERLINK(VLOOKUP(C9,Data!A:I,8,FALSE),"Additional Information"),""))</f>
        <v/>
      </c>
      <c r="M9" s="34">
        <f t="shared" si="1"/>
        <v>2</v>
      </c>
      <c r="N9" s="42" t="s">
        <v>63</v>
      </c>
      <c r="O9" s="42" t="s">
        <v>63</v>
      </c>
      <c r="P9" s="42" t="s">
        <v>63</v>
      </c>
      <c r="Q9" s="42" t="s">
        <v>63</v>
      </c>
      <c r="R9" s="42" t="s">
        <v>63</v>
      </c>
      <c r="S9" s="42" t="s">
        <v>63</v>
      </c>
      <c r="T9" s="42" t="s">
        <v>63</v>
      </c>
      <c r="U9" s="42" t="s">
        <v>63</v>
      </c>
      <c r="V9" s="42" t="s">
        <v>64</v>
      </c>
      <c r="W9" s="42" t="s">
        <v>63</v>
      </c>
      <c r="X9" s="42" t="s">
        <v>63</v>
      </c>
      <c r="Y9" s="42" t="s">
        <v>63</v>
      </c>
      <c r="Z9" s="42" t="s">
        <v>63</v>
      </c>
      <c r="AA9" s="42" t="s">
        <v>63</v>
      </c>
      <c r="AB9" s="42" t="s">
        <v>63</v>
      </c>
      <c r="AC9" s="42"/>
      <c r="AD9" s="42" t="s">
        <v>63</v>
      </c>
      <c r="AE9" s="42" t="s">
        <v>63</v>
      </c>
      <c r="AF9" s="42" t="s">
        <v>63</v>
      </c>
      <c r="AG9" s="42" t="s">
        <v>63</v>
      </c>
      <c r="AH9" s="42" t="s">
        <v>63</v>
      </c>
      <c r="AI9" s="42"/>
      <c r="AJ9" s="42" t="s">
        <v>63</v>
      </c>
      <c r="AK9" s="42"/>
      <c r="AL9" s="42" t="s">
        <v>63</v>
      </c>
      <c r="AM9" s="42"/>
      <c r="AN9" s="42" t="s">
        <v>63</v>
      </c>
      <c r="AO9" s="42" t="s">
        <v>63</v>
      </c>
      <c r="AP9" s="42" t="s">
        <v>63</v>
      </c>
      <c r="AQ9" s="42" t="s">
        <v>63</v>
      </c>
      <c r="AR9" s="42"/>
      <c r="AS9" s="42" t="s">
        <v>63</v>
      </c>
      <c r="AT9" s="42" t="s">
        <v>63</v>
      </c>
      <c r="AU9" s="42"/>
      <c r="AV9" s="42"/>
      <c r="AW9" s="42" t="s">
        <v>63</v>
      </c>
      <c r="AX9" s="42" t="s">
        <v>63</v>
      </c>
      <c r="AY9" s="42" t="s">
        <v>63</v>
      </c>
      <c r="AZ9" s="42" t="s">
        <v>63</v>
      </c>
      <c r="BA9" s="42"/>
      <c r="BB9" s="42" t="s">
        <v>63</v>
      </c>
      <c r="BC9" s="42" t="s">
        <v>63</v>
      </c>
      <c r="BD9" s="42" t="s">
        <v>63</v>
      </c>
      <c r="BE9" s="42" t="s">
        <v>63</v>
      </c>
      <c r="BF9" s="42" t="s">
        <v>63</v>
      </c>
      <c r="BG9" s="42" t="s">
        <v>63</v>
      </c>
      <c r="BH9" s="42" t="s">
        <v>63</v>
      </c>
      <c r="BI9" s="42" t="s">
        <v>64</v>
      </c>
      <c r="BJ9" s="42" t="s">
        <v>63</v>
      </c>
      <c r="BK9" s="42" t="s">
        <v>63</v>
      </c>
      <c r="BL9" s="42" t="s">
        <v>63</v>
      </c>
    </row>
    <row r="10" spans="1:64">
      <c r="A10" s="33" t="s">
        <v>1176</v>
      </c>
      <c r="B10" s="34" t="s">
        <v>447</v>
      </c>
      <c r="C10" s="34" t="s">
        <v>447</v>
      </c>
      <c r="D10" s="33" t="s">
        <v>448</v>
      </c>
      <c r="E10" s="34">
        <f>IF(_xlfn.IFNA(VLOOKUP(B10,Data!B:G,3,FALSE),"")=0, "", _xlfn.IFNA(VLOOKUP(B10,Data!B:G,3,FALSE),""))</f>
        <v>3</v>
      </c>
      <c r="F10" s="66" t="s">
        <v>106</v>
      </c>
      <c r="H10" s="66" t="str">
        <f>IF(_xlfn.IFNA(VLOOKUP(C10,Data!A:G,5,FALSE),"")=0, "Check course registration information", _xlfn.IFNA(VLOOKUP(C10,Data!A:G,5,FALSE),""))</f>
        <v>CHE 34800 [concurrent ok] and CHE 37800 [concurrent ok]</v>
      </c>
      <c r="J10" s="33" t="str">
        <f>IF(_xlfn.IFNA(VLOOKUP(C10,Data!A:G,6,FALSE),"")=0, "Check course registration information", _xlfn.IFNA(VLOOKUP(C10,Data!A:G,6,FALSE),""))</f>
        <v>Develop knowledge of process safety management and analysis in the process industries, including hazard identification, hazard analysis and risk management</v>
      </c>
      <c r="K10" s="33" t="str">
        <f>IF(_xlfn.IFNA(VLOOKUP(C10,Data!A:H,7,FALSE),"")=0, "", _xlfn.IFNA(HYPERLINK(VLOOKUP(C10,Data!A:H,7,FALSE),"Catalog Link"),""))</f>
        <v>Catalog Link</v>
      </c>
      <c r="L10" s="33" t="str">
        <f>IF(_xlfn.IFNA(VLOOKUP(C10,Data!A:I,8,FALSE),"")=0, "", _xlfn.IFNA(HYPERLINK(VLOOKUP(C10,Data!A:I,8,FALSE),"Additional Information"),""))</f>
        <v/>
      </c>
      <c r="M10" s="34">
        <f t="shared" si="1"/>
        <v>4</v>
      </c>
      <c r="N10" s="42" t="s">
        <v>63</v>
      </c>
      <c r="O10" s="42" t="s">
        <v>63</v>
      </c>
      <c r="P10" s="42" t="s">
        <v>63</v>
      </c>
      <c r="Q10" s="42" t="s">
        <v>63</v>
      </c>
      <c r="R10" s="42" t="s">
        <v>63</v>
      </c>
      <c r="S10" s="42" t="s">
        <v>63</v>
      </c>
      <c r="T10" s="42" t="s">
        <v>63</v>
      </c>
      <c r="U10" s="42" t="s">
        <v>63</v>
      </c>
      <c r="V10" s="42" t="s">
        <v>63</v>
      </c>
      <c r="W10" s="42" t="s">
        <v>63</v>
      </c>
      <c r="X10" s="42" t="s">
        <v>63</v>
      </c>
      <c r="Y10" s="42" t="s">
        <v>63</v>
      </c>
      <c r="Z10" s="42" t="s">
        <v>63</v>
      </c>
      <c r="AA10" s="42" t="s">
        <v>63</v>
      </c>
      <c r="AB10" s="42" t="s">
        <v>63</v>
      </c>
      <c r="AC10" s="42"/>
      <c r="AD10" s="42" t="s">
        <v>63</v>
      </c>
      <c r="AE10" s="42" t="s">
        <v>63</v>
      </c>
      <c r="AF10" s="42" t="s">
        <v>63</v>
      </c>
      <c r="AG10" s="42" t="s">
        <v>63</v>
      </c>
      <c r="AH10" s="42" t="s">
        <v>64</v>
      </c>
      <c r="AI10" s="42"/>
      <c r="AJ10" s="42" t="s">
        <v>63</v>
      </c>
      <c r="AK10" s="42"/>
      <c r="AL10" s="42" t="s">
        <v>63</v>
      </c>
      <c r="AM10" s="42"/>
      <c r="AN10" s="42" t="s">
        <v>63</v>
      </c>
      <c r="AO10" s="42" t="s">
        <v>63</v>
      </c>
      <c r="AP10" s="42" t="s">
        <v>63</v>
      </c>
      <c r="AQ10" s="42" t="s">
        <v>63</v>
      </c>
      <c r="AR10" s="42"/>
      <c r="AS10" s="42" t="s">
        <v>64</v>
      </c>
      <c r="AT10" s="42" t="s">
        <v>63</v>
      </c>
      <c r="AU10" s="42"/>
      <c r="AV10" s="42"/>
      <c r="AW10" s="42" t="s">
        <v>63</v>
      </c>
      <c r="AX10" s="42" t="s">
        <v>63</v>
      </c>
      <c r="AY10" s="42" t="s">
        <v>64</v>
      </c>
      <c r="AZ10" s="42" t="s">
        <v>63</v>
      </c>
      <c r="BA10" s="42"/>
      <c r="BB10" s="42" t="s">
        <v>63</v>
      </c>
      <c r="BC10" s="42" t="s">
        <v>63</v>
      </c>
      <c r="BD10" s="42" t="s">
        <v>63</v>
      </c>
      <c r="BE10" s="42" t="s">
        <v>63</v>
      </c>
      <c r="BF10" s="42" t="s">
        <v>63</v>
      </c>
      <c r="BG10" s="42" t="s">
        <v>63</v>
      </c>
      <c r="BH10" s="42" t="s">
        <v>63</v>
      </c>
      <c r="BI10" s="42" t="s">
        <v>64</v>
      </c>
      <c r="BJ10" s="42" t="s">
        <v>63</v>
      </c>
      <c r="BK10" s="42" t="s">
        <v>63</v>
      </c>
      <c r="BL10" s="42" t="s">
        <v>63</v>
      </c>
    </row>
    <row r="11" spans="1:64" s="36" customFormat="1" ht="15.75">
      <c r="A11" s="33" t="s">
        <v>1177</v>
      </c>
      <c r="B11" s="34" t="s">
        <v>81</v>
      </c>
      <c r="C11" s="34" t="s">
        <v>81</v>
      </c>
      <c r="D11" s="33" t="s">
        <v>82</v>
      </c>
      <c r="E11" s="34">
        <f>IF(_xlfn.IFNA(VLOOKUP(B11,Data!B:G,3,FALSE),"")=0, "", _xlfn.IFNA(VLOOKUP(B11,Data!B:G,3,FALSE),""))</f>
        <v>4</v>
      </c>
      <c r="F11" s="33" t="s">
        <v>1175</v>
      </c>
      <c r="G11" s="33"/>
      <c r="H11" s="33" t="str">
        <f>IF(_xlfn.IFNA(VLOOKUP(C11,Data!A:G,5,FALSE),"")=0, "Check course registration information", _xlfn.IFNA(VLOOKUP(C11,Data!A:G,5,FALSE),""))</f>
        <v>CHE 32000 and CHE 34800 and CHE 37800 and CHE 30600</v>
      </c>
      <c r="I11" s="33"/>
      <c r="J11" s="33" t="str">
        <f>IF(_xlfn.IFNA(VLOOKUP(C11,Data!A:G,6,FALSE),"")=0, "Check course registration information", _xlfn.IFNA(VLOOKUP(C11,Data!A:G,6,FALSE),""))</f>
        <v>Quantitative experimental study of projects involving problems in fluid mechanics and heat and mass transfer or operation and evaluation of equipment; projects include analysis and data-based design of operations involving mass transfer such as distillation, absorption, drying, humidification, etc.; study of rates and equilibria in simple chemical reaction systems; study of chemical processes; application of methods of data analysis in practice; some library work; emphasis on group work, report writing, and oral communication</v>
      </c>
      <c r="K11" s="33" t="str">
        <f>IF(_xlfn.IFNA(VLOOKUP(C11,Data!A:H,7,FALSE),"")=0, "", _xlfn.IFNA(HYPERLINK(VLOOKUP(C11,Data!A:H,7,FALSE),"Catalog Link"),""))</f>
        <v>Catalog Link</v>
      </c>
      <c r="L11" s="33" t="str">
        <f>IF(_xlfn.IFNA(VLOOKUP(C11,Data!A:I,8,FALSE),"")=0, "", _xlfn.IFNA(HYPERLINK(VLOOKUP(C11,Data!A:I,8,FALSE),"Additional Information"),""))</f>
        <v/>
      </c>
      <c r="M11" s="34">
        <f t="shared" si="1"/>
        <v>0</v>
      </c>
      <c r="N11" s="42" t="s">
        <v>63</v>
      </c>
      <c r="O11" s="42" t="s">
        <v>63</v>
      </c>
      <c r="P11" s="42" t="s">
        <v>63</v>
      </c>
      <c r="Q11" s="42" t="s">
        <v>63</v>
      </c>
      <c r="R11" s="42" t="s">
        <v>63</v>
      </c>
      <c r="S11" s="42" t="s">
        <v>63</v>
      </c>
      <c r="T11" s="42" t="s">
        <v>63</v>
      </c>
      <c r="U11" s="42" t="s">
        <v>63</v>
      </c>
      <c r="V11" s="42" t="s">
        <v>63</v>
      </c>
      <c r="W11" s="42" t="s">
        <v>63</v>
      </c>
      <c r="X11" s="42" t="s">
        <v>63</v>
      </c>
      <c r="Y11" s="42" t="s">
        <v>63</v>
      </c>
      <c r="Z11" s="42" t="s">
        <v>63</v>
      </c>
      <c r="AA11" s="43" t="s">
        <v>63</v>
      </c>
      <c r="AB11" s="42" t="s">
        <v>63</v>
      </c>
      <c r="AC11" s="42"/>
      <c r="AD11" s="42"/>
      <c r="AE11" s="42" t="s">
        <v>63</v>
      </c>
      <c r="AF11" s="42" t="s">
        <v>63</v>
      </c>
      <c r="AG11" s="42" t="s">
        <v>63</v>
      </c>
      <c r="AH11" s="42" t="s">
        <v>63</v>
      </c>
      <c r="AI11" s="42"/>
      <c r="AJ11" s="42" t="s">
        <v>63</v>
      </c>
      <c r="AK11" s="42"/>
      <c r="AL11" s="42" t="s">
        <v>63</v>
      </c>
      <c r="AM11" s="42"/>
      <c r="AN11" s="42" t="s">
        <v>63</v>
      </c>
      <c r="AO11" s="42" t="s">
        <v>63</v>
      </c>
      <c r="AP11" s="42" t="s">
        <v>63</v>
      </c>
      <c r="AQ11" s="42" t="s">
        <v>63</v>
      </c>
      <c r="AR11" s="42"/>
      <c r="AS11" s="42" t="s">
        <v>63</v>
      </c>
      <c r="AT11" s="42" t="s">
        <v>63</v>
      </c>
      <c r="AU11" s="42"/>
      <c r="AV11" s="42"/>
      <c r="AW11" s="42" t="s">
        <v>63</v>
      </c>
      <c r="AX11" s="42" t="s">
        <v>63</v>
      </c>
      <c r="AY11" s="42" t="s">
        <v>63</v>
      </c>
      <c r="AZ11" s="42" t="s">
        <v>63</v>
      </c>
      <c r="BA11" s="42"/>
      <c r="BB11" s="42" t="s">
        <v>63</v>
      </c>
      <c r="BC11" s="42" t="s">
        <v>63</v>
      </c>
      <c r="BD11" s="42" t="s">
        <v>63</v>
      </c>
      <c r="BE11" s="42" t="s">
        <v>63</v>
      </c>
      <c r="BF11" s="42" t="s">
        <v>63</v>
      </c>
      <c r="BG11" s="42" t="s">
        <v>63</v>
      </c>
      <c r="BH11" s="42" t="s">
        <v>63</v>
      </c>
      <c r="BI11" s="42" t="s">
        <v>63</v>
      </c>
      <c r="BJ11" s="42" t="s">
        <v>63</v>
      </c>
      <c r="BK11" s="42" t="s">
        <v>63</v>
      </c>
      <c r="BL11" s="42" t="s">
        <v>63</v>
      </c>
    </row>
    <row r="12" spans="1:64" s="36" customFormat="1" ht="15.75">
      <c r="A12" s="33" t="s">
        <v>1177</v>
      </c>
      <c r="B12" s="34" t="s">
        <v>83</v>
      </c>
      <c r="C12" s="34" t="s">
        <v>83</v>
      </c>
      <c r="D12" s="33" t="s">
        <v>84</v>
      </c>
      <c r="E12" s="34">
        <f>IF(_xlfn.IFNA(VLOOKUP(B12,Data!B:G,3,FALSE),"")=0, "", _xlfn.IFNA(VLOOKUP(B12,Data!B:G,3,FALSE),""))</f>
        <v>4</v>
      </c>
      <c r="F12" s="33" t="s">
        <v>1175</v>
      </c>
      <c r="G12" s="33"/>
      <c r="H12" s="33" t="str">
        <f>IF(_xlfn.IFNA(VLOOKUP(C12,Data!A:G,5,FALSE),"")=0, "Check course registration information", _xlfn.IFNA(VLOOKUP(C12,Data!A:G,5,FALSE),""))</f>
        <v>CHE 30600 and CHE 37800 and CHE 42000 and CHE 45600 and CHE 43500 [concurrent ok]</v>
      </c>
      <c r="I12" s="33"/>
      <c r="J12" s="33" t="str">
        <f>IF(_xlfn.IFNA(VLOOKUP(C12,Data!A:G,6,FALSE),"")=0, "Check course registration information", _xlfn.IFNA(VLOOKUP(C12,Data!A:G,6,FALSE),""))</f>
        <v>Use of process synthesis methods and concepts; detailed design of unit operation equipment, the economics of chemical plants and flow sheet optimization methods. Synthesize, develop, and evaluate a preliminary design of a chemical process that meets market requirements for a specific product. Analysis of design alternatives using case studies and optimization methods</v>
      </c>
      <c r="K12" s="33" t="str">
        <f>IF(_xlfn.IFNA(VLOOKUP(C12,Data!A:H,7,FALSE),"")=0, "", _xlfn.IFNA(HYPERLINK(VLOOKUP(C12,Data!A:H,7,FALSE),"Catalog Link"),""))</f>
        <v>Catalog Link</v>
      </c>
      <c r="L12" s="33" t="str">
        <f>IF(_xlfn.IFNA(VLOOKUP(C12,Data!A:I,8,FALSE),"")=0, "", _xlfn.IFNA(HYPERLINK(VLOOKUP(C12,Data!A:I,8,FALSE),"Additional Information"),""))</f>
        <v/>
      </c>
      <c r="M12" s="34">
        <f t="shared" si="1"/>
        <v>3</v>
      </c>
      <c r="N12" s="42" t="s">
        <v>63</v>
      </c>
      <c r="O12" s="42" t="s">
        <v>63</v>
      </c>
      <c r="P12" s="42" t="s">
        <v>63</v>
      </c>
      <c r="Q12" s="42" t="s">
        <v>63</v>
      </c>
      <c r="R12" s="42" t="s">
        <v>63</v>
      </c>
      <c r="S12" s="42" t="s">
        <v>63</v>
      </c>
      <c r="T12" s="42" t="s">
        <v>63</v>
      </c>
      <c r="U12" s="42" t="s">
        <v>63</v>
      </c>
      <c r="V12" s="42" t="s">
        <v>63</v>
      </c>
      <c r="W12" s="42" t="s">
        <v>63</v>
      </c>
      <c r="X12" s="42" t="s">
        <v>64</v>
      </c>
      <c r="Y12" s="42" t="s">
        <v>63</v>
      </c>
      <c r="Z12" s="42" t="s">
        <v>63</v>
      </c>
      <c r="AA12" s="43" t="s">
        <v>63</v>
      </c>
      <c r="AB12" s="42" t="s">
        <v>63</v>
      </c>
      <c r="AC12" s="42"/>
      <c r="AD12" s="42" t="s">
        <v>63</v>
      </c>
      <c r="AE12" s="42" t="s">
        <v>63</v>
      </c>
      <c r="AF12" s="42" t="s">
        <v>63</v>
      </c>
      <c r="AG12" s="42" t="s">
        <v>63</v>
      </c>
      <c r="AH12" s="42" t="s">
        <v>63</v>
      </c>
      <c r="AI12" s="42"/>
      <c r="AJ12" s="42" t="s">
        <v>63</v>
      </c>
      <c r="AK12" s="42"/>
      <c r="AL12" s="42" t="s">
        <v>63</v>
      </c>
      <c r="AM12" s="42"/>
      <c r="AN12" s="42" t="s">
        <v>63</v>
      </c>
      <c r="AO12" s="42" t="s">
        <v>63</v>
      </c>
      <c r="AP12" s="42" t="s">
        <v>63</v>
      </c>
      <c r="AQ12" s="42" t="s">
        <v>63</v>
      </c>
      <c r="AR12" s="42"/>
      <c r="AS12" s="42" t="s">
        <v>64</v>
      </c>
      <c r="AT12" s="42" t="s">
        <v>63</v>
      </c>
      <c r="AU12" s="42"/>
      <c r="AV12" s="42"/>
      <c r="AW12" s="42" t="s">
        <v>63</v>
      </c>
      <c r="AX12" s="42" t="s">
        <v>63</v>
      </c>
      <c r="AY12" s="42" t="s">
        <v>64</v>
      </c>
      <c r="AZ12" s="42" t="s">
        <v>63</v>
      </c>
      <c r="BA12" s="42"/>
      <c r="BB12" s="42" t="s">
        <v>63</v>
      </c>
      <c r="BC12" s="42" t="s">
        <v>63</v>
      </c>
      <c r="BD12" s="42" t="s">
        <v>63</v>
      </c>
      <c r="BE12" s="42" t="s">
        <v>63</v>
      </c>
      <c r="BF12" s="42" t="s">
        <v>63</v>
      </c>
      <c r="BG12" s="42" t="s">
        <v>63</v>
      </c>
      <c r="BH12" s="42" t="s">
        <v>63</v>
      </c>
      <c r="BI12" s="42" t="s">
        <v>63</v>
      </c>
      <c r="BJ12" s="42" t="s">
        <v>63</v>
      </c>
      <c r="BK12" s="42" t="s">
        <v>63</v>
      </c>
      <c r="BL12" s="42" t="s">
        <v>63</v>
      </c>
    </row>
    <row r="13" spans="1:64">
      <c r="A13" s="33" t="s">
        <v>1176</v>
      </c>
      <c r="B13" s="34" t="s">
        <v>449</v>
      </c>
      <c r="C13" s="34" t="s">
        <v>449</v>
      </c>
      <c r="D13" s="33" t="s">
        <v>450</v>
      </c>
      <c r="E13" s="34">
        <f>IF(_xlfn.IFNA(VLOOKUP(B13,Data!B:G,3,FALSE),"")=0, "", _xlfn.IFNA(VLOOKUP(B13,Data!B:G,3,FALSE),""))</f>
        <v>3</v>
      </c>
      <c r="F13" s="66" t="s">
        <v>106</v>
      </c>
      <c r="H13" s="66" t="str">
        <f>IF(_xlfn.IFNA(VLOOKUP(C13,Data!A:G,5,FALSE),"")=0, "Check course registration information", _xlfn.IFNA(VLOOKUP(C13,Data!A:G,5,FALSE),""))</f>
        <v>CHE 37700 and CHE 34800 [concurrent ok] and CHE 37800 [concurrent ok]</v>
      </c>
      <c r="J13" s="33" t="str">
        <f>IF(_xlfn.IFNA(VLOOKUP(C13,Data!A:G,6,FALSE),"")=0, "Check course registration information", _xlfn.IFNA(VLOOKUP(C13,Data!A:G,6,FALSE),""))</f>
        <v>Dynamic response and control of chemical processing equipment, such as heat exchangers, chemical reactors, and absorption towers. Use is made of fundamental techniques of servomechanism theory, such as block diagrams, transfer functions, and frequency response. Introduction to advanced control techniques</v>
      </c>
      <c r="K13" s="33" t="str">
        <f>IF(_xlfn.IFNA(VLOOKUP(C13,Data!A:H,7,FALSE),"")=0, "", _xlfn.IFNA(HYPERLINK(VLOOKUP(C13,Data!A:H,7,FALSE),"Catalog Link"),""))</f>
        <v>Catalog Link</v>
      </c>
      <c r="L13" s="33" t="str">
        <f>IF(_xlfn.IFNA(VLOOKUP(C13,Data!A:I,8,FALSE),"")=0, "", _xlfn.IFNA(HYPERLINK(VLOOKUP(C13,Data!A:I,8,FALSE),"Additional Information"),""))</f>
        <v/>
      </c>
      <c r="M13" s="34">
        <f t="shared" si="1"/>
        <v>4</v>
      </c>
      <c r="N13" s="42" t="s">
        <v>63</v>
      </c>
      <c r="O13" s="42" t="s">
        <v>63</v>
      </c>
      <c r="P13" s="42" t="s">
        <v>63</v>
      </c>
      <c r="Q13" s="42" t="s">
        <v>63</v>
      </c>
      <c r="R13" s="42" t="s">
        <v>63</v>
      </c>
      <c r="S13" s="42" t="s">
        <v>63</v>
      </c>
      <c r="T13" s="42" t="s">
        <v>63</v>
      </c>
      <c r="U13" s="42" t="s">
        <v>63</v>
      </c>
      <c r="V13" s="42" t="s">
        <v>63</v>
      </c>
      <c r="W13" s="42" t="s">
        <v>63</v>
      </c>
      <c r="X13" s="42" t="s">
        <v>64</v>
      </c>
      <c r="Y13" s="42" t="s">
        <v>63</v>
      </c>
      <c r="Z13" s="42" t="s">
        <v>63</v>
      </c>
      <c r="AA13" s="42" t="s">
        <v>63</v>
      </c>
      <c r="AB13" s="42" t="s">
        <v>63</v>
      </c>
      <c r="AC13" s="42"/>
      <c r="AD13" s="42" t="s">
        <v>63</v>
      </c>
      <c r="AE13" s="42" t="s">
        <v>63</v>
      </c>
      <c r="AF13" s="42" t="s">
        <v>63</v>
      </c>
      <c r="AG13" s="42" t="s">
        <v>63</v>
      </c>
      <c r="AH13" s="42" t="s">
        <v>64</v>
      </c>
      <c r="AI13" s="42"/>
      <c r="AJ13" s="42" t="s">
        <v>63</v>
      </c>
      <c r="AK13" s="42"/>
      <c r="AL13" s="42" t="s">
        <v>63</v>
      </c>
      <c r="AM13" s="42"/>
      <c r="AN13" s="42" t="s">
        <v>63</v>
      </c>
      <c r="AO13" s="42" t="s">
        <v>63</v>
      </c>
      <c r="AP13" s="42" t="s">
        <v>63</v>
      </c>
      <c r="AQ13" s="42" t="s">
        <v>63</v>
      </c>
      <c r="AR13" s="42"/>
      <c r="AS13" s="42"/>
      <c r="AT13" s="42" t="s">
        <v>63</v>
      </c>
      <c r="AU13" s="42"/>
      <c r="AV13" s="42"/>
      <c r="AW13" s="42" t="s">
        <v>63</v>
      </c>
      <c r="AX13" s="42" t="s">
        <v>63</v>
      </c>
      <c r="AY13" s="42" t="s">
        <v>64</v>
      </c>
      <c r="AZ13" s="42" t="s">
        <v>63</v>
      </c>
      <c r="BA13" s="42"/>
      <c r="BB13" s="42" t="s">
        <v>63</v>
      </c>
      <c r="BC13" s="42" t="s">
        <v>63</v>
      </c>
      <c r="BD13" s="42" t="s">
        <v>63</v>
      </c>
      <c r="BE13" s="42" t="s">
        <v>64</v>
      </c>
      <c r="BF13" s="42" t="s">
        <v>63</v>
      </c>
      <c r="BG13" s="42" t="s">
        <v>63</v>
      </c>
      <c r="BH13" s="42" t="s">
        <v>63</v>
      </c>
      <c r="BI13" s="42" t="s">
        <v>63</v>
      </c>
      <c r="BJ13" s="42" t="s">
        <v>63</v>
      </c>
      <c r="BK13" s="42" t="s">
        <v>63</v>
      </c>
      <c r="BL13" s="42" t="s">
        <v>63</v>
      </c>
    </row>
    <row r="14" spans="1:64" s="36" customFormat="1" ht="15.75">
      <c r="A14" s="33" t="s">
        <v>1177</v>
      </c>
      <c r="B14" s="34" t="s">
        <v>87</v>
      </c>
      <c r="C14" s="34" t="s">
        <v>87</v>
      </c>
      <c r="D14" s="33" t="s">
        <v>88</v>
      </c>
      <c r="E14" s="34">
        <f>IF(_xlfn.IFNA(VLOOKUP(B14,Data!B:G,3,FALSE),"")=0, "", _xlfn.IFNA(VLOOKUP(B14,Data!B:G,3,FALSE),""))</f>
        <v>3</v>
      </c>
      <c r="F14" s="33" t="s">
        <v>1175</v>
      </c>
      <c r="G14" s="33"/>
      <c r="H14" s="33" t="str">
        <f>IF(_xlfn.IFNA(VLOOKUP(C14,Data!A:G,5,FALSE),"")=0, "Check course registration information", _xlfn.IFNA(VLOOKUP(C14,Data!A:G,5,FALSE),""))</f>
        <v>CHE 37700</v>
      </c>
      <c r="I14" s="33"/>
      <c r="J14" s="33" t="str">
        <f>IF(_xlfn.IFNA(VLOOKUP(C14,Data!A:G,6,FALSE),"")=0, "Check course registration information", _xlfn.IFNA(VLOOKUP(C14,Data!A:G,6,FALSE),""))</f>
        <v>A broad overview of the fundamental concepts in particulate systems including particle characterization, particle size measurement, sedimentation, fluidization, gas and liquid conveying, particle storage, fluid-particle separation, particle size enlargement and reduction, particle mixing and hazards associated with the handling of particulate solids. Practical applications are emphasized, with a focus on how particles behave differently than fluids</v>
      </c>
      <c r="K14" s="33" t="str">
        <f>IF(_xlfn.IFNA(VLOOKUP(C14,Data!A:H,7,FALSE),"")=0, "", _xlfn.IFNA(HYPERLINK(VLOOKUP(C14,Data!A:H,7,FALSE),"Catalog Link"),""))</f>
        <v>Catalog Link</v>
      </c>
      <c r="L14" s="33" t="str">
        <f>IF(_xlfn.IFNA(VLOOKUP(C14,Data!A:I,8,FALSE),"")=0, "", _xlfn.IFNA(HYPERLINK(VLOOKUP(C14,Data!A:I,8,FALSE),"Additional Information"),""))</f>
        <v/>
      </c>
      <c r="M14" s="34">
        <f t="shared" si="1"/>
        <v>0</v>
      </c>
      <c r="N14" s="42" t="s">
        <v>63</v>
      </c>
      <c r="O14" s="42" t="s">
        <v>63</v>
      </c>
      <c r="P14" s="42" t="s">
        <v>63</v>
      </c>
      <c r="Q14" s="42" t="s">
        <v>63</v>
      </c>
      <c r="R14" s="42" t="s">
        <v>63</v>
      </c>
      <c r="S14" s="42" t="s">
        <v>63</v>
      </c>
      <c r="T14" s="42" t="s">
        <v>63</v>
      </c>
      <c r="U14" s="42" t="s">
        <v>63</v>
      </c>
      <c r="V14" s="42" t="s">
        <v>63</v>
      </c>
      <c r="W14" s="42" t="s">
        <v>63</v>
      </c>
      <c r="X14" s="42" t="s">
        <v>63</v>
      </c>
      <c r="Y14" s="42" t="s">
        <v>63</v>
      </c>
      <c r="Z14" s="42" t="s">
        <v>63</v>
      </c>
      <c r="AA14" s="43" t="s">
        <v>63</v>
      </c>
      <c r="AB14" s="42" t="s">
        <v>63</v>
      </c>
      <c r="AC14" s="42"/>
      <c r="AD14" s="42" t="s">
        <v>63</v>
      </c>
      <c r="AE14" s="42" t="s">
        <v>63</v>
      </c>
      <c r="AF14" s="42" t="s">
        <v>63</v>
      </c>
      <c r="AG14" s="42" t="s">
        <v>63</v>
      </c>
      <c r="AH14" s="42" t="s">
        <v>63</v>
      </c>
      <c r="AI14" s="42"/>
      <c r="AJ14" s="42" t="s">
        <v>63</v>
      </c>
      <c r="AK14" s="42"/>
      <c r="AL14" s="42" t="s">
        <v>63</v>
      </c>
      <c r="AM14" s="42"/>
      <c r="AN14" s="42" t="s">
        <v>63</v>
      </c>
      <c r="AO14" s="42" t="s">
        <v>63</v>
      </c>
      <c r="AP14" s="42" t="s">
        <v>63</v>
      </c>
      <c r="AQ14" s="42" t="s">
        <v>63</v>
      </c>
      <c r="AR14" s="42"/>
      <c r="AS14" s="42" t="s">
        <v>63</v>
      </c>
      <c r="AT14" s="42" t="s">
        <v>63</v>
      </c>
      <c r="AU14" s="42"/>
      <c r="AV14" s="42"/>
      <c r="AW14" s="42" t="s">
        <v>63</v>
      </c>
      <c r="AX14" s="42" t="s">
        <v>63</v>
      </c>
      <c r="AY14" s="42" t="s">
        <v>63</v>
      </c>
      <c r="AZ14" s="42" t="s">
        <v>63</v>
      </c>
      <c r="BA14" s="42"/>
      <c r="BB14" s="42" t="s">
        <v>63</v>
      </c>
      <c r="BC14" s="42" t="s">
        <v>63</v>
      </c>
      <c r="BD14" s="42" t="s">
        <v>63</v>
      </c>
      <c r="BE14" s="42" t="s">
        <v>63</v>
      </c>
      <c r="BF14" s="42" t="s">
        <v>63</v>
      </c>
      <c r="BG14" s="42" t="s">
        <v>63</v>
      </c>
      <c r="BH14" s="42" t="s">
        <v>63</v>
      </c>
      <c r="BI14" s="42" t="s">
        <v>63</v>
      </c>
      <c r="BJ14" s="42" t="s">
        <v>63</v>
      </c>
      <c r="BK14" s="42" t="s">
        <v>63</v>
      </c>
      <c r="BL14" s="42" t="s">
        <v>63</v>
      </c>
    </row>
    <row r="15" spans="1:64" s="36" customFormat="1" ht="15.75">
      <c r="A15" s="33" t="s">
        <v>1177</v>
      </c>
      <c r="B15" s="34" t="s">
        <v>89</v>
      </c>
      <c r="C15" s="34" t="s">
        <v>89</v>
      </c>
      <c r="D15" s="33" t="s">
        <v>90</v>
      </c>
      <c r="E15" s="34">
        <f>IF(_xlfn.IFNA(VLOOKUP(B15,Data!B:G,3,FALSE),"")=0, "", _xlfn.IFNA(VLOOKUP(B15,Data!B:G,3,FALSE),""))</f>
        <v>3</v>
      </c>
      <c r="F15" s="33" t="s">
        <v>1175</v>
      </c>
      <c r="G15" s="33"/>
      <c r="H15" s="33" t="str">
        <f>IF(_xlfn.IFNA(VLOOKUP(C15,Data!A:G,5,FALSE),"")=0, "Check course registration information", _xlfn.IFNA(VLOOKUP(C15,Data!A:G,5,FALSE),""))</f>
        <v>CHE 34800 or CHE 37800</v>
      </c>
      <c r="I15" s="33"/>
      <c r="J15" s="33" t="str">
        <f>IF(_xlfn.IFNA(VLOOKUP(C15,Data!A:G,6,FALSE),"")=0, "Check course registration information", _xlfn.IFNA(VLOOKUP(C15,Data!A:G,6,FALSE),""))</f>
        <v>Characterization particulate systems, use of population balances to describe processes that make or transform particles, applications in important unit processes including crystallization, granulation, milling, aerosol processes</v>
      </c>
      <c r="K15" s="33" t="str">
        <f>IF(_xlfn.IFNA(VLOOKUP(C15,Data!A:H,7,FALSE),"")=0, "", _xlfn.IFNA(HYPERLINK(VLOOKUP(C15,Data!A:H,7,FALSE),"Catalog Link"),""))</f>
        <v>Catalog Link</v>
      </c>
      <c r="L15" s="33" t="str">
        <f>IF(_xlfn.IFNA(VLOOKUP(C15,Data!A:I,8,FALSE),"")=0, "", _xlfn.IFNA(HYPERLINK(VLOOKUP(C15,Data!A:I,8,FALSE),"Additional Information"),""))</f>
        <v/>
      </c>
      <c r="M15" s="34">
        <f t="shared" si="1"/>
        <v>0</v>
      </c>
      <c r="N15" s="42" t="s">
        <v>63</v>
      </c>
      <c r="O15" s="42" t="s">
        <v>63</v>
      </c>
      <c r="P15" s="42" t="s">
        <v>63</v>
      </c>
      <c r="Q15" s="42" t="s">
        <v>63</v>
      </c>
      <c r="R15" s="42" t="s">
        <v>63</v>
      </c>
      <c r="S15" s="42" t="s">
        <v>63</v>
      </c>
      <c r="T15" s="42" t="s">
        <v>63</v>
      </c>
      <c r="U15" s="42" t="s">
        <v>63</v>
      </c>
      <c r="V15" s="42" t="s">
        <v>63</v>
      </c>
      <c r="W15" s="42" t="s">
        <v>63</v>
      </c>
      <c r="X15" s="42" t="s">
        <v>63</v>
      </c>
      <c r="Y15" s="42" t="s">
        <v>63</v>
      </c>
      <c r="Z15" s="42" t="s">
        <v>63</v>
      </c>
      <c r="AA15" s="43" t="s">
        <v>63</v>
      </c>
      <c r="AB15" s="42" t="s">
        <v>63</v>
      </c>
      <c r="AC15" s="42"/>
      <c r="AD15" s="42" t="s">
        <v>63</v>
      </c>
      <c r="AE15" s="42" t="s">
        <v>63</v>
      </c>
      <c r="AF15" s="42" t="s">
        <v>63</v>
      </c>
      <c r="AG15" s="42" t="s">
        <v>63</v>
      </c>
      <c r="AH15" s="42" t="s">
        <v>63</v>
      </c>
      <c r="AI15" s="42"/>
      <c r="AJ15" s="42" t="s">
        <v>63</v>
      </c>
      <c r="AK15" s="42"/>
      <c r="AL15" s="42" t="s">
        <v>63</v>
      </c>
      <c r="AM15" s="42"/>
      <c r="AN15" s="42" t="s">
        <v>63</v>
      </c>
      <c r="AO15" s="42" t="s">
        <v>63</v>
      </c>
      <c r="AP15" s="42" t="s">
        <v>63</v>
      </c>
      <c r="AQ15" s="42" t="s">
        <v>63</v>
      </c>
      <c r="AR15" s="42"/>
      <c r="AS15" s="42" t="s">
        <v>63</v>
      </c>
      <c r="AT15" s="42" t="s">
        <v>63</v>
      </c>
      <c r="AU15" s="42"/>
      <c r="AV15" s="42"/>
      <c r="AW15" s="42" t="s">
        <v>63</v>
      </c>
      <c r="AX15" s="42" t="s">
        <v>63</v>
      </c>
      <c r="AY15" s="42" t="s">
        <v>63</v>
      </c>
      <c r="AZ15" s="42" t="s">
        <v>63</v>
      </c>
      <c r="BA15" s="42"/>
      <c r="BB15" s="42" t="s">
        <v>63</v>
      </c>
      <c r="BC15" s="42" t="s">
        <v>63</v>
      </c>
      <c r="BD15" s="42" t="s">
        <v>63</v>
      </c>
      <c r="BE15" s="42" t="s">
        <v>63</v>
      </c>
      <c r="BF15" s="42" t="s">
        <v>63</v>
      </c>
      <c r="BG15" s="42" t="s">
        <v>63</v>
      </c>
      <c r="BH15" s="42" t="s">
        <v>63</v>
      </c>
      <c r="BI15" s="42" t="s">
        <v>63</v>
      </c>
      <c r="BJ15" s="42" t="s">
        <v>63</v>
      </c>
      <c r="BK15" s="42" t="s">
        <v>63</v>
      </c>
      <c r="BL15" s="42" t="s">
        <v>63</v>
      </c>
    </row>
    <row r="16" spans="1:64">
      <c r="A16" s="33" t="s">
        <v>1176</v>
      </c>
      <c r="B16" s="34" t="s">
        <v>451</v>
      </c>
      <c r="C16" s="34" t="s">
        <v>451</v>
      </c>
      <c r="D16" s="33" t="s">
        <v>452</v>
      </c>
      <c r="E16" s="34">
        <f>IF(_xlfn.IFNA(VLOOKUP(B16,Data!B:G,3,FALSE),"")=0, "", _xlfn.IFNA(VLOOKUP(B16,Data!B:G,3,FALSE),""))</f>
        <v>3</v>
      </c>
      <c r="F16" s="66" t="s">
        <v>106</v>
      </c>
      <c r="H16" s="66" t="str">
        <f>IF(_xlfn.IFNA(VLOOKUP(C16,Data!A:G,5,FALSE),"")=0, "Check course registration information", _xlfn.IFNA(VLOOKUP(C16,Data!A:G,5,FALSE),""))</f>
        <v>CHE 37800</v>
      </c>
      <c r="J16" s="33" t="str">
        <f>IF(_xlfn.IFNA(VLOOKUP(C16,Data!A:G,6,FALSE),"")=0, "Check course registration information", _xlfn.IFNA(VLOOKUP(C16,Data!A:G,6,FALSE),""))</f>
        <v>Continuation of CHE 37700 and 37800. Topics in fluid mechanics, heat transfer and mass transfer including unsteady state transport problems, stream functions, potential flow, hydrodynamic and thermal layers, turbulence, and multicomponent diffusion</v>
      </c>
      <c r="K16" s="33" t="str">
        <f>IF(_xlfn.IFNA(VLOOKUP(C16,Data!A:H,7,FALSE),"")=0, "", _xlfn.IFNA(HYPERLINK(VLOOKUP(C16,Data!A:H,7,FALSE),"Catalog Link"),""))</f>
        <v>Catalog Link</v>
      </c>
      <c r="L16" s="33" t="str">
        <f>IF(_xlfn.IFNA(VLOOKUP(C16,Data!A:I,8,FALSE),"")=0, "", _xlfn.IFNA(HYPERLINK(VLOOKUP(C16,Data!A:I,8,FALSE),"Additional Information"),""))</f>
        <v/>
      </c>
      <c r="M16" s="34">
        <f t="shared" si="1"/>
        <v>3</v>
      </c>
      <c r="N16" s="42" t="s">
        <v>63</v>
      </c>
      <c r="O16" s="42" t="s">
        <v>63</v>
      </c>
      <c r="P16" s="42" t="s">
        <v>63</v>
      </c>
      <c r="Q16" s="42" t="s">
        <v>63</v>
      </c>
      <c r="R16" s="42" t="s">
        <v>63</v>
      </c>
      <c r="S16" s="42" t="s">
        <v>63</v>
      </c>
      <c r="T16" s="42" t="s">
        <v>63</v>
      </c>
      <c r="U16" s="42" t="s">
        <v>63</v>
      </c>
      <c r="V16" s="42" t="s">
        <v>64</v>
      </c>
      <c r="W16" s="42" t="s">
        <v>63</v>
      </c>
      <c r="X16" s="42" t="s">
        <v>63</v>
      </c>
      <c r="Y16" s="42" t="s">
        <v>63</v>
      </c>
      <c r="Z16" s="42" t="s">
        <v>63</v>
      </c>
      <c r="AA16" s="42" t="s">
        <v>63</v>
      </c>
      <c r="AB16" s="42" t="s">
        <v>63</v>
      </c>
      <c r="AC16" s="42"/>
      <c r="AD16" s="42" t="s">
        <v>63</v>
      </c>
      <c r="AE16" s="42" t="s">
        <v>63</v>
      </c>
      <c r="AF16" s="42" t="s">
        <v>63</v>
      </c>
      <c r="AG16" s="42" t="s">
        <v>63</v>
      </c>
      <c r="AH16" s="42" t="s">
        <v>64</v>
      </c>
      <c r="AI16" s="42"/>
      <c r="AJ16" s="42" t="s">
        <v>63</v>
      </c>
      <c r="AK16" s="42"/>
      <c r="AL16" s="42" t="s">
        <v>63</v>
      </c>
      <c r="AM16" s="42"/>
      <c r="AN16" s="42" t="s">
        <v>63</v>
      </c>
      <c r="AO16" s="42" t="s">
        <v>63</v>
      </c>
      <c r="AP16" s="42" t="s">
        <v>63</v>
      </c>
      <c r="AQ16" s="42" t="s">
        <v>63</v>
      </c>
      <c r="AR16" s="42"/>
      <c r="AS16" s="42" t="s">
        <v>63</v>
      </c>
      <c r="AT16" s="42" t="s">
        <v>63</v>
      </c>
      <c r="AU16" s="42"/>
      <c r="AV16" s="42"/>
      <c r="AW16" s="42" t="s">
        <v>63</v>
      </c>
      <c r="AX16" s="42" t="s">
        <v>63</v>
      </c>
      <c r="AY16" s="42" t="s">
        <v>63</v>
      </c>
      <c r="AZ16" s="42" t="s">
        <v>63</v>
      </c>
      <c r="BA16" s="42"/>
      <c r="BB16" s="42" t="s">
        <v>63</v>
      </c>
      <c r="BC16" s="42" t="s">
        <v>63</v>
      </c>
      <c r="BD16" s="42" t="s">
        <v>63</v>
      </c>
      <c r="BE16" s="42" t="s">
        <v>63</v>
      </c>
      <c r="BF16" s="42" t="s">
        <v>63</v>
      </c>
      <c r="BG16" s="42" t="s">
        <v>63</v>
      </c>
      <c r="BH16" s="42" t="s">
        <v>63</v>
      </c>
      <c r="BI16" s="42" t="s">
        <v>64</v>
      </c>
      <c r="BJ16" s="42" t="s">
        <v>63</v>
      </c>
      <c r="BK16" s="42" t="s">
        <v>63</v>
      </c>
      <c r="BL16" s="42" t="s">
        <v>63</v>
      </c>
    </row>
    <row r="17" spans="1:64" s="36" customFormat="1" ht="15.75">
      <c r="A17" s="33" t="s">
        <v>1177</v>
      </c>
      <c r="B17" s="34" t="s">
        <v>93</v>
      </c>
      <c r="C17" s="34" t="s">
        <v>93</v>
      </c>
      <c r="D17" s="33" t="s">
        <v>94</v>
      </c>
      <c r="E17" s="34">
        <f>IF(_xlfn.IFNA(VLOOKUP(B17,Data!B:G,3,FALSE),"")=0, "", _xlfn.IFNA(VLOOKUP(B17,Data!B:G,3,FALSE),""))</f>
        <v>3</v>
      </c>
      <c r="F17" s="33" t="s">
        <v>1175</v>
      </c>
      <c r="G17" s="33"/>
      <c r="H17" s="33" t="str">
        <f>IF(_xlfn.IFNA(VLOOKUP(C17,Data!A:G,5,FALSE),"")=0, "Check course registration information", _xlfn.IFNA(VLOOKUP(C17,Data!A:G,5,FALSE),""))</f>
        <v>CHE 34800</v>
      </c>
      <c r="I17" s="33"/>
      <c r="J17" s="33" t="str">
        <f>IF(_xlfn.IFNA(VLOOKUP(C17,Data!A:G,6,FALSE),"")=0, "Check course registration information", _xlfn.IFNA(VLOOKUP(C17,Data!A:G,6,FALSE),""))</f>
        <v>Polymerization kinetics, polycondensation, gelation, radical polymerization, ionic polymerization, copolymerizations, Ziegler-Natta polymerizations, polymerization in bulk, solution, suspension and emulsion, modeling, stochastic processes, Z-transforms, batch, CSTR and tubular reactors, stability analysis, computer control, separation, and drying</v>
      </c>
      <c r="K17" s="33" t="str">
        <f>IF(_xlfn.IFNA(VLOOKUP(C17,Data!A:H,7,FALSE),"")=0, "", _xlfn.IFNA(HYPERLINK(VLOOKUP(C17,Data!A:H,7,FALSE),"Catalog Link"),""))</f>
        <v>Catalog Link</v>
      </c>
      <c r="L17" s="33" t="str">
        <f>IF(_xlfn.IFNA(VLOOKUP(C17,Data!A:I,8,FALSE),"")=0, "", _xlfn.IFNA(HYPERLINK(VLOOKUP(C17,Data!A:I,8,FALSE),"Additional Information"),""))</f>
        <v/>
      </c>
      <c r="M17" s="34">
        <f t="shared" si="1"/>
        <v>2</v>
      </c>
      <c r="N17" s="42" t="s">
        <v>63</v>
      </c>
      <c r="O17" s="42" t="s">
        <v>63</v>
      </c>
      <c r="P17" s="42" t="s">
        <v>63</v>
      </c>
      <c r="Q17" s="42" t="s">
        <v>63</v>
      </c>
      <c r="R17" s="42" t="s">
        <v>63</v>
      </c>
      <c r="S17" s="42" t="s">
        <v>63</v>
      </c>
      <c r="T17" s="42" t="s">
        <v>63</v>
      </c>
      <c r="U17" s="42" t="s">
        <v>63</v>
      </c>
      <c r="V17" s="42" t="s">
        <v>63</v>
      </c>
      <c r="W17" s="42" t="s">
        <v>64</v>
      </c>
      <c r="X17" s="42" t="s">
        <v>63</v>
      </c>
      <c r="Y17" s="42" t="s">
        <v>63</v>
      </c>
      <c r="Z17" s="42" t="s">
        <v>63</v>
      </c>
      <c r="AA17" s="43" t="s">
        <v>63</v>
      </c>
      <c r="AB17" s="42" t="s">
        <v>63</v>
      </c>
      <c r="AC17" s="42"/>
      <c r="AD17" s="42" t="s">
        <v>63</v>
      </c>
      <c r="AE17" s="42" t="s">
        <v>63</v>
      </c>
      <c r="AF17" s="42" t="s">
        <v>63</v>
      </c>
      <c r="AG17" s="42" t="s">
        <v>63</v>
      </c>
      <c r="AH17" s="42" t="s">
        <v>63</v>
      </c>
      <c r="AI17" s="42"/>
      <c r="AJ17" s="42" t="s">
        <v>63</v>
      </c>
      <c r="AK17" s="42"/>
      <c r="AL17" s="42" t="s">
        <v>63</v>
      </c>
      <c r="AM17" s="42"/>
      <c r="AN17" s="42" t="s">
        <v>63</v>
      </c>
      <c r="AO17" s="42" t="s">
        <v>63</v>
      </c>
      <c r="AP17" s="42" t="s">
        <v>63</v>
      </c>
      <c r="AQ17" s="42" t="s">
        <v>63</v>
      </c>
      <c r="AR17" s="42"/>
      <c r="AS17" s="42" t="s">
        <v>63</v>
      </c>
      <c r="AT17" s="42" t="s">
        <v>63</v>
      </c>
      <c r="AU17" s="42"/>
      <c r="AV17" s="42"/>
      <c r="AW17" s="42" t="s">
        <v>63</v>
      </c>
      <c r="AX17" s="42" t="s">
        <v>63</v>
      </c>
      <c r="AY17" s="42" t="s">
        <v>63</v>
      </c>
      <c r="AZ17" s="42" t="s">
        <v>63</v>
      </c>
      <c r="BA17" s="42"/>
      <c r="BB17" s="42" t="s">
        <v>63</v>
      </c>
      <c r="BC17" s="42" t="s">
        <v>63</v>
      </c>
      <c r="BD17" s="42" t="s">
        <v>63</v>
      </c>
      <c r="BE17" s="42" t="s">
        <v>63</v>
      </c>
      <c r="BF17" s="42" t="s">
        <v>64</v>
      </c>
      <c r="BG17" s="42" t="s">
        <v>63</v>
      </c>
      <c r="BH17" s="42" t="s">
        <v>63</v>
      </c>
      <c r="BI17" s="42" t="s">
        <v>63</v>
      </c>
      <c r="BJ17" s="42" t="s">
        <v>63</v>
      </c>
      <c r="BK17" s="42" t="s">
        <v>63</v>
      </c>
      <c r="BL17" s="42" t="s">
        <v>63</v>
      </c>
    </row>
    <row r="18" spans="1:64">
      <c r="A18" s="33" t="s">
        <v>1176</v>
      </c>
      <c r="B18" s="34" t="s">
        <v>453</v>
      </c>
      <c r="C18" s="34" t="s">
        <v>453</v>
      </c>
      <c r="D18" s="33" t="s">
        <v>454</v>
      </c>
      <c r="E18" s="34">
        <f>IF(_xlfn.IFNA(VLOOKUP(B18,Data!B:G,3,FALSE),"")=0, "", _xlfn.IFNA(VLOOKUP(B18,Data!B:G,3,FALSE),""))</f>
        <v>3</v>
      </c>
      <c r="F18" s="66" t="s">
        <v>106</v>
      </c>
      <c r="H18" s="66" t="str">
        <f>IF(_xlfn.IFNA(VLOOKUP(C18,Data!A:G,5,FALSE),"")=0, "Check course registration information", _xlfn.IFNA(VLOOKUP(C18,Data!A:G,5,FALSE),""))</f>
        <v>CHM 26200 or CHM 37000</v>
      </c>
      <c r="J18" s="33" t="str">
        <f>IF(_xlfn.IFNA(VLOOKUP(C18,Data!A:G,6,FALSE),"")=0, "Check course registration information", _xlfn.IFNA(VLOOKUP(C18,Data!A:G,6,FALSE),""))</f>
        <v>Statistical mechanics of chain molecules, thermodynamics of polymer solutions, phase separations, experimental methods of molecular weight determination, crystallization of polymers, polymer physics, rubber elasticity, viscoelasticity</v>
      </c>
      <c r="K18" s="33" t="str">
        <f>IF(_xlfn.IFNA(VLOOKUP(C18,Data!A:H,7,FALSE),"")=0, "", _xlfn.IFNA(HYPERLINK(VLOOKUP(C18,Data!A:H,7,FALSE),"Catalog Link"),""))</f>
        <v>Catalog Link</v>
      </c>
      <c r="L18" s="33" t="str">
        <f>IF(_xlfn.IFNA(VLOOKUP(C18,Data!A:I,8,FALSE),"")=0, "", _xlfn.IFNA(HYPERLINK(VLOOKUP(C18,Data!A:I,8,FALSE),"Additional Information"),""))</f>
        <v/>
      </c>
      <c r="M18" s="34">
        <f t="shared" si="1"/>
        <v>5</v>
      </c>
      <c r="N18" s="42" t="s">
        <v>63</v>
      </c>
      <c r="O18" s="42" t="s">
        <v>63</v>
      </c>
      <c r="P18" s="42" t="s">
        <v>63</v>
      </c>
      <c r="Q18" s="42" t="s">
        <v>63</v>
      </c>
      <c r="R18" s="42" t="s">
        <v>63</v>
      </c>
      <c r="S18" s="42" t="s">
        <v>64</v>
      </c>
      <c r="T18" s="42" t="s">
        <v>63</v>
      </c>
      <c r="U18" s="42" t="s">
        <v>63</v>
      </c>
      <c r="V18" s="42" t="s">
        <v>63</v>
      </c>
      <c r="W18" s="42" t="s">
        <v>64</v>
      </c>
      <c r="X18" s="42" t="s">
        <v>63</v>
      </c>
      <c r="Y18" s="42" t="s">
        <v>63</v>
      </c>
      <c r="Z18" s="42" t="s">
        <v>63</v>
      </c>
      <c r="AA18" s="42" t="s">
        <v>63</v>
      </c>
      <c r="AB18" s="42" t="s">
        <v>63</v>
      </c>
      <c r="AC18" s="42"/>
      <c r="AD18" s="42" t="s">
        <v>63</v>
      </c>
      <c r="AE18" s="42" t="s">
        <v>63</v>
      </c>
      <c r="AF18" s="42" t="s">
        <v>63</v>
      </c>
      <c r="AG18" s="42" t="s">
        <v>63</v>
      </c>
      <c r="AH18" s="42" t="s">
        <v>64</v>
      </c>
      <c r="AI18" s="42" t="s">
        <v>64</v>
      </c>
      <c r="AJ18" s="42" t="s">
        <v>63</v>
      </c>
      <c r="AK18" s="42"/>
      <c r="AL18" s="42" t="s">
        <v>63</v>
      </c>
      <c r="AM18" s="42"/>
      <c r="AN18" s="42" t="s">
        <v>63</v>
      </c>
      <c r="AO18" s="42" t="s">
        <v>63</v>
      </c>
      <c r="AP18" s="42" t="s">
        <v>63</v>
      </c>
      <c r="AQ18" s="42" t="s">
        <v>63</v>
      </c>
      <c r="AR18" s="42"/>
      <c r="AS18" s="42" t="s">
        <v>63</v>
      </c>
      <c r="AT18" s="42" t="s">
        <v>63</v>
      </c>
      <c r="AU18" s="42"/>
      <c r="AV18" s="42"/>
      <c r="AW18" s="42" t="s">
        <v>63</v>
      </c>
      <c r="AX18" s="42" t="s">
        <v>63</v>
      </c>
      <c r="AY18" s="42" t="s">
        <v>63</v>
      </c>
      <c r="AZ18" s="42" t="s">
        <v>63</v>
      </c>
      <c r="BA18" s="42"/>
      <c r="BB18" s="42" t="s">
        <v>63</v>
      </c>
      <c r="BC18" s="42" t="s">
        <v>63</v>
      </c>
      <c r="BD18" s="42" t="s">
        <v>63</v>
      </c>
      <c r="BE18" s="42" t="s">
        <v>63</v>
      </c>
      <c r="BF18" s="42" t="s">
        <v>64</v>
      </c>
      <c r="BG18" s="42" t="s">
        <v>63</v>
      </c>
      <c r="BH18" s="42" t="s">
        <v>63</v>
      </c>
      <c r="BI18" s="42" t="s">
        <v>63</v>
      </c>
      <c r="BJ18" s="42" t="s">
        <v>63</v>
      </c>
      <c r="BK18" s="42" t="s">
        <v>63</v>
      </c>
      <c r="BL18" s="42" t="s">
        <v>63</v>
      </c>
    </row>
    <row r="19" spans="1:64" s="36" customFormat="1" ht="15.75">
      <c r="A19" s="33" t="s">
        <v>1177</v>
      </c>
      <c r="B19" s="34" t="s">
        <v>98</v>
      </c>
      <c r="C19" s="34" t="s">
        <v>98</v>
      </c>
      <c r="D19" s="33" t="s">
        <v>99</v>
      </c>
      <c r="E19" s="34">
        <f>IF(_xlfn.IFNA(VLOOKUP(B19,Data!B:G,3,FALSE),"")=0, "", _xlfn.IFNA(VLOOKUP(B19,Data!B:G,3,FALSE),""))</f>
        <v>3</v>
      </c>
      <c r="F19" s="33" t="s">
        <v>1175</v>
      </c>
      <c r="G19" s="33"/>
      <c r="H19" s="33" t="str">
        <f>IF(_xlfn.IFNA(VLOOKUP(C19,Data!A:G,5,FALSE),"")=0, "Check course registration information", _xlfn.IFNA(VLOOKUP(C19,Data!A:G,5,FALSE),""))</f>
        <v>Senior status and above</v>
      </c>
      <c r="I19" s="33"/>
      <c r="J19" s="33" t="str">
        <f>IF(_xlfn.IFNA(VLOOKUP(C19,Data!A:G,6,FALSE),"")=0, "Check course registration information", _xlfn.IFNA(VLOOKUP(C19,Data!A:G,6,FALSE),""))</f>
        <v>Survey of the basic computational tools for solving nonlinear constrained and unconstrained optimization problems. Emphasis on methods applicable to problems arising in chemical plant design, process operations and scheduling, parameter estimation, and waste energy reutilization</v>
      </c>
      <c r="K19" s="33" t="str">
        <f>IF(_xlfn.IFNA(VLOOKUP(C19,Data!A:H,7,FALSE),"")=0, "", _xlfn.IFNA(HYPERLINK(VLOOKUP(C19,Data!A:H,7,FALSE),"Catalog Link"),""))</f>
        <v>Catalog Link</v>
      </c>
      <c r="L19" s="33" t="str">
        <f>IF(_xlfn.IFNA(VLOOKUP(C19,Data!A:I,8,FALSE),"")=0, "", _xlfn.IFNA(HYPERLINK(VLOOKUP(C19,Data!A:I,8,FALSE),"Additional Information"),""))</f>
        <v/>
      </c>
      <c r="M19" s="34">
        <f t="shared" si="1"/>
        <v>2</v>
      </c>
      <c r="N19" s="42" t="s">
        <v>63</v>
      </c>
      <c r="O19" s="42" t="s">
        <v>64</v>
      </c>
      <c r="P19" s="42" t="s">
        <v>63</v>
      </c>
      <c r="Q19" s="42" t="s">
        <v>63</v>
      </c>
      <c r="R19" s="42" t="s">
        <v>63</v>
      </c>
      <c r="S19" s="42" t="s">
        <v>63</v>
      </c>
      <c r="T19" s="42" t="s">
        <v>63</v>
      </c>
      <c r="U19" s="42" t="s">
        <v>63</v>
      </c>
      <c r="V19" s="42" t="s">
        <v>63</v>
      </c>
      <c r="W19" s="42" t="s">
        <v>63</v>
      </c>
      <c r="X19" s="42" t="s">
        <v>63</v>
      </c>
      <c r="Y19" s="42" t="s">
        <v>63</v>
      </c>
      <c r="Z19" s="42" t="s">
        <v>63</v>
      </c>
      <c r="AA19" s="43" t="s">
        <v>63</v>
      </c>
      <c r="AB19" s="42" t="s">
        <v>63</v>
      </c>
      <c r="AC19" s="42"/>
      <c r="AD19" s="42" t="s">
        <v>63</v>
      </c>
      <c r="AE19" s="42" t="s">
        <v>63</v>
      </c>
      <c r="AF19" s="42" t="s">
        <v>63</v>
      </c>
      <c r="AG19" s="42" t="s">
        <v>63</v>
      </c>
      <c r="AH19" s="42" t="s">
        <v>63</v>
      </c>
      <c r="AI19" s="42"/>
      <c r="AJ19" s="42" t="s">
        <v>63</v>
      </c>
      <c r="AK19" s="42"/>
      <c r="AL19" s="42" t="s">
        <v>63</v>
      </c>
      <c r="AM19" s="42"/>
      <c r="AN19" s="42" t="s">
        <v>63</v>
      </c>
      <c r="AO19" s="42" t="s">
        <v>63</v>
      </c>
      <c r="AP19" s="42" t="s">
        <v>63</v>
      </c>
      <c r="AQ19" s="42" t="s">
        <v>63</v>
      </c>
      <c r="AR19" s="42"/>
      <c r="AS19" s="42" t="s">
        <v>64</v>
      </c>
      <c r="AT19" s="42" t="s">
        <v>63</v>
      </c>
      <c r="AU19" s="42"/>
      <c r="AV19" s="42"/>
      <c r="AW19" s="42" t="s">
        <v>63</v>
      </c>
      <c r="AX19" s="42" t="s">
        <v>63</v>
      </c>
      <c r="AY19" s="42" t="s">
        <v>63</v>
      </c>
      <c r="AZ19" s="42" t="s">
        <v>63</v>
      </c>
      <c r="BA19" s="42"/>
      <c r="BB19" s="42" t="s">
        <v>63</v>
      </c>
      <c r="BC19" s="42" t="s">
        <v>63</v>
      </c>
      <c r="BD19" s="42" t="s">
        <v>63</v>
      </c>
      <c r="BE19" s="42" t="s">
        <v>63</v>
      </c>
      <c r="BF19" s="42" t="s">
        <v>63</v>
      </c>
      <c r="BG19" s="42" t="s">
        <v>63</v>
      </c>
      <c r="BH19" s="42" t="s">
        <v>63</v>
      </c>
      <c r="BI19" s="42" t="s">
        <v>63</v>
      </c>
      <c r="BJ19" s="42" t="s">
        <v>63</v>
      </c>
      <c r="BK19" s="42" t="s">
        <v>63</v>
      </c>
      <c r="BL19" s="42" t="s">
        <v>63</v>
      </c>
    </row>
    <row r="20" spans="1:64" s="36" customFormat="1" ht="15.75">
      <c r="A20" s="33" t="s">
        <v>1177</v>
      </c>
      <c r="B20" s="34" t="s">
        <v>100</v>
      </c>
      <c r="C20" s="34" t="s">
        <v>100</v>
      </c>
      <c r="D20" s="33" t="s">
        <v>101</v>
      </c>
      <c r="E20" s="34">
        <f>IF(_xlfn.IFNA(VLOOKUP(B20,Data!B:G,3,FALSE),"")=0, "", _xlfn.IFNA(VLOOKUP(B20,Data!B:G,3,FALSE),""))</f>
        <v>3</v>
      </c>
      <c r="F20" s="33" t="s">
        <v>1175</v>
      </c>
      <c r="G20" s="33"/>
      <c r="H20" s="33" t="str">
        <f>IF(_xlfn.IFNA(VLOOKUP(C20,Data!A:G,5,FALSE),"")=0, "Check course registration information", _xlfn.IFNA(VLOOKUP(C20,Data!A:G,5,FALSE),""))</f>
        <v>Senior status and above</v>
      </c>
      <c r="I20" s="33"/>
      <c r="J20" s="33" t="str">
        <f>IF(_xlfn.IFNA(VLOOKUP(C20,Data!A:G,6,FALSE),"")=0, "Check course registration information", _xlfn.IFNA(VLOOKUP(C20,Data!A:G,6,FALSE),""))</f>
        <v>Introduction to computer-aided process operations management. Topics include: process monitoring, regulatory control, data reconciliation, unit and plant-wide optimization, process fault diagnosis, supervisory control, planning, and scheduling. A design project involving a unified application of the presented methodologies is taken from a published industrial benchmark problem</v>
      </c>
      <c r="K20" s="33" t="str">
        <f>IF(_xlfn.IFNA(VLOOKUP(C20,Data!A:H,7,FALSE),"")=0, "", _xlfn.IFNA(HYPERLINK(VLOOKUP(C20,Data!A:H,7,FALSE),"Catalog Link"),""))</f>
        <v>Catalog Link</v>
      </c>
      <c r="L20" s="33" t="str">
        <f>IF(_xlfn.IFNA(VLOOKUP(C20,Data!A:I,8,FALSE),"")=0, "", _xlfn.IFNA(HYPERLINK(VLOOKUP(C20,Data!A:I,8,FALSE),"Additional Information"),""))</f>
        <v/>
      </c>
      <c r="M20" s="34">
        <f t="shared" si="1"/>
        <v>2</v>
      </c>
      <c r="N20" s="42" t="s">
        <v>63</v>
      </c>
      <c r="O20" s="42" t="s">
        <v>64</v>
      </c>
      <c r="P20" s="42" t="s">
        <v>63</v>
      </c>
      <c r="Q20" s="42" t="s">
        <v>63</v>
      </c>
      <c r="R20" s="42" t="s">
        <v>63</v>
      </c>
      <c r="S20" s="42" t="s">
        <v>63</v>
      </c>
      <c r="T20" s="42" t="s">
        <v>63</v>
      </c>
      <c r="U20" s="42" t="s">
        <v>63</v>
      </c>
      <c r="V20" s="42" t="s">
        <v>63</v>
      </c>
      <c r="W20" s="42" t="s">
        <v>63</v>
      </c>
      <c r="X20" s="42" t="s">
        <v>63</v>
      </c>
      <c r="Y20" s="42" t="s">
        <v>63</v>
      </c>
      <c r="Z20" s="42" t="s">
        <v>63</v>
      </c>
      <c r="AA20" s="43" t="s">
        <v>63</v>
      </c>
      <c r="AB20" s="42" t="s">
        <v>63</v>
      </c>
      <c r="AC20" s="42"/>
      <c r="AD20" s="42" t="s">
        <v>63</v>
      </c>
      <c r="AE20" s="42" t="s">
        <v>63</v>
      </c>
      <c r="AF20" s="42" t="s">
        <v>63</v>
      </c>
      <c r="AG20" s="42" t="s">
        <v>63</v>
      </c>
      <c r="AH20" s="42" t="s">
        <v>63</v>
      </c>
      <c r="AI20" s="42"/>
      <c r="AJ20" s="42" t="s">
        <v>63</v>
      </c>
      <c r="AK20" s="42"/>
      <c r="AL20" s="42" t="s">
        <v>63</v>
      </c>
      <c r="AM20" s="42"/>
      <c r="AN20" s="42" t="s">
        <v>63</v>
      </c>
      <c r="AO20" s="42" t="s">
        <v>63</v>
      </c>
      <c r="AP20" s="42" t="s">
        <v>63</v>
      </c>
      <c r="AQ20" s="42" t="s">
        <v>63</v>
      </c>
      <c r="AR20" s="42"/>
      <c r="AS20" s="42" t="s">
        <v>64</v>
      </c>
      <c r="AT20" s="42" t="s">
        <v>63</v>
      </c>
      <c r="AU20" s="42"/>
      <c r="AV20" s="42"/>
      <c r="AW20" s="42" t="s">
        <v>63</v>
      </c>
      <c r="AX20" s="42" t="s">
        <v>63</v>
      </c>
      <c r="AY20" s="42"/>
      <c r="AZ20" s="42" t="s">
        <v>63</v>
      </c>
      <c r="BA20" s="42"/>
      <c r="BB20" s="42" t="s">
        <v>63</v>
      </c>
      <c r="BC20" s="42" t="s">
        <v>63</v>
      </c>
      <c r="BD20" s="42" t="s">
        <v>63</v>
      </c>
      <c r="BE20" s="42" t="s">
        <v>63</v>
      </c>
      <c r="BF20" s="42" t="s">
        <v>63</v>
      </c>
      <c r="BG20" s="42" t="s">
        <v>63</v>
      </c>
      <c r="BH20" s="42" t="s">
        <v>63</v>
      </c>
      <c r="BI20" s="42" t="s">
        <v>63</v>
      </c>
      <c r="BJ20" s="42" t="s">
        <v>63</v>
      </c>
      <c r="BK20" s="42" t="s">
        <v>63</v>
      </c>
      <c r="BL20" s="42" t="s">
        <v>63</v>
      </c>
    </row>
    <row r="21" spans="1:64" s="36" customFormat="1" ht="15.75">
      <c r="A21" s="33" t="s">
        <v>1177</v>
      </c>
      <c r="B21" s="34" t="s">
        <v>102</v>
      </c>
      <c r="C21" s="34" t="s">
        <v>102</v>
      </c>
      <c r="D21" s="33" t="s">
        <v>103</v>
      </c>
      <c r="E21" s="34">
        <f>IF(_xlfn.IFNA(VLOOKUP(B21,Data!B:G,3,FALSE),"")=0, "", _xlfn.IFNA(VLOOKUP(B21,Data!B:G,3,FALSE),""))</f>
        <v>3</v>
      </c>
      <c r="F21" s="33" t="s">
        <v>1175</v>
      </c>
      <c r="G21" s="33"/>
      <c r="H21" s="33" t="str">
        <f>IF(_xlfn.IFNA(VLOOKUP(C21,Data!A:G,5,FALSE),"")=0, "Check course registration information", _xlfn.IFNA(VLOOKUP(C21,Data!A:G,5,FALSE),""))</f>
        <v>Senior status and above</v>
      </c>
      <c r="I21" s="33"/>
      <c r="J21" s="33" t="str">
        <f>IF(_xlfn.IFNA(VLOOKUP(C21,Data!A:G,6,FALSE),"")=0, "Check course registration information", _xlfn.IFNA(VLOOKUP(C21,Data!A:G,6,FALSE),""))</f>
        <v>Introduction to artificial intelligence concepts and techniques and their application to important problems in process systems engineering. Topics covered include: introduction to artificial intelligence, knowledge representation and search, knowledge-based systems, neural networks, genetic algorithms, inexact reasoning techniques, industrial case studies in process fault diagnosis and control, design and synthesis, planning and scheduling, AI languages, tools, and environments</v>
      </c>
      <c r="K21" s="33" t="str">
        <f>IF(_xlfn.IFNA(VLOOKUP(C21,Data!A:H,7,FALSE),"")=0, "", _xlfn.IFNA(HYPERLINK(VLOOKUP(C21,Data!A:H,7,FALSE),"Catalog Link"),""))</f>
        <v>Catalog Link</v>
      </c>
      <c r="L21" s="33" t="str">
        <f>IF(_xlfn.IFNA(VLOOKUP(C21,Data!A:I,8,FALSE),"")=0, "", _xlfn.IFNA(HYPERLINK(VLOOKUP(C21,Data!A:I,8,FALSE),"Additional Information"),""))</f>
        <v/>
      </c>
      <c r="M21" s="34">
        <f t="shared" si="1"/>
        <v>0</v>
      </c>
      <c r="N21" s="42" t="s">
        <v>63</v>
      </c>
      <c r="O21" s="42" t="s">
        <v>63</v>
      </c>
      <c r="P21" s="42" t="s">
        <v>63</v>
      </c>
      <c r="Q21" s="42" t="s">
        <v>63</v>
      </c>
      <c r="R21" s="42" t="s">
        <v>63</v>
      </c>
      <c r="S21" s="42" t="s">
        <v>63</v>
      </c>
      <c r="T21" s="42" t="s">
        <v>63</v>
      </c>
      <c r="U21" s="42" t="s">
        <v>63</v>
      </c>
      <c r="V21" s="42" t="s">
        <v>63</v>
      </c>
      <c r="W21" s="42" t="s">
        <v>63</v>
      </c>
      <c r="X21" s="42" t="s">
        <v>63</v>
      </c>
      <c r="Y21" s="42" t="s">
        <v>63</v>
      </c>
      <c r="Z21" s="42" t="s">
        <v>63</v>
      </c>
      <c r="AA21" s="43" t="s">
        <v>63</v>
      </c>
      <c r="AB21" s="42" t="s">
        <v>63</v>
      </c>
      <c r="AC21" s="42"/>
      <c r="AD21" s="42" t="s">
        <v>63</v>
      </c>
      <c r="AE21" s="42" t="s">
        <v>63</v>
      </c>
      <c r="AF21" s="42" t="s">
        <v>63</v>
      </c>
      <c r="AG21" s="42" t="s">
        <v>63</v>
      </c>
      <c r="AH21" s="42" t="s">
        <v>63</v>
      </c>
      <c r="AI21" s="42"/>
      <c r="AJ21" s="42" t="s">
        <v>63</v>
      </c>
      <c r="AK21" s="42"/>
      <c r="AL21" s="42" t="s">
        <v>63</v>
      </c>
      <c r="AM21" s="42"/>
      <c r="AN21" s="42" t="s">
        <v>63</v>
      </c>
      <c r="AO21" s="42" t="s">
        <v>63</v>
      </c>
      <c r="AP21" s="42" t="s">
        <v>63</v>
      </c>
      <c r="AQ21" s="42" t="s">
        <v>63</v>
      </c>
      <c r="AR21" s="42"/>
      <c r="AS21" s="42" t="s">
        <v>63</v>
      </c>
      <c r="AT21" s="42" t="s">
        <v>63</v>
      </c>
      <c r="AU21" s="42"/>
      <c r="AV21" s="42"/>
      <c r="AW21" s="42" t="s">
        <v>63</v>
      </c>
      <c r="AX21" s="42" t="s">
        <v>63</v>
      </c>
      <c r="AY21" s="42" t="s">
        <v>63</v>
      </c>
      <c r="AZ21" s="42" t="s">
        <v>63</v>
      </c>
      <c r="BA21" s="42"/>
      <c r="BB21" s="42" t="s">
        <v>63</v>
      </c>
      <c r="BC21" s="42" t="s">
        <v>63</v>
      </c>
      <c r="BD21" s="42" t="s">
        <v>63</v>
      </c>
      <c r="BE21" s="42" t="s">
        <v>63</v>
      </c>
      <c r="BF21" s="42" t="s">
        <v>63</v>
      </c>
      <c r="BG21" s="42" t="s">
        <v>63</v>
      </c>
      <c r="BH21" s="42" t="s">
        <v>63</v>
      </c>
      <c r="BI21" s="42" t="s">
        <v>63</v>
      </c>
      <c r="BJ21" s="42" t="s">
        <v>63</v>
      </c>
      <c r="BK21" s="42" t="s">
        <v>63</v>
      </c>
      <c r="BL21" s="42" t="s">
        <v>63</v>
      </c>
    </row>
    <row r="22" spans="1:64" s="36" customFormat="1" ht="15.75">
      <c r="A22" s="33" t="s">
        <v>1177</v>
      </c>
      <c r="B22" s="34" t="s">
        <v>104</v>
      </c>
      <c r="C22" s="34" t="s">
        <v>104</v>
      </c>
      <c r="D22" s="33" t="s">
        <v>105</v>
      </c>
      <c r="E22" s="34">
        <f>IF(_xlfn.IFNA(VLOOKUP(B22,Data!B:G,3,FALSE),"")=0, "", _xlfn.IFNA(VLOOKUP(B22,Data!B:G,3,FALSE),""))</f>
        <v>3</v>
      </c>
      <c r="F22" s="33" t="s">
        <v>1175</v>
      </c>
      <c r="G22" s="33"/>
      <c r="H22" s="33" t="str">
        <f>IF(_xlfn.IFNA(VLOOKUP(C22,Data!A:G,5,FALSE),"")=0, "Check course registration information", _xlfn.IFNA(VLOOKUP(C22,Data!A:G,5,FALSE),""))</f>
        <v>CHE 30600 or CHE 37800</v>
      </c>
      <c r="I22" s="33"/>
      <c r="J22" s="33" t="str">
        <f>IF(_xlfn.IFNA(VLOOKUP(C22,Data!A:G,6,FALSE),"")=0, "Check course registration information", _xlfn.IFNA(VLOOKUP(C22,Data!A:G,6,FALSE),""))</f>
        <v>Rate-controlled separation processes based on solute movement (adsorption, chromatography and ion exchange), membranes (reverse osmosis, ultrafiltration, and gas permeation), and crystallization</v>
      </c>
      <c r="K22" s="33" t="str">
        <f>IF(_xlfn.IFNA(VLOOKUP(C22,Data!A:H,7,FALSE),"")=0, "", _xlfn.IFNA(HYPERLINK(VLOOKUP(C22,Data!A:H,7,FALSE),"Catalog Link"),""))</f>
        <v>Catalog Link</v>
      </c>
      <c r="L22" s="33" t="str">
        <f>IF(_xlfn.IFNA(VLOOKUP(C22,Data!A:I,8,FALSE),"")=0, "", _xlfn.IFNA(HYPERLINK(VLOOKUP(C22,Data!A:I,8,FALSE),"Additional Information"),""))</f>
        <v/>
      </c>
      <c r="M22" s="34">
        <f t="shared" si="1"/>
        <v>0</v>
      </c>
      <c r="N22" s="42" t="s">
        <v>63</v>
      </c>
      <c r="O22" s="42" t="s">
        <v>63</v>
      </c>
      <c r="P22" s="42" t="s">
        <v>63</v>
      </c>
      <c r="Q22" s="42" t="s">
        <v>63</v>
      </c>
      <c r="R22" s="42" t="s">
        <v>63</v>
      </c>
      <c r="S22" s="42" t="s">
        <v>63</v>
      </c>
      <c r="T22" s="42" t="s">
        <v>63</v>
      </c>
      <c r="U22" s="42" t="s">
        <v>63</v>
      </c>
      <c r="V22" s="42" t="s">
        <v>63</v>
      </c>
      <c r="W22" s="42" t="s">
        <v>63</v>
      </c>
      <c r="X22" s="42" t="s">
        <v>63</v>
      </c>
      <c r="Y22" s="42" t="s">
        <v>63</v>
      </c>
      <c r="Z22" s="42" t="s">
        <v>63</v>
      </c>
      <c r="AA22" s="43" t="s">
        <v>63</v>
      </c>
      <c r="AB22" s="42" t="s">
        <v>63</v>
      </c>
      <c r="AC22" s="42"/>
      <c r="AD22" s="42" t="s">
        <v>63</v>
      </c>
      <c r="AE22" s="42" t="s">
        <v>63</v>
      </c>
      <c r="AF22" s="42" t="s">
        <v>63</v>
      </c>
      <c r="AG22" s="42" t="s">
        <v>63</v>
      </c>
      <c r="AH22" s="42" t="s">
        <v>63</v>
      </c>
      <c r="AI22" s="42"/>
      <c r="AJ22" s="42" t="s">
        <v>63</v>
      </c>
      <c r="AK22" s="42"/>
      <c r="AL22" s="42" t="s">
        <v>63</v>
      </c>
      <c r="AM22" s="42"/>
      <c r="AN22" s="42" t="s">
        <v>63</v>
      </c>
      <c r="AO22" s="42" t="s">
        <v>63</v>
      </c>
      <c r="AP22" s="42" t="s">
        <v>63</v>
      </c>
      <c r="AQ22" s="42" t="s">
        <v>63</v>
      </c>
      <c r="AR22" s="42"/>
      <c r="AS22" s="42" t="s">
        <v>63</v>
      </c>
      <c r="AT22" s="42" t="s">
        <v>63</v>
      </c>
      <c r="AU22" s="42"/>
      <c r="AV22" s="42"/>
      <c r="AW22" s="42" t="s">
        <v>63</v>
      </c>
      <c r="AX22" s="42" t="s">
        <v>63</v>
      </c>
      <c r="AY22" s="42" t="s">
        <v>63</v>
      </c>
      <c r="AZ22" s="42" t="s">
        <v>63</v>
      </c>
      <c r="BA22" s="42"/>
      <c r="BB22" s="42" t="s">
        <v>63</v>
      </c>
      <c r="BC22" s="42" t="s">
        <v>63</v>
      </c>
      <c r="BD22" s="42" t="s">
        <v>63</v>
      </c>
      <c r="BE22" s="42" t="s">
        <v>63</v>
      </c>
      <c r="BF22" s="42" t="s">
        <v>63</v>
      </c>
      <c r="BG22" s="42" t="s">
        <v>63</v>
      </c>
      <c r="BH22" s="42" t="s">
        <v>63</v>
      </c>
      <c r="BI22" s="42" t="s">
        <v>63</v>
      </c>
      <c r="BJ22" s="42" t="s">
        <v>63</v>
      </c>
      <c r="BK22" s="42" t="s">
        <v>63</v>
      </c>
      <c r="BL22" s="42" t="s">
        <v>63</v>
      </c>
    </row>
    <row r="23" spans="1:64">
      <c r="A23" s="33" t="s">
        <v>1177</v>
      </c>
      <c r="B23" s="34" t="s">
        <v>1435</v>
      </c>
      <c r="C23" s="34" t="s">
        <v>1435</v>
      </c>
      <c r="D23" s="33" t="s">
        <v>1436</v>
      </c>
      <c r="E23" s="34">
        <v>3</v>
      </c>
      <c r="F23" s="33" t="s">
        <v>1175</v>
      </c>
      <c r="G23" s="33"/>
      <c r="H23" s="33" t="str">
        <f>IF(_xlfn.IFNA(VLOOKUP(C23,Data!A:G,5,FALSE),"")=0, "Check course registration information", _xlfn.IFNA(VLOOKUP(C23,Data!A:G,5,FALSE),""))</f>
        <v>Senior status and above</v>
      </c>
      <c r="J23" s="33" t="str">
        <f>IF(_xlfn.IFNA(VLOOKUP(C23,Data!A:G,6,FALSE),"")=0, "Check course registration information", _xlfn.IFNA(VLOOKUP(C23,Data!A:G,6,FALSE),""))</f>
        <v>Energy Storage Systems Laboratory course is designed to introduce fundamentals of electrochemistry and electrochemical engineering of rechargeable lithium ion batteries (LIBs) to undergraduate and graduate students. The course will be reviewing working principles of LIBs, hands-on experience on their assembly, charge-discharge testing, data analysis and related safety aspects. Strong emphasis will be given on the Li-ion battery technology, nanotechnology implementation and the materials design. Beyond conventional Li-ion systems and Pb-acid batteries, next generation Na-ion, K-ion and Li-S batteries will be discussed and designed. Students will be fabricating and testing high energy density batteries utilizing engineered electrodes, electrolytes and separators. Broader perspectives on sustainable, cost effective, longer lasting battery manufacturing will be provided.</v>
      </c>
      <c r="K23" s="33" t="str">
        <f>IF(_xlfn.IFNA(VLOOKUP(C23,Data!A:H,7,FALSE),"")=0, "", _xlfn.IFNA(HYPERLINK(VLOOKUP(C23,Data!A:H,7,FALSE),"Catalog Link"),""))</f>
        <v>Catalog Link</v>
      </c>
      <c r="L23" s="33" t="str">
        <f>IF(_xlfn.IFNA(VLOOKUP(C23,Data!A:I,8,FALSE),"")=0, "", _xlfn.IFNA(HYPERLINK(VLOOKUP(C23,Data!A:I,8,FALSE),"Additional Information"),""))</f>
        <v/>
      </c>
      <c r="M23" s="34">
        <f t="shared" si="1"/>
        <v>0</v>
      </c>
      <c r="N23" s="42" t="s">
        <v>63</v>
      </c>
      <c r="O23" s="42" t="s">
        <v>63</v>
      </c>
      <c r="P23" s="42" t="s">
        <v>63</v>
      </c>
      <c r="Q23" s="42" t="s">
        <v>63</v>
      </c>
      <c r="R23" s="42" t="s">
        <v>63</v>
      </c>
      <c r="S23" s="42" t="s">
        <v>63</v>
      </c>
      <c r="T23" s="42" t="s">
        <v>63</v>
      </c>
      <c r="U23" s="42" t="s">
        <v>63</v>
      </c>
      <c r="V23" s="42" t="s">
        <v>63</v>
      </c>
      <c r="W23" s="42" t="s">
        <v>63</v>
      </c>
      <c r="X23" s="42" t="s">
        <v>63</v>
      </c>
      <c r="Y23" s="42" t="s">
        <v>63</v>
      </c>
      <c r="Z23" s="42" t="s">
        <v>63</v>
      </c>
      <c r="AA23" s="43" t="s">
        <v>63</v>
      </c>
      <c r="AB23" s="42" t="s">
        <v>63</v>
      </c>
      <c r="AC23" s="42"/>
      <c r="AD23" s="42" t="s">
        <v>63</v>
      </c>
      <c r="AE23" s="42" t="s">
        <v>63</v>
      </c>
      <c r="AF23" s="42" t="s">
        <v>63</v>
      </c>
      <c r="AG23" s="42" t="s">
        <v>63</v>
      </c>
      <c r="AH23" s="42" t="s">
        <v>63</v>
      </c>
      <c r="AI23" s="42"/>
      <c r="AJ23" s="42" t="s">
        <v>63</v>
      </c>
      <c r="AK23" s="42"/>
      <c r="AL23" s="42" t="s">
        <v>63</v>
      </c>
      <c r="AM23" s="42"/>
      <c r="AN23" s="42" t="s">
        <v>63</v>
      </c>
      <c r="AO23" s="42" t="s">
        <v>63</v>
      </c>
      <c r="AP23" s="42" t="s">
        <v>63</v>
      </c>
      <c r="AQ23" s="42" t="s">
        <v>63</v>
      </c>
      <c r="AR23" s="42"/>
      <c r="AS23" s="42" t="s">
        <v>63</v>
      </c>
      <c r="AT23" s="42" t="s">
        <v>63</v>
      </c>
      <c r="AU23" s="42"/>
      <c r="AV23" s="42"/>
      <c r="AW23" s="42" t="s">
        <v>63</v>
      </c>
      <c r="AX23" s="42" t="s">
        <v>63</v>
      </c>
      <c r="AY23" s="42" t="s">
        <v>63</v>
      </c>
      <c r="AZ23" s="42" t="s">
        <v>63</v>
      </c>
      <c r="BA23" s="42"/>
      <c r="BB23" s="42" t="s">
        <v>63</v>
      </c>
      <c r="BC23" s="42" t="s">
        <v>63</v>
      </c>
      <c r="BD23" s="42" t="s">
        <v>63</v>
      </c>
      <c r="BE23" s="42" t="s">
        <v>63</v>
      </c>
      <c r="BF23" s="42" t="s">
        <v>63</v>
      </c>
      <c r="BG23" s="42" t="s">
        <v>63</v>
      </c>
      <c r="BH23" s="42" t="s">
        <v>63</v>
      </c>
      <c r="BI23" s="42" t="s">
        <v>63</v>
      </c>
      <c r="BJ23" s="42" t="s">
        <v>63</v>
      </c>
      <c r="BK23" s="42" t="s">
        <v>63</v>
      </c>
      <c r="BL23" s="42" t="s">
        <v>63</v>
      </c>
    </row>
    <row r="24" spans="1:64">
      <c r="A24" s="55" t="s">
        <v>1177</v>
      </c>
      <c r="B24" s="34" t="s">
        <v>107</v>
      </c>
      <c r="C24" s="34" t="s">
        <v>107</v>
      </c>
      <c r="D24" s="33" t="s">
        <v>108</v>
      </c>
      <c r="E24" s="34">
        <f>IF(_xlfn.IFNA(VLOOKUP(B24,Data!B:G,3,FALSE),"")=0, "", _xlfn.IFNA(VLOOKUP(B24,Data!B:G,3,FALSE),""))</f>
        <v>3</v>
      </c>
      <c r="F24" s="44" t="s">
        <v>106</v>
      </c>
      <c r="H24" s="33" t="str">
        <f>IF(_xlfn.IFNA(VLOOKUP(C24,Data!A:G,5,FALSE),"")=0, "Check course registration information", _xlfn.IFNA(VLOOKUP(C24,Data!A:G,5,FALSE),""))</f>
        <v>CHM 26100 or CHM 25500 or CHM 25700</v>
      </c>
      <c r="J24" s="33" t="str">
        <f>IF(_xlfn.IFNA(VLOOKUP(C24,Data!A:G,6,FALSE),"")=0, "Check course registration information", _xlfn.IFNA(VLOOKUP(C24,Data!A:G,6,FALSE),""))</f>
        <v>This course introduces the synthesis, optoelectronic properties, transport physics, and device operation of organic and hybrid electronic materials and devices. This course will review how the molecular architecture of small molecule and polymer semiconductors can be turned to alter the optoelectronic properties of the materials in solution and in the solid state. A number of relevant materials interactions will be covered, including: photoexcitation and recombination, intermolecular charge transport mechanisms, and energy transfer processes. Additionally, we will observe how these processes are relevant to applications such as organic field-effect transistors (OFETs), organic light-emitting diodes (OLEDs), organic photovoltaic (OPV) devices, and organic memory elements. Finally, a new type of organic-inorganic hybrid material called hybrid halide perovskite will be introduced</v>
      </c>
      <c r="K24" s="33" t="str">
        <f>IF(_xlfn.IFNA(VLOOKUP(C24,Data!A:H,7,FALSE),"")=0, "", _xlfn.IFNA(HYPERLINK(VLOOKUP(C24,Data!A:H,7,FALSE),"Catalog Link"),""))</f>
        <v>Catalog Link</v>
      </c>
      <c r="L24" s="33" t="str">
        <f>IF(_xlfn.IFNA(VLOOKUP(C24,Data!A:I,8,FALSE),"")=0, "", _xlfn.IFNA(HYPERLINK(VLOOKUP(C24,Data!A:I,8,FALSE),"Additional Information"),""))</f>
        <v/>
      </c>
      <c r="M24" s="34">
        <f t="shared" si="1"/>
        <v>3</v>
      </c>
      <c r="N24" s="42" t="s">
        <v>63</v>
      </c>
      <c r="O24" s="42" t="s">
        <v>63</v>
      </c>
      <c r="P24" s="42" t="s">
        <v>63</v>
      </c>
      <c r="Q24" s="42" t="s">
        <v>63</v>
      </c>
      <c r="R24" s="42" t="s">
        <v>63</v>
      </c>
      <c r="S24" s="42" t="s">
        <v>64</v>
      </c>
      <c r="T24" s="42" t="s">
        <v>63</v>
      </c>
      <c r="U24" s="42" t="s">
        <v>63</v>
      </c>
      <c r="V24" s="42" t="s">
        <v>63</v>
      </c>
      <c r="W24" s="42" t="s">
        <v>64</v>
      </c>
      <c r="X24" s="42" t="s">
        <v>63</v>
      </c>
      <c r="Y24" s="42" t="s">
        <v>63</v>
      </c>
      <c r="Z24" s="42" t="s">
        <v>63</v>
      </c>
      <c r="AA24" s="43" t="s">
        <v>63</v>
      </c>
      <c r="AB24" s="42" t="s">
        <v>63</v>
      </c>
      <c r="AC24" s="42"/>
      <c r="AD24" s="42" t="s">
        <v>63</v>
      </c>
      <c r="AE24" s="42" t="s">
        <v>63</v>
      </c>
      <c r="AF24" s="42" t="s">
        <v>63</v>
      </c>
      <c r="AG24" s="42" t="s">
        <v>63</v>
      </c>
      <c r="AH24" s="42" t="s">
        <v>63</v>
      </c>
      <c r="AI24" s="42"/>
      <c r="AJ24" s="42" t="s">
        <v>63</v>
      </c>
      <c r="AK24" s="42"/>
      <c r="AL24" s="42" t="s">
        <v>63</v>
      </c>
      <c r="AM24" s="42"/>
      <c r="AN24" s="42" t="s">
        <v>63</v>
      </c>
      <c r="AO24" s="42" t="s">
        <v>63</v>
      </c>
      <c r="AP24" s="42" t="s">
        <v>63</v>
      </c>
      <c r="AQ24" s="42" t="s">
        <v>63</v>
      </c>
      <c r="AR24" s="42"/>
      <c r="AS24" s="42" t="s">
        <v>63</v>
      </c>
      <c r="AT24" s="42" t="s">
        <v>63</v>
      </c>
      <c r="AU24" s="42"/>
      <c r="AV24" s="42"/>
      <c r="AW24" s="42" t="s">
        <v>63</v>
      </c>
      <c r="AX24" s="42" t="s">
        <v>63</v>
      </c>
      <c r="AY24" s="42" t="s">
        <v>63</v>
      </c>
      <c r="AZ24" s="42" t="s">
        <v>63</v>
      </c>
      <c r="BA24" s="42"/>
      <c r="BB24" s="42" t="s">
        <v>63</v>
      </c>
      <c r="BC24" s="42" t="s">
        <v>63</v>
      </c>
      <c r="BD24" s="42" t="s">
        <v>63</v>
      </c>
      <c r="BE24" s="42" t="s">
        <v>63</v>
      </c>
      <c r="BF24" s="42" t="s">
        <v>64</v>
      </c>
      <c r="BG24" s="42" t="s">
        <v>63</v>
      </c>
      <c r="BH24" s="42" t="s">
        <v>63</v>
      </c>
      <c r="BI24" s="42" t="s">
        <v>63</v>
      </c>
      <c r="BJ24" s="42" t="s">
        <v>63</v>
      </c>
      <c r="BK24" s="42" t="s">
        <v>63</v>
      </c>
      <c r="BL24" s="42" t="s">
        <v>63</v>
      </c>
    </row>
    <row r="25" spans="1:64" s="36" customFormat="1" ht="15.75">
      <c r="A25" s="33" t="s">
        <v>1177</v>
      </c>
      <c r="B25" s="34" t="s">
        <v>109</v>
      </c>
      <c r="C25" s="34" t="s">
        <v>109</v>
      </c>
      <c r="D25" s="33" t="s">
        <v>110</v>
      </c>
      <c r="E25" s="34" t="str">
        <f>IF(_xlfn.IFNA(VLOOKUP(B25,Data!B:G,3,FALSE),"")=0, "", _xlfn.IFNA(VLOOKUP(B25,Data!B:G,3,FALSE),""))</f>
        <v/>
      </c>
      <c r="F25" s="33" t="s">
        <v>1175</v>
      </c>
      <c r="G25" s="33"/>
      <c r="H25" s="33" t="str">
        <f>IF(_xlfn.IFNA(VLOOKUP(C25,Data!A:G,5,FALSE),"")=0, "Check course registration information", _xlfn.IFNA(VLOOKUP(C25,Data!A:G,5,FALSE),""))</f>
        <v>Check course registration information</v>
      </c>
      <c r="I25" s="33"/>
      <c r="J25" s="33" t="str">
        <f>IF(_xlfn.IFNA(VLOOKUP(C25,Data!A:G,6,FALSE),"")=0, "Check course registration information", _xlfn.IFNA(VLOOKUP(C25,Data!A:G,6,FALSE),""))</f>
        <v>Check course registration information</v>
      </c>
      <c r="K25" s="33" t="str">
        <f>IF(_xlfn.IFNA(VLOOKUP(C25,Data!A:H,7,FALSE),"")=0, "", _xlfn.IFNA(HYPERLINK(VLOOKUP(C25,Data!A:H,7,FALSE),"Catalog Link"),""))</f>
        <v>Catalog Link</v>
      </c>
      <c r="L25" s="33" t="str">
        <f>IF(_xlfn.IFNA(VLOOKUP(C25,Data!A:I,8,FALSE),"")=0, "", _xlfn.IFNA(HYPERLINK(VLOOKUP(C25,Data!A:I,8,FALSE),"Additional Information"),""))</f>
        <v/>
      </c>
      <c r="M25" s="34">
        <f t="shared" si="1"/>
        <v>1</v>
      </c>
      <c r="N25" s="42" t="s">
        <v>63</v>
      </c>
      <c r="O25" s="42" t="s">
        <v>63</v>
      </c>
      <c r="P25" s="42" t="s">
        <v>63</v>
      </c>
      <c r="Q25" s="42" t="s">
        <v>63</v>
      </c>
      <c r="R25" s="42" t="s">
        <v>63</v>
      </c>
      <c r="S25" s="42" t="s">
        <v>63</v>
      </c>
      <c r="T25" s="42" t="s">
        <v>63</v>
      </c>
      <c r="U25" s="42" t="s">
        <v>63</v>
      </c>
      <c r="V25" s="42" t="s">
        <v>63</v>
      </c>
      <c r="W25" s="42" t="s">
        <v>63</v>
      </c>
      <c r="X25" s="42" t="s">
        <v>63</v>
      </c>
      <c r="Y25" s="42" t="s">
        <v>63</v>
      </c>
      <c r="Z25" s="42" t="s">
        <v>63</v>
      </c>
      <c r="AA25" s="43" t="s">
        <v>63</v>
      </c>
      <c r="AB25" s="42" t="s">
        <v>63</v>
      </c>
      <c r="AC25" s="42"/>
      <c r="AD25" s="42" t="s">
        <v>63</v>
      </c>
      <c r="AE25" s="42" t="s">
        <v>63</v>
      </c>
      <c r="AF25" s="42" t="s">
        <v>63</v>
      </c>
      <c r="AG25" s="42" t="s">
        <v>63</v>
      </c>
      <c r="AH25" s="42" t="s">
        <v>63</v>
      </c>
      <c r="AI25" s="42"/>
      <c r="AJ25" s="42" t="s">
        <v>63</v>
      </c>
      <c r="AK25" s="42"/>
      <c r="AL25" s="42" t="s">
        <v>63</v>
      </c>
      <c r="AM25" s="42"/>
      <c r="AN25" s="42" t="s">
        <v>63</v>
      </c>
      <c r="AO25" s="42" t="s">
        <v>63</v>
      </c>
      <c r="AP25" s="42" t="s">
        <v>63</v>
      </c>
      <c r="AQ25" s="42" t="s">
        <v>63</v>
      </c>
      <c r="AR25" s="42"/>
      <c r="AS25" s="42" t="s">
        <v>63</v>
      </c>
      <c r="AT25" s="42" t="s">
        <v>63</v>
      </c>
      <c r="AU25" s="42"/>
      <c r="AV25" s="42"/>
      <c r="AW25" s="42" t="s">
        <v>63</v>
      </c>
      <c r="AX25" s="42" t="s">
        <v>63</v>
      </c>
      <c r="AY25" s="42" t="s">
        <v>63</v>
      </c>
      <c r="AZ25" s="42" t="s">
        <v>63</v>
      </c>
      <c r="BA25" s="42"/>
      <c r="BB25" s="42" t="s">
        <v>63</v>
      </c>
      <c r="BC25" s="42" t="s">
        <v>63</v>
      </c>
      <c r="BD25" s="42" t="s">
        <v>63</v>
      </c>
      <c r="BE25" s="42" t="s">
        <v>63</v>
      </c>
      <c r="BF25" s="42" t="s">
        <v>64</v>
      </c>
      <c r="BG25" s="42" t="s">
        <v>63</v>
      </c>
      <c r="BH25" s="42" t="s">
        <v>63</v>
      </c>
      <c r="BI25" s="42" t="s">
        <v>63</v>
      </c>
      <c r="BJ25" s="42" t="s">
        <v>63</v>
      </c>
      <c r="BK25" s="42" t="s">
        <v>63</v>
      </c>
      <c r="BL25" s="42" t="s">
        <v>63</v>
      </c>
    </row>
    <row r="26" spans="1:64" s="36" customFormat="1" ht="15.75">
      <c r="A26" s="33" t="s">
        <v>1177</v>
      </c>
      <c r="B26" s="34" t="s">
        <v>109</v>
      </c>
      <c r="C26" s="34" t="s">
        <v>1179</v>
      </c>
      <c r="D26" s="33" t="s">
        <v>111</v>
      </c>
      <c r="E26" s="34" t="str">
        <f>IF(_xlfn.IFNA(VLOOKUP(B26,Data!B:G,3,FALSE),"")=0, "", _xlfn.IFNA(VLOOKUP(B26,Data!B:G,3,FALSE),""))</f>
        <v/>
      </c>
      <c r="F26" s="33" t="s">
        <v>1175</v>
      </c>
      <c r="G26" s="33"/>
      <c r="H26" s="33" t="str">
        <f>IF(_xlfn.IFNA(VLOOKUP(C26,Data!A:G,5,FALSE),"")=0, "Check course registration information", _xlfn.IFNA(VLOOKUP(C26,Data!A:G,5,FALSE),""))</f>
        <v>Check course registration information</v>
      </c>
      <c r="I26" s="33"/>
      <c r="J26" s="33" t="str">
        <f>IF(_xlfn.IFNA(VLOOKUP(C26,Data!A:G,6,FALSE),"")=0, "Check course registration information", _xlfn.IFNA(VLOOKUP(C26,Data!A:G,6,FALSE),""))</f>
        <v>Check course registration information</v>
      </c>
      <c r="K26" s="33" t="str">
        <f>IF(_xlfn.IFNA(VLOOKUP(C26,Data!A:H,7,FALSE),"")=0, "", _xlfn.IFNA(HYPERLINK(VLOOKUP(C26,Data!A:H,7,FALSE),"Catalog Link"),""))</f>
        <v>Catalog Link</v>
      </c>
      <c r="L26" s="33" t="str">
        <f>IF(_xlfn.IFNA(VLOOKUP(C26,Data!A:I,8,FALSE),"")=0, "", _xlfn.IFNA(HYPERLINK(VLOOKUP(C26,Data!A:I,8,FALSE),"Additional Information"),""))</f>
        <v/>
      </c>
      <c r="M26" s="34">
        <f t="shared" si="1"/>
        <v>0</v>
      </c>
      <c r="N26" s="42" t="s">
        <v>63</v>
      </c>
      <c r="O26" s="42" t="s">
        <v>63</v>
      </c>
      <c r="P26" s="42" t="s">
        <v>63</v>
      </c>
      <c r="Q26" s="42" t="s">
        <v>63</v>
      </c>
      <c r="R26" s="42" t="s">
        <v>63</v>
      </c>
      <c r="S26" s="42" t="s">
        <v>63</v>
      </c>
      <c r="T26" s="42" t="s">
        <v>63</v>
      </c>
      <c r="U26" s="42" t="s">
        <v>63</v>
      </c>
      <c r="V26" s="42" t="s">
        <v>63</v>
      </c>
      <c r="W26" s="42" t="s">
        <v>63</v>
      </c>
      <c r="X26" s="42" t="s">
        <v>63</v>
      </c>
      <c r="Y26" s="42" t="s">
        <v>63</v>
      </c>
      <c r="Z26" s="42" t="s">
        <v>63</v>
      </c>
      <c r="AA26" s="43" t="s">
        <v>63</v>
      </c>
      <c r="AB26" s="42" t="s">
        <v>63</v>
      </c>
      <c r="AC26" s="42"/>
      <c r="AD26" s="42" t="s">
        <v>63</v>
      </c>
      <c r="AE26" s="42" t="s">
        <v>63</v>
      </c>
      <c r="AF26" s="42" t="s">
        <v>63</v>
      </c>
      <c r="AG26" s="42" t="s">
        <v>63</v>
      </c>
      <c r="AH26" s="42" t="s">
        <v>63</v>
      </c>
      <c r="AI26" s="42"/>
      <c r="AJ26" s="42" t="s">
        <v>63</v>
      </c>
      <c r="AK26" s="42"/>
      <c r="AL26" s="42" t="s">
        <v>63</v>
      </c>
      <c r="AM26" s="42"/>
      <c r="AN26" s="42" t="s">
        <v>63</v>
      </c>
      <c r="AO26" s="42" t="s">
        <v>63</v>
      </c>
      <c r="AP26" s="42" t="s">
        <v>63</v>
      </c>
      <c r="AQ26" s="42" t="s">
        <v>63</v>
      </c>
      <c r="AR26" s="42"/>
      <c r="AS26" s="42" t="s">
        <v>63</v>
      </c>
      <c r="AT26" s="42" t="s">
        <v>63</v>
      </c>
      <c r="AU26" s="42"/>
      <c r="AV26" s="42"/>
      <c r="AW26" s="42" t="s">
        <v>63</v>
      </c>
      <c r="AX26" s="42" t="s">
        <v>63</v>
      </c>
      <c r="AY26" s="42" t="s">
        <v>63</v>
      </c>
      <c r="AZ26" s="42" t="s">
        <v>63</v>
      </c>
      <c r="BA26" s="42"/>
      <c r="BB26" s="42" t="s">
        <v>63</v>
      </c>
      <c r="BC26" s="42" t="s">
        <v>63</v>
      </c>
      <c r="BD26" s="42" t="s">
        <v>63</v>
      </c>
      <c r="BE26" s="42" t="s">
        <v>63</v>
      </c>
      <c r="BF26" s="42" t="s">
        <v>63</v>
      </c>
      <c r="BG26" s="42" t="s">
        <v>63</v>
      </c>
      <c r="BH26" s="42" t="s">
        <v>63</v>
      </c>
      <c r="BI26" s="42" t="s">
        <v>63</v>
      </c>
      <c r="BJ26" s="42" t="s">
        <v>63</v>
      </c>
      <c r="BK26" s="42" t="s">
        <v>63</v>
      </c>
      <c r="BL26" s="42" t="s">
        <v>63</v>
      </c>
    </row>
    <row r="27" spans="1:64" s="36" customFormat="1" ht="15.75">
      <c r="A27" s="33" t="s">
        <v>1177</v>
      </c>
      <c r="B27" s="34" t="s">
        <v>109</v>
      </c>
      <c r="C27" s="34" t="s">
        <v>1180</v>
      </c>
      <c r="D27" s="33" t="s">
        <v>112</v>
      </c>
      <c r="E27" s="34" t="str">
        <f>IF(_xlfn.IFNA(VLOOKUP(B27,Data!B:G,3,FALSE),"")=0, "", _xlfn.IFNA(VLOOKUP(B27,Data!B:G,3,FALSE),""))</f>
        <v/>
      </c>
      <c r="F27" s="33" t="s">
        <v>1175</v>
      </c>
      <c r="G27" s="33"/>
      <c r="H27" s="33" t="str">
        <f>IF(_xlfn.IFNA(VLOOKUP(C27,Data!A:G,5,FALSE),"")=0, "Check course registration information", _xlfn.IFNA(VLOOKUP(C27,Data!A:G,5,FALSE),""))</f>
        <v>Check course registration information</v>
      </c>
      <c r="I27" s="33"/>
      <c r="J27" s="33" t="str">
        <f>IF(_xlfn.IFNA(VLOOKUP(C27,Data!A:G,6,FALSE),"")=0, "Check course registration information", _xlfn.IFNA(VLOOKUP(C27,Data!A:G,6,FALSE),""))</f>
        <v>Check course registration information</v>
      </c>
      <c r="K27" s="33" t="str">
        <f>IF(_xlfn.IFNA(VLOOKUP(C27,Data!A:H,7,FALSE),"")=0, "", _xlfn.IFNA(HYPERLINK(VLOOKUP(C27,Data!A:H,7,FALSE),"Catalog Link"),""))</f>
        <v>Catalog Link</v>
      </c>
      <c r="L27" s="33" t="str">
        <f>IF(_xlfn.IFNA(VLOOKUP(C27,Data!A:I,8,FALSE),"")=0, "", _xlfn.IFNA(HYPERLINK(VLOOKUP(C27,Data!A:I,8,FALSE),"Additional Information"),""))</f>
        <v/>
      </c>
      <c r="M27" s="34">
        <f t="shared" si="1"/>
        <v>0</v>
      </c>
      <c r="N27" s="42" t="s">
        <v>63</v>
      </c>
      <c r="O27" s="42" t="s">
        <v>63</v>
      </c>
      <c r="P27" s="42" t="s">
        <v>63</v>
      </c>
      <c r="Q27" s="42" t="s">
        <v>63</v>
      </c>
      <c r="R27" s="42" t="s">
        <v>63</v>
      </c>
      <c r="S27" s="42" t="s">
        <v>63</v>
      </c>
      <c r="T27" s="42" t="s">
        <v>63</v>
      </c>
      <c r="U27" s="42" t="s">
        <v>63</v>
      </c>
      <c r="V27" s="42" t="s">
        <v>63</v>
      </c>
      <c r="W27" s="42" t="s">
        <v>63</v>
      </c>
      <c r="X27" s="42" t="s">
        <v>63</v>
      </c>
      <c r="Y27" s="42" t="s">
        <v>63</v>
      </c>
      <c r="Z27" s="42" t="s">
        <v>63</v>
      </c>
      <c r="AA27" s="43" t="s">
        <v>63</v>
      </c>
      <c r="AB27" s="42" t="s">
        <v>63</v>
      </c>
      <c r="AC27" s="42"/>
      <c r="AD27" s="42" t="s">
        <v>63</v>
      </c>
      <c r="AE27" s="42" t="s">
        <v>63</v>
      </c>
      <c r="AF27" s="42" t="s">
        <v>63</v>
      </c>
      <c r="AG27" s="42" t="s">
        <v>63</v>
      </c>
      <c r="AH27" s="42" t="s">
        <v>63</v>
      </c>
      <c r="AI27" s="42"/>
      <c r="AJ27" s="42" t="s">
        <v>63</v>
      </c>
      <c r="AK27" s="42"/>
      <c r="AL27" s="42" t="s">
        <v>63</v>
      </c>
      <c r="AM27" s="42"/>
      <c r="AN27" s="42" t="s">
        <v>63</v>
      </c>
      <c r="AO27" s="42" t="s">
        <v>63</v>
      </c>
      <c r="AP27" s="42" t="s">
        <v>63</v>
      </c>
      <c r="AQ27" s="42" t="s">
        <v>63</v>
      </c>
      <c r="AR27" s="42"/>
      <c r="AS27" s="42" t="s">
        <v>63</v>
      </c>
      <c r="AT27" s="42" t="s">
        <v>63</v>
      </c>
      <c r="AU27" s="42"/>
      <c r="AV27" s="42"/>
      <c r="AW27" s="42" t="s">
        <v>63</v>
      </c>
      <c r="AX27" s="42" t="s">
        <v>63</v>
      </c>
      <c r="AY27" s="42" t="s">
        <v>63</v>
      </c>
      <c r="AZ27" s="42" t="s">
        <v>63</v>
      </c>
      <c r="BA27" s="42"/>
      <c r="BB27" s="42" t="s">
        <v>63</v>
      </c>
      <c r="BC27" s="42" t="s">
        <v>63</v>
      </c>
      <c r="BD27" s="42" t="s">
        <v>63</v>
      </c>
      <c r="BE27" s="42" t="s">
        <v>63</v>
      </c>
      <c r="BF27" s="42" t="s">
        <v>63</v>
      </c>
      <c r="BG27" s="42" t="s">
        <v>63</v>
      </c>
      <c r="BH27" s="42" t="s">
        <v>63</v>
      </c>
      <c r="BI27" s="42" t="s">
        <v>63</v>
      </c>
      <c r="BJ27" s="42" t="s">
        <v>63</v>
      </c>
      <c r="BK27" s="42" t="s">
        <v>63</v>
      </c>
      <c r="BL27" s="42" t="s">
        <v>63</v>
      </c>
    </row>
    <row r="28" spans="1:64" s="36" customFormat="1" ht="15.75">
      <c r="A28" s="33" t="s">
        <v>1177</v>
      </c>
      <c r="B28" s="34" t="s">
        <v>109</v>
      </c>
      <c r="C28" s="34" t="s">
        <v>1181</v>
      </c>
      <c r="D28" s="33" t="s">
        <v>113</v>
      </c>
      <c r="E28" s="34" t="str">
        <f>IF(_xlfn.IFNA(VLOOKUP(B28,Data!B:G,3,FALSE),"")=0, "", _xlfn.IFNA(VLOOKUP(B28,Data!B:G,3,FALSE),""))</f>
        <v/>
      </c>
      <c r="F28" s="33" t="s">
        <v>1175</v>
      </c>
      <c r="G28" s="33"/>
      <c r="H28" s="33" t="str">
        <f>IF(_xlfn.IFNA(VLOOKUP(C28,Data!A:G,5,FALSE),"")=0, "Check course registration information", _xlfn.IFNA(VLOOKUP(C28,Data!A:G,5,FALSE),""))</f>
        <v>Check course registration information</v>
      </c>
      <c r="I28" s="33"/>
      <c r="J28" s="33" t="str">
        <f>IF(_xlfn.IFNA(VLOOKUP(C28,Data!A:G,6,FALSE),"")=0, "Check course registration information", _xlfn.IFNA(VLOOKUP(C28,Data!A:G,6,FALSE),""))</f>
        <v>Check course registration information</v>
      </c>
      <c r="K28" s="33" t="str">
        <f>IF(_xlfn.IFNA(VLOOKUP(C28,Data!A:H,7,FALSE),"")=0, "", _xlfn.IFNA(HYPERLINK(VLOOKUP(C28,Data!A:H,7,FALSE),"Catalog Link"),""))</f>
        <v>Catalog Link</v>
      </c>
      <c r="L28" s="33" t="str">
        <f>IF(_xlfn.IFNA(VLOOKUP(C28,Data!A:I,8,FALSE),"")=0, "", _xlfn.IFNA(HYPERLINK(VLOOKUP(C28,Data!A:I,8,FALSE),"Additional Information"),""))</f>
        <v/>
      </c>
      <c r="M28" s="34">
        <f t="shared" si="1"/>
        <v>3</v>
      </c>
      <c r="N28" s="42" t="s">
        <v>63</v>
      </c>
      <c r="O28" s="42" t="s">
        <v>63</v>
      </c>
      <c r="P28" s="42" t="s">
        <v>63</v>
      </c>
      <c r="Q28" s="42" t="s">
        <v>63</v>
      </c>
      <c r="R28" s="42" t="s">
        <v>63</v>
      </c>
      <c r="S28" s="42" t="s">
        <v>64</v>
      </c>
      <c r="T28" s="42" t="s">
        <v>63</v>
      </c>
      <c r="U28" s="42" t="s">
        <v>63</v>
      </c>
      <c r="V28" s="42" t="s">
        <v>63</v>
      </c>
      <c r="W28" s="42" t="s">
        <v>64</v>
      </c>
      <c r="X28" s="42" t="s">
        <v>63</v>
      </c>
      <c r="Y28" s="42" t="s">
        <v>63</v>
      </c>
      <c r="Z28" s="42" t="s">
        <v>63</v>
      </c>
      <c r="AA28" s="43" t="s">
        <v>63</v>
      </c>
      <c r="AB28" s="42" t="s">
        <v>63</v>
      </c>
      <c r="AC28" s="42"/>
      <c r="AD28" s="42" t="s">
        <v>63</v>
      </c>
      <c r="AE28" s="42" t="s">
        <v>63</v>
      </c>
      <c r="AF28" s="42" t="s">
        <v>63</v>
      </c>
      <c r="AG28" s="42" t="s">
        <v>63</v>
      </c>
      <c r="AH28" s="42" t="s">
        <v>63</v>
      </c>
      <c r="AI28" s="42"/>
      <c r="AJ28" s="42" t="s">
        <v>63</v>
      </c>
      <c r="AK28" s="42"/>
      <c r="AL28" s="42" t="s">
        <v>63</v>
      </c>
      <c r="AM28" s="42"/>
      <c r="AN28" s="42" t="s">
        <v>63</v>
      </c>
      <c r="AO28" s="42" t="s">
        <v>63</v>
      </c>
      <c r="AP28" s="42" t="s">
        <v>63</v>
      </c>
      <c r="AQ28" s="42" t="s">
        <v>63</v>
      </c>
      <c r="AR28" s="42"/>
      <c r="AS28" s="42" t="s">
        <v>63</v>
      </c>
      <c r="AT28" s="42" t="s">
        <v>63</v>
      </c>
      <c r="AU28" s="42"/>
      <c r="AV28" s="42"/>
      <c r="AW28" s="42" t="s">
        <v>63</v>
      </c>
      <c r="AX28" s="42" t="s">
        <v>63</v>
      </c>
      <c r="AY28" s="42" t="s">
        <v>63</v>
      </c>
      <c r="AZ28" s="42" t="s">
        <v>63</v>
      </c>
      <c r="BA28" s="42"/>
      <c r="BB28" s="42" t="s">
        <v>63</v>
      </c>
      <c r="BC28" s="42" t="s">
        <v>63</v>
      </c>
      <c r="BD28" s="42" t="s">
        <v>63</v>
      </c>
      <c r="BE28" s="42" t="s">
        <v>63</v>
      </c>
      <c r="BF28" s="42" t="s">
        <v>64</v>
      </c>
      <c r="BG28" s="42" t="s">
        <v>63</v>
      </c>
      <c r="BH28" s="42" t="s">
        <v>63</v>
      </c>
      <c r="BI28" s="42" t="s">
        <v>63</v>
      </c>
      <c r="BJ28" s="42" t="s">
        <v>63</v>
      </c>
      <c r="BK28" s="42" t="s">
        <v>63</v>
      </c>
      <c r="BL28" s="42" t="s">
        <v>63</v>
      </c>
    </row>
    <row r="29" spans="1:64" s="36" customFormat="1" ht="15.75">
      <c r="A29" s="33" t="s">
        <v>1177</v>
      </c>
      <c r="B29" s="34" t="s">
        <v>109</v>
      </c>
      <c r="C29" s="34" t="s">
        <v>1182</v>
      </c>
      <c r="D29" s="33" t="s">
        <v>114</v>
      </c>
      <c r="E29" s="34" t="str">
        <f>IF(_xlfn.IFNA(VLOOKUP(B29,Data!B:G,3,FALSE),"")=0, "", _xlfn.IFNA(VLOOKUP(B29,Data!B:G,3,FALSE),""))</f>
        <v/>
      </c>
      <c r="F29" s="33" t="s">
        <v>1175</v>
      </c>
      <c r="G29" s="33"/>
      <c r="H29" s="33" t="str">
        <f>IF(_xlfn.IFNA(VLOOKUP(C29,Data!A:G,5,FALSE),"")=0, "Check course registration information", _xlfn.IFNA(VLOOKUP(C29,Data!A:G,5,FALSE),""))</f>
        <v>Check course registration information</v>
      </c>
      <c r="I29" s="33"/>
      <c r="J29" s="33" t="str">
        <f>IF(_xlfn.IFNA(VLOOKUP(C29,Data!A:G,6,FALSE),"")=0, "Check course registration information", _xlfn.IFNA(VLOOKUP(C29,Data!A:G,6,FALSE),""))</f>
        <v>Check course registration information</v>
      </c>
      <c r="K29" s="33" t="str">
        <f>IF(_xlfn.IFNA(VLOOKUP(C29,Data!A:H,7,FALSE),"")=0, "", _xlfn.IFNA(HYPERLINK(VLOOKUP(C29,Data!A:H,7,FALSE),"Catalog Link"),""))</f>
        <v>Catalog Link</v>
      </c>
      <c r="L29" s="33" t="str">
        <f>IF(_xlfn.IFNA(VLOOKUP(C29,Data!A:I,8,FALSE),"")=0, "", _xlfn.IFNA(HYPERLINK(VLOOKUP(C29,Data!A:I,8,FALSE),"Additional Information"),""))</f>
        <v/>
      </c>
      <c r="M29" s="34">
        <f t="shared" si="1"/>
        <v>3</v>
      </c>
      <c r="N29" s="42" t="s">
        <v>63</v>
      </c>
      <c r="O29" s="42" t="s">
        <v>63</v>
      </c>
      <c r="P29" s="42" t="s">
        <v>63</v>
      </c>
      <c r="Q29" s="42" t="s">
        <v>63</v>
      </c>
      <c r="R29" s="42" t="s">
        <v>63</v>
      </c>
      <c r="S29" s="42" t="s">
        <v>63</v>
      </c>
      <c r="T29" s="42" t="s">
        <v>63</v>
      </c>
      <c r="U29" s="42" t="s">
        <v>63</v>
      </c>
      <c r="V29" s="42" t="s">
        <v>63</v>
      </c>
      <c r="W29" s="42" t="s">
        <v>63</v>
      </c>
      <c r="X29" s="42" t="s">
        <v>64</v>
      </c>
      <c r="Y29" s="42" t="s">
        <v>63</v>
      </c>
      <c r="Z29" s="42" t="s">
        <v>63</v>
      </c>
      <c r="AA29" s="43" t="s">
        <v>63</v>
      </c>
      <c r="AB29" s="42" t="s">
        <v>63</v>
      </c>
      <c r="AC29" s="42"/>
      <c r="AD29" s="42" t="s">
        <v>63</v>
      </c>
      <c r="AE29" s="42" t="s">
        <v>63</v>
      </c>
      <c r="AF29" s="42" t="s">
        <v>63</v>
      </c>
      <c r="AG29" s="42" t="s">
        <v>63</v>
      </c>
      <c r="AH29" s="42" t="s">
        <v>63</v>
      </c>
      <c r="AI29" s="42"/>
      <c r="AJ29" s="42" t="s">
        <v>63</v>
      </c>
      <c r="AK29" s="42"/>
      <c r="AL29" s="42" t="s">
        <v>63</v>
      </c>
      <c r="AM29" s="42"/>
      <c r="AN29" s="42" t="s">
        <v>63</v>
      </c>
      <c r="AO29" s="42" t="s">
        <v>63</v>
      </c>
      <c r="AP29" s="42" t="s">
        <v>63</v>
      </c>
      <c r="AQ29" s="42" t="s">
        <v>63</v>
      </c>
      <c r="AR29" s="42"/>
      <c r="AS29" s="42" t="s">
        <v>64</v>
      </c>
      <c r="AT29" s="42" t="s">
        <v>63</v>
      </c>
      <c r="AU29" s="42"/>
      <c r="AV29" s="42"/>
      <c r="AW29" s="42" t="s">
        <v>63</v>
      </c>
      <c r="AX29" s="42" t="s">
        <v>63</v>
      </c>
      <c r="AY29" s="42" t="s">
        <v>64</v>
      </c>
      <c r="AZ29" s="42" t="s">
        <v>63</v>
      </c>
      <c r="BA29" s="42"/>
      <c r="BB29" s="42" t="s">
        <v>63</v>
      </c>
      <c r="BC29" s="42" t="s">
        <v>63</v>
      </c>
      <c r="BD29" s="42" t="s">
        <v>63</v>
      </c>
      <c r="BE29" s="42" t="s">
        <v>63</v>
      </c>
      <c r="BF29" s="42" t="s">
        <v>63</v>
      </c>
      <c r="BG29" s="42" t="s">
        <v>63</v>
      </c>
      <c r="BH29" s="42" t="s">
        <v>63</v>
      </c>
      <c r="BI29" s="42" t="s">
        <v>63</v>
      </c>
      <c r="BJ29" s="42" t="s">
        <v>63</v>
      </c>
      <c r="BK29" s="42" t="s">
        <v>63</v>
      </c>
      <c r="BL29" s="42" t="s">
        <v>63</v>
      </c>
    </row>
    <row r="30" spans="1:64" s="36" customFormat="1" ht="15.75">
      <c r="A30" s="33" t="s">
        <v>1177</v>
      </c>
      <c r="B30" s="34" t="s">
        <v>109</v>
      </c>
      <c r="C30" s="34" t="s">
        <v>1183</v>
      </c>
      <c r="D30" s="33" t="s">
        <v>115</v>
      </c>
      <c r="E30" s="34" t="str">
        <f>IF(_xlfn.IFNA(VLOOKUP(B30,Data!B:G,3,FALSE),"")=0, "", _xlfn.IFNA(VLOOKUP(B30,Data!B:G,3,FALSE),""))</f>
        <v/>
      </c>
      <c r="F30" s="33" t="s">
        <v>1175</v>
      </c>
      <c r="G30" s="33"/>
      <c r="H30" s="33" t="str">
        <f>IF(_xlfn.IFNA(VLOOKUP(C30,Data!A:G,5,FALSE),"")=0, "Check course registration information", _xlfn.IFNA(VLOOKUP(C30,Data!A:G,5,FALSE),""))</f>
        <v>Check course registration information</v>
      </c>
      <c r="I30" s="33"/>
      <c r="J30" s="33" t="str">
        <f>IF(_xlfn.IFNA(VLOOKUP(C30,Data!A:G,6,FALSE),"")=0, "Check course registration information", _xlfn.IFNA(VLOOKUP(C30,Data!A:G,6,FALSE),""))</f>
        <v>Check course registration information</v>
      </c>
      <c r="K30" s="33" t="str">
        <f>IF(_xlfn.IFNA(VLOOKUP(C30,Data!A:H,7,FALSE),"")=0, "", _xlfn.IFNA(HYPERLINK(VLOOKUP(C30,Data!A:H,7,FALSE),"Catalog Link"),""))</f>
        <v>Catalog Link</v>
      </c>
      <c r="L30" s="33" t="str">
        <f>IF(_xlfn.IFNA(VLOOKUP(C30,Data!A:I,8,FALSE),"")=0, "", _xlfn.IFNA(HYPERLINK(VLOOKUP(C30,Data!A:I,8,FALSE),"Additional Information"),""))</f>
        <v/>
      </c>
      <c r="M30" s="34">
        <f t="shared" si="1"/>
        <v>1</v>
      </c>
      <c r="N30" s="42" t="s">
        <v>63</v>
      </c>
      <c r="O30" s="42" t="s">
        <v>63</v>
      </c>
      <c r="P30" s="42" t="s">
        <v>63</v>
      </c>
      <c r="Q30" s="42" t="s">
        <v>63</v>
      </c>
      <c r="R30" s="42" t="s">
        <v>63</v>
      </c>
      <c r="S30" s="42" t="s">
        <v>63</v>
      </c>
      <c r="T30" s="42" t="s">
        <v>63</v>
      </c>
      <c r="U30" s="42" t="s">
        <v>63</v>
      </c>
      <c r="V30" s="42" t="s">
        <v>63</v>
      </c>
      <c r="W30" s="42" t="s">
        <v>63</v>
      </c>
      <c r="X30" s="42" t="s">
        <v>63</v>
      </c>
      <c r="Y30" s="42" t="s">
        <v>63</v>
      </c>
      <c r="Z30" s="42" t="s">
        <v>63</v>
      </c>
      <c r="AA30" s="43" t="s">
        <v>63</v>
      </c>
      <c r="AB30" s="42" t="s">
        <v>63</v>
      </c>
      <c r="AC30" s="42"/>
      <c r="AD30" s="42" t="s">
        <v>63</v>
      </c>
      <c r="AE30" s="42" t="s">
        <v>63</v>
      </c>
      <c r="AF30" s="42" t="s">
        <v>63</v>
      </c>
      <c r="AG30" s="42" t="s">
        <v>63</v>
      </c>
      <c r="AH30" s="42" t="s">
        <v>63</v>
      </c>
      <c r="AI30" s="42"/>
      <c r="AJ30" s="42" t="s">
        <v>63</v>
      </c>
      <c r="AK30" s="42"/>
      <c r="AL30" s="42" t="s">
        <v>63</v>
      </c>
      <c r="AM30" s="42"/>
      <c r="AN30" s="42" t="s">
        <v>63</v>
      </c>
      <c r="AO30" s="42" t="s">
        <v>63</v>
      </c>
      <c r="AP30" s="42" t="s">
        <v>63</v>
      </c>
      <c r="AQ30" s="42" t="s">
        <v>63</v>
      </c>
      <c r="AR30" s="42"/>
      <c r="AS30" s="42" t="s">
        <v>63</v>
      </c>
      <c r="AT30" s="42" t="s">
        <v>63</v>
      </c>
      <c r="AU30" s="42"/>
      <c r="AV30" s="42"/>
      <c r="AW30" s="42" t="s">
        <v>63</v>
      </c>
      <c r="AX30" s="42" t="s">
        <v>63</v>
      </c>
      <c r="AY30" s="42" t="s">
        <v>64</v>
      </c>
      <c r="AZ30" s="42" t="s">
        <v>63</v>
      </c>
      <c r="BA30" s="42"/>
      <c r="BB30" s="42" t="s">
        <v>63</v>
      </c>
      <c r="BC30" s="42" t="s">
        <v>63</v>
      </c>
      <c r="BD30" s="42" t="s">
        <v>63</v>
      </c>
      <c r="BE30" s="42" t="s">
        <v>63</v>
      </c>
      <c r="BF30" s="42" t="s">
        <v>63</v>
      </c>
      <c r="BG30" s="42" t="s">
        <v>63</v>
      </c>
      <c r="BH30" s="42" t="s">
        <v>63</v>
      </c>
      <c r="BI30" s="42" t="s">
        <v>63</v>
      </c>
      <c r="BJ30" s="42" t="s">
        <v>63</v>
      </c>
      <c r="BK30" s="42" t="s">
        <v>63</v>
      </c>
      <c r="BL30" s="42" t="s">
        <v>63</v>
      </c>
    </row>
    <row r="31" spans="1:64">
      <c r="A31" s="33" t="s">
        <v>1177</v>
      </c>
      <c r="B31" s="34" t="s">
        <v>109</v>
      </c>
      <c r="C31" s="34" t="s">
        <v>1184</v>
      </c>
      <c r="D31" s="33" t="s">
        <v>120</v>
      </c>
      <c r="E31" s="34" t="str">
        <f>IF(_xlfn.IFNA(VLOOKUP(B31,Data!B:G,3,FALSE),"")=0, "", _xlfn.IFNA(VLOOKUP(B31,Data!B:G,3,FALSE),""))</f>
        <v/>
      </c>
      <c r="F31" s="33" t="s">
        <v>1175</v>
      </c>
      <c r="G31" s="33"/>
      <c r="H31" s="33" t="str">
        <f>IF(_xlfn.IFNA(VLOOKUP(C31,Data!A:G,5,FALSE),"")=0, "Check course registration information", _xlfn.IFNA(VLOOKUP(C31,Data!A:G,5,FALSE),""))</f>
        <v>Check course registration information</v>
      </c>
      <c r="J31" s="33" t="str">
        <f>IF(_xlfn.IFNA(VLOOKUP(C31,Data!A:G,6,FALSE),"")=0, "Check course registration information", _xlfn.IFNA(VLOOKUP(C31,Data!A:G,6,FALSE),""))</f>
        <v>Check course registration information</v>
      </c>
      <c r="K31" s="33" t="str">
        <f>IF(_xlfn.IFNA(VLOOKUP(C31,Data!A:H,7,FALSE),"")=0, "", _xlfn.IFNA(HYPERLINK(VLOOKUP(C31,Data!A:H,7,FALSE),"Catalog Link"),""))</f>
        <v>Catalog Link</v>
      </c>
      <c r="L31" s="33" t="str">
        <f>IF(_xlfn.IFNA(VLOOKUP(C31,Data!A:I,8,FALSE),"")=0, "", _xlfn.IFNA(HYPERLINK(VLOOKUP(C31,Data!A:I,8,FALSE),"Additional Information"),""))</f>
        <v/>
      </c>
      <c r="M31" s="34">
        <f t="shared" si="1"/>
        <v>5</v>
      </c>
      <c r="N31" s="42" t="s">
        <v>63</v>
      </c>
      <c r="O31" s="42" t="s">
        <v>64</v>
      </c>
      <c r="P31" s="42" t="s">
        <v>63</v>
      </c>
      <c r="Q31" s="42" t="s">
        <v>63</v>
      </c>
      <c r="R31" s="42" t="s">
        <v>63</v>
      </c>
      <c r="S31" s="42" t="s">
        <v>63</v>
      </c>
      <c r="T31" s="42" t="s">
        <v>63</v>
      </c>
      <c r="U31" s="42" t="s">
        <v>64</v>
      </c>
      <c r="V31" s="42" t="s">
        <v>63</v>
      </c>
      <c r="W31" s="42" t="s">
        <v>63</v>
      </c>
      <c r="X31" s="42" t="s">
        <v>63</v>
      </c>
      <c r="Y31" s="42" t="s">
        <v>63</v>
      </c>
      <c r="Z31" s="42" t="s">
        <v>63</v>
      </c>
      <c r="AA31" s="43" t="s">
        <v>63</v>
      </c>
      <c r="AB31" s="42" t="s">
        <v>63</v>
      </c>
      <c r="AC31" s="42"/>
      <c r="AD31" s="42" t="s">
        <v>63</v>
      </c>
      <c r="AE31" s="42" t="s">
        <v>63</v>
      </c>
      <c r="AF31" s="42" t="s">
        <v>63</v>
      </c>
      <c r="AG31" s="42" t="s">
        <v>63</v>
      </c>
      <c r="AH31" s="42" t="s">
        <v>63</v>
      </c>
      <c r="AI31" s="42"/>
      <c r="AJ31" s="42" t="s">
        <v>63</v>
      </c>
      <c r="AK31" s="42"/>
      <c r="AL31" s="42" t="s">
        <v>63</v>
      </c>
      <c r="AM31" s="42"/>
      <c r="AN31" s="42" t="s">
        <v>63</v>
      </c>
      <c r="AO31" s="42" t="s">
        <v>63</v>
      </c>
      <c r="AP31" s="42" t="s">
        <v>63</v>
      </c>
      <c r="AQ31" s="42" t="s">
        <v>63</v>
      </c>
      <c r="AR31" s="42"/>
      <c r="AS31" s="42" t="s">
        <v>63</v>
      </c>
      <c r="AT31" s="42" t="s">
        <v>63</v>
      </c>
      <c r="AU31" s="42"/>
      <c r="AV31" s="42"/>
      <c r="AW31" s="42" t="s">
        <v>63</v>
      </c>
      <c r="AX31" s="42" t="s">
        <v>63</v>
      </c>
      <c r="AY31" s="42" t="s">
        <v>64</v>
      </c>
      <c r="AZ31" s="42" t="s">
        <v>63</v>
      </c>
      <c r="BA31" s="42"/>
      <c r="BB31" s="42" t="s">
        <v>63</v>
      </c>
      <c r="BC31" s="42" t="s">
        <v>63</v>
      </c>
      <c r="BD31" s="42" t="s">
        <v>64</v>
      </c>
      <c r="BE31" s="42" t="s">
        <v>63</v>
      </c>
      <c r="BF31" s="42" t="s">
        <v>63</v>
      </c>
      <c r="BG31" s="42" t="s">
        <v>63</v>
      </c>
      <c r="BH31" s="42" t="s">
        <v>63</v>
      </c>
      <c r="BI31" s="42" t="s">
        <v>63</v>
      </c>
      <c r="BJ31" s="42" t="s">
        <v>63</v>
      </c>
      <c r="BK31" s="42" t="s">
        <v>64</v>
      </c>
      <c r="BL31" s="42" t="s">
        <v>63</v>
      </c>
    </row>
    <row r="32" spans="1:64">
      <c r="A32" s="33" t="s">
        <v>1177</v>
      </c>
      <c r="B32" s="34" t="s">
        <v>109</v>
      </c>
      <c r="C32" s="34" t="s">
        <v>1185</v>
      </c>
      <c r="D32" s="33" t="s">
        <v>455</v>
      </c>
      <c r="E32" s="34" t="str">
        <f>IF(_xlfn.IFNA(VLOOKUP(B32,Data!B:G,3,FALSE),"")=0, "", _xlfn.IFNA(VLOOKUP(B32,Data!B:G,3,FALSE),""))</f>
        <v/>
      </c>
      <c r="F32" s="44" t="s">
        <v>106</v>
      </c>
      <c r="H32" s="33" t="str">
        <f>IF(_xlfn.IFNA(VLOOKUP(C32,Data!A:G,5,FALSE),"")=0, "Check course registration information", _xlfn.IFNA(VLOOKUP(C32,Data!A:G,5,FALSE),""))</f>
        <v>Check course registration information</v>
      </c>
      <c r="J32" s="33" t="str">
        <f>IF(_xlfn.IFNA(VLOOKUP(C32,Data!A:G,6,FALSE),"")=0, "Check course registration information", _xlfn.IFNA(VLOOKUP(C32,Data!A:G,6,FALSE),""))</f>
        <v>Check course registration information</v>
      </c>
      <c r="K32" s="33" t="str">
        <f>IF(_xlfn.IFNA(VLOOKUP(C32,Data!A:H,7,FALSE),"")=0, "", _xlfn.IFNA(HYPERLINK(VLOOKUP(C32,Data!A:H,7,FALSE),"Catalog Link"),""))</f>
        <v>Catalog Link</v>
      </c>
      <c r="L32" s="33" t="str">
        <f>IF(_xlfn.IFNA(VLOOKUP(C32,Data!A:I,8,FALSE),"")=0, "", _xlfn.IFNA(HYPERLINK(VLOOKUP(C32,Data!A:I,8,FALSE),"Additional Information"),""))</f>
        <v/>
      </c>
      <c r="M32" s="34">
        <f t="shared" si="1"/>
        <v>0</v>
      </c>
      <c r="N32" s="42" t="s">
        <v>63</v>
      </c>
      <c r="O32" s="42" t="s">
        <v>63</v>
      </c>
      <c r="P32" s="42" t="s">
        <v>63</v>
      </c>
      <c r="Q32" s="42" t="s">
        <v>63</v>
      </c>
      <c r="R32" s="42" t="s">
        <v>63</v>
      </c>
      <c r="S32" s="42" t="s">
        <v>63</v>
      </c>
      <c r="T32" s="42" t="s">
        <v>63</v>
      </c>
      <c r="U32" s="42" t="s">
        <v>63</v>
      </c>
      <c r="V32" s="42" t="s">
        <v>63</v>
      </c>
      <c r="W32" s="42" t="s">
        <v>63</v>
      </c>
      <c r="X32" s="42" t="s">
        <v>63</v>
      </c>
      <c r="Y32" s="42" t="s">
        <v>63</v>
      </c>
      <c r="Z32" s="42" t="s">
        <v>63</v>
      </c>
      <c r="AA32" s="43" t="s">
        <v>63</v>
      </c>
      <c r="AB32" s="42" t="s">
        <v>63</v>
      </c>
      <c r="AC32" s="42"/>
      <c r="AD32" s="42" t="s">
        <v>63</v>
      </c>
      <c r="AE32" s="42" t="s">
        <v>63</v>
      </c>
      <c r="AF32" s="42" t="s">
        <v>63</v>
      </c>
      <c r="AG32" s="42" t="s">
        <v>63</v>
      </c>
      <c r="AH32" s="42" t="s">
        <v>63</v>
      </c>
      <c r="AI32" s="42"/>
      <c r="AJ32" s="42" t="s">
        <v>63</v>
      </c>
      <c r="AK32" s="42"/>
      <c r="AL32" s="42" t="s">
        <v>63</v>
      </c>
      <c r="AM32" s="42"/>
      <c r="AN32" s="42" t="s">
        <v>63</v>
      </c>
      <c r="AO32" s="42" t="s">
        <v>63</v>
      </c>
      <c r="AP32" s="42" t="s">
        <v>63</v>
      </c>
      <c r="AQ32" s="42" t="s">
        <v>63</v>
      </c>
      <c r="AR32" s="42"/>
      <c r="AS32" s="42" t="s">
        <v>63</v>
      </c>
      <c r="AT32" s="42" t="s">
        <v>63</v>
      </c>
      <c r="AU32" s="42"/>
      <c r="AV32" s="42"/>
      <c r="AW32" s="42" t="s">
        <v>63</v>
      </c>
      <c r="AX32" s="42" t="s">
        <v>63</v>
      </c>
      <c r="AY32" s="42" t="s">
        <v>63</v>
      </c>
      <c r="AZ32" s="42" t="s">
        <v>63</v>
      </c>
      <c r="BA32" s="42"/>
      <c r="BB32" s="42" t="s">
        <v>63</v>
      </c>
      <c r="BC32" s="42" t="s">
        <v>63</v>
      </c>
      <c r="BD32" s="42" t="s">
        <v>63</v>
      </c>
      <c r="BE32" s="42" t="s">
        <v>63</v>
      </c>
      <c r="BF32" s="42" t="s">
        <v>63</v>
      </c>
      <c r="BG32" s="42" t="s">
        <v>63</v>
      </c>
      <c r="BH32" s="42" t="s">
        <v>63</v>
      </c>
      <c r="BI32" s="42" t="s">
        <v>63</v>
      </c>
      <c r="BJ32" s="42" t="s">
        <v>63</v>
      </c>
      <c r="BK32" s="42" t="s">
        <v>63</v>
      </c>
      <c r="BL32" s="42" t="s">
        <v>63</v>
      </c>
    </row>
    <row r="33" spans="1:64" s="36" customFormat="1" ht="15.75">
      <c r="A33" s="33" t="s">
        <v>1177</v>
      </c>
      <c r="B33" s="34" t="s">
        <v>121</v>
      </c>
      <c r="C33" s="34" t="s">
        <v>121</v>
      </c>
      <c r="D33" s="33" t="s">
        <v>122</v>
      </c>
      <c r="E33" s="34">
        <f>IF(_xlfn.IFNA(VLOOKUP(B33,Data!B:G,3,FALSE),"")=0, "", _xlfn.IFNA(VLOOKUP(B33,Data!B:G,3,FALSE),""))</f>
        <v>3</v>
      </c>
      <c r="F33" s="33" t="s">
        <v>1175</v>
      </c>
      <c r="G33" s="33"/>
      <c r="H33" s="33" t="str">
        <f>IF(_xlfn.IFNA(VLOOKUP(C33,Data!A:G,5,FALSE),"")=0, "Check course registration information", _xlfn.IFNA(VLOOKUP(C33,Data!A:G,5,FALSE),""))</f>
        <v>Check course registration information</v>
      </c>
      <c r="I33" s="33"/>
      <c r="J33" s="33" t="str">
        <f>IF(_xlfn.IFNA(VLOOKUP(C33,Data!A:G,6,FALSE),"")=0, "Check course registration information", _xlfn.IFNA(VLOOKUP(C33,Data!A:G,6,FALSE),""))</f>
        <v>Legacy information online.</v>
      </c>
      <c r="K33" s="33" t="str">
        <f>IF(_xlfn.IFNA(VLOOKUP(C33,Data!A:H,7,FALSE),"")=0, "", _xlfn.IFNA(HYPERLINK(VLOOKUP(C33,Data!A:H,7,FALSE),"Catalog Link"),""))</f>
        <v>Catalog Link</v>
      </c>
      <c r="L33" s="33" t="str">
        <f>IF(_xlfn.IFNA(VLOOKUP(C33,Data!A:I,8,FALSE),"")=0, "", _xlfn.IFNA(HYPERLINK(VLOOKUP(C33,Data!A:I,8,FALSE),"Additional Information"),""))</f>
        <v>Additional Information</v>
      </c>
      <c r="M33" s="34">
        <f t="shared" si="1"/>
        <v>2</v>
      </c>
      <c r="N33" s="42" t="s">
        <v>63</v>
      </c>
      <c r="O33" s="42" t="s">
        <v>63</v>
      </c>
      <c r="P33" s="42" t="s">
        <v>63</v>
      </c>
      <c r="Q33" s="42" t="s">
        <v>63</v>
      </c>
      <c r="R33" s="42" t="s">
        <v>63</v>
      </c>
      <c r="S33" s="42" t="s">
        <v>63</v>
      </c>
      <c r="T33" s="42" t="s">
        <v>63</v>
      </c>
      <c r="U33" s="42" t="s">
        <v>63</v>
      </c>
      <c r="V33" s="42" t="s">
        <v>63</v>
      </c>
      <c r="W33" s="42" t="s">
        <v>63</v>
      </c>
      <c r="X33" s="42" t="s">
        <v>64</v>
      </c>
      <c r="Y33" s="42" t="s">
        <v>63</v>
      </c>
      <c r="Z33" s="42" t="s">
        <v>63</v>
      </c>
      <c r="AA33" s="43" t="s">
        <v>63</v>
      </c>
      <c r="AB33" s="42" t="s">
        <v>63</v>
      </c>
      <c r="AC33" s="42"/>
      <c r="AD33" s="42" t="s">
        <v>63</v>
      </c>
      <c r="AE33" s="42" t="s">
        <v>63</v>
      </c>
      <c r="AF33" s="42" t="s">
        <v>63</v>
      </c>
      <c r="AG33" s="42" t="s">
        <v>63</v>
      </c>
      <c r="AH33" s="42" t="s">
        <v>63</v>
      </c>
      <c r="AI33" s="42"/>
      <c r="AJ33" s="42" t="s">
        <v>63</v>
      </c>
      <c r="AK33" s="42"/>
      <c r="AL33" s="42" t="s">
        <v>63</v>
      </c>
      <c r="AM33" s="42"/>
      <c r="AN33" s="42" t="s">
        <v>63</v>
      </c>
      <c r="AO33" s="42" t="s">
        <v>63</v>
      </c>
      <c r="AP33" s="42" t="s">
        <v>63</v>
      </c>
      <c r="AQ33" s="42" t="s">
        <v>63</v>
      </c>
      <c r="AR33" s="42"/>
      <c r="AS33" s="42" t="s">
        <v>64</v>
      </c>
      <c r="AT33" s="42" t="s">
        <v>63</v>
      </c>
      <c r="AU33" s="42"/>
      <c r="AV33" s="42"/>
      <c r="AW33" s="42" t="s">
        <v>63</v>
      </c>
      <c r="AX33" s="42" t="s">
        <v>63</v>
      </c>
      <c r="AY33" s="42" t="s">
        <v>63</v>
      </c>
      <c r="AZ33" s="42" t="s">
        <v>63</v>
      </c>
      <c r="BA33" s="42"/>
      <c r="BB33" s="42" t="s">
        <v>63</v>
      </c>
      <c r="BC33" s="42" t="s">
        <v>63</v>
      </c>
      <c r="BD33" s="42" t="s">
        <v>63</v>
      </c>
      <c r="BE33" s="42" t="s">
        <v>63</v>
      </c>
      <c r="BF33" s="42" t="s">
        <v>63</v>
      </c>
      <c r="BG33" s="42" t="s">
        <v>63</v>
      </c>
      <c r="BH33" s="42" t="s">
        <v>63</v>
      </c>
      <c r="BI33" s="42" t="s">
        <v>63</v>
      </c>
      <c r="BJ33" s="42" t="s">
        <v>63</v>
      </c>
      <c r="BK33" s="42" t="s">
        <v>63</v>
      </c>
      <c r="BL33" s="42" t="s">
        <v>63</v>
      </c>
    </row>
    <row r="34" spans="1:64" s="36" customFormat="1" ht="15.75">
      <c r="A34" s="33" t="s">
        <v>1177</v>
      </c>
      <c r="B34" s="34" t="s">
        <v>125</v>
      </c>
      <c r="C34" s="34" t="s">
        <v>125</v>
      </c>
      <c r="D34" s="33" t="s">
        <v>126</v>
      </c>
      <c r="E34" s="34">
        <v>3</v>
      </c>
      <c r="F34" s="33" t="s">
        <v>1175</v>
      </c>
      <c r="G34" s="33"/>
      <c r="H34" s="33" t="str">
        <f>IF(_xlfn.IFNA(VLOOKUP(C34,Data!A:G,5,FALSE),"")=0, "Check course registration information", _xlfn.IFNA(VLOOKUP(C34,Data!A:G,5,FALSE),""))</f>
        <v>Check course registration information</v>
      </c>
      <c r="I34" s="33"/>
      <c r="J34" s="33" t="str">
        <f>IF(_xlfn.IFNA(VLOOKUP(C34,Data!A:G,6,FALSE),"")=0, "Check course registration information", _xlfn.IFNA(VLOOKUP(C34,Data!A:G,6,FALSE),""))</f>
        <v>Now CHE 56000</v>
      </c>
      <c r="K34" s="33" t="str">
        <f>IF(_xlfn.IFNA(VLOOKUP(C34,Data!A:H,7,FALSE),"")=0, "", _xlfn.IFNA(HYPERLINK(VLOOKUP(C34,Data!A:H,7,FALSE),"Catalog Link"),""))</f>
        <v>Catalog Link</v>
      </c>
      <c r="L34" s="33" t="str">
        <f>IF(_xlfn.IFNA(VLOOKUP(C34,Data!A:I,8,FALSE),"")=0, "", _xlfn.IFNA(HYPERLINK(VLOOKUP(C34,Data!A:I,8,FALSE),"Additional Information"),""))</f>
        <v/>
      </c>
      <c r="M34" s="34">
        <f t="shared" si="1"/>
        <v>0</v>
      </c>
      <c r="N34" s="42" t="s">
        <v>63</v>
      </c>
      <c r="O34" s="42" t="s">
        <v>63</v>
      </c>
      <c r="P34" s="42" t="s">
        <v>63</v>
      </c>
      <c r="Q34" s="42" t="s">
        <v>63</v>
      </c>
      <c r="R34" s="42" t="s">
        <v>63</v>
      </c>
      <c r="S34" s="42" t="s">
        <v>63</v>
      </c>
      <c r="T34" s="42" t="s">
        <v>63</v>
      </c>
      <c r="U34" s="42" t="s">
        <v>63</v>
      </c>
      <c r="V34" s="42" t="s">
        <v>63</v>
      </c>
      <c r="W34" s="42" t="s">
        <v>63</v>
      </c>
      <c r="X34" s="42" t="s">
        <v>63</v>
      </c>
      <c r="Y34" s="42" t="s">
        <v>63</v>
      </c>
      <c r="Z34" s="42" t="s">
        <v>63</v>
      </c>
      <c r="AA34" s="43" t="s">
        <v>63</v>
      </c>
      <c r="AB34" s="42" t="s">
        <v>63</v>
      </c>
      <c r="AC34" s="42"/>
      <c r="AD34" s="42" t="s">
        <v>63</v>
      </c>
      <c r="AE34" s="42" t="s">
        <v>63</v>
      </c>
      <c r="AF34" s="42" t="s">
        <v>63</v>
      </c>
      <c r="AG34" s="42" t="s">
        <v>63</v>
      </c>
      <c r="AH34" s="42" t="s">
        <v>63</v>
      </c>
      <c r="AI34" s="42"/>
      <c r="AJ34" s="42" t="s">
        <v>63</v>
      </c>
      <c r="AK34" s="42"/>
      <c r="AL34" s="42" t="s">
        <v>63</v>
      </c>
      <c r="AM34" s="42"/>
      <c r="AN34" s="42" t="s">
        <v>63</v>
      </c>
      <c r="AO34" s="42" t="s">
        <v>63</v>
      </c>
      <c r="AP34" s="42" t="s">
        <v>63</v>
      </c>
      <c r="AQ34" s="42" t="s">
        <v>63</v>
      </c>
      <c r="AR34" s="42"/>
      <c r="AS34" s="42" t="s">
        <v>63</v>
      </c>
      <c r="AT34" s="42" t="s">
        <v>63</v>
      </c>
      <c r="AU34" s="42"/>
      <c r="AV34" s="42"/>
      <c r="AW34" s="42" t="s">
        <v>63</v>
      </c>
      <c r="AX34" s="42" t="s">
        <v>63</v>
      </c>
      <c r="AY34" s="42" t="s">
        <v>63</v>
      </c>
      <c r="AZ34" s="42" t="s">
        <v>63</v>
      </c>
      <c r="BA34" s="42"/>
      <c r="BB34" s="42" t="s">
        <v>63</v>
      </c>
      <c r="BC34" s="42" t="s">
        <v>63</v>
      </c>
      <c r="BD34" s="42" t="s">
        <v>63</v>
      </c>
      <c r="BE34" s="42" t="s">
        <v>63</v>
      </c>
      <c r="BF34" s="42" t="s">
        <v>63</v>
      </c>
      <c r="BG34" s="42" t="s">
        <v>63</v>
      </c>
      <c r="BH34" s="42" t="s">
        <v>63</v>
      </c>
      <c r="BI34" s="42" t="s">
        <v>63</v>
      </c>
      <c r="BJ34" s="42" t="s">
        <v>63</v>
      </c>
      <c r="BK34" s="42" t="s">
        <v>63</v>
      </c>
      <c r="BL34" s="42" t="s">
        <v>63</v>
      </c>
    </row>
    <row r="35" spans="1:64" s="36" customFormat="1" ht="15.75">
      <c r="A35" s="33" t="s">
        <v>1177</v>
      </c>
      <c r="B35" s="34" t="s">
        <v>127</v>
      </c>
      <c r="C35" s="34" t="s">
        <v>127</v>
      </c>
      <c r="D35" s="33" t="s">
        <v>128</v>
      </c>
      <c r="E35" s="34">
        <f>IF(_xlfn.IFNA(VLOOKUP(B35,Data!B:G,3,FALSE),"")=0, "", _xlfn.IFNA(VLOOKUP(B35,Data!B:G,3,FALSE),""))</f>
        <v>3</v>
      </c>
      <c r="F35" s="33" t="s">
        <v>1175</v>
      </c>
      <c r="G35" s="33"/>
      <c r="H35" s="33" t="str">
        <f>IF(_xlfn.IFNA(VLOOKUP(C35,Data!A:G,5,FALSE),"")=0, "Check course registration information", _xlfn.IFNA(VLOOKUP(C35,Data!A:G,5,FALSE),""))</f>
        <v>Check course registration information</v>
      </c>
      <c r="I35" s="33"/>
      <c r="J35" s="33" t="str">
        <f>IF(_xlfn.IFNA(VLOOKUP(C35,Data!A:G,6,FALSE),"")=0, "Check course registration information", _xlfn.IFNA(VLOOKUP(C35,Data!A:G,6,FALSE),""))</f>
        <v>Legacy information online.</v>
      </c>
      <c r="K35" s="33" t="str">
        <f>IF(_xlfn.IFNA(VLOOKUP(C35,Data!A:H,7,FALSE),"")=0, "", _xlfn.IFNA(HYPERLINK(VLOOKUP(C35,Data!A:H,7,FALSE),"Catalog Link"),""))</f>
        <v>Catalog Link</v>
      </c>
      <c r="L35" s="33" t="str">
        <f>IF(_xlfn.IFNA(VLOOKUP(C35,Data!A:I,8,FALSE),"")=0, "", _xlfn.IFNA(HYPERLINK(VLOOKUP(C35,Data!A:I,8,FALSE),"Additional Information"),""))</f>
        <v>Additional Information</v>
      </c>
      <c r="M35" s="34">
        <f t="shared" si="1"/>
        <v>4</v>
      </c>
      <c r="N35" s="42" t="s">
        <v>64</v>
      </c>
      <c r="O35" s="42" t="s">
        <v>63</v>
      </c>
      <c r="P35" s="42" t="s">
        <v>63</v>
      </c>
      <c r="Q35" s="42" t="s">
        <v>63</v>
      </c>
      <c r="R35" s="42" t="s">
        <v>63</v>
      </c>
      <c r="S35" s="42" t="s">
        <v>64</v>
      </c>
      <c r="T35" s="42" t="s">
        <v>63</v>
      </c>
      <c r="U35" s="42" t="s">
        <v>63</v>
      </c>
      <c r="V35" s="42" t="s">
        <v>63</v>
      </c>
      <c r="W35" s="42" t="s">
        <v>64</v>
      </c>
      <c r="X35" s="42" t="s">
        <v>63</v>
      </c>
      <c r="Y35" s="42" t="s">
        <v>63</v>
      </c>
      <c r="Z35" s="42" t="s">
        <v>63</v>
      </c>
      <c r="AA35" s="43" t="s">
        <v>63</v>
      </c>
      <c r="AB35" s="42" t="s">
        <v>63</v>
      </c>
      <c r="AC35" s="42"/>
      <c r="AD35" s="42" t="s">
        <v>63</v>
      </c>
      <c r="AE35" s="42" t="s">
        <v>63</v>
      </c>
      <c r="AF35" s="42" t="s">
        <v>63</v>
      </c>
      <c r="AG35" s="42" t="s">
        <v>63</v>
      </c>
      <c r="AH35" s="42" t="s">
        <v>63</v>
      </c>
      <c r="AI35" s="42"/>
      <c r="AJ35" s="42" t="s">
        <v>63</v>
      </c>
      <c r="AK35" s="42"/>
      <c r="AL35" s="42" t="s">
        <v>63</v>
      </c>
      <c r="AM35" s="42"/>
      <c r="AN35" s="42" t="s">
        <v>63</v>
      </c>
      <c r="AO35" s="42" t="s">
        <v>63</v>
      </c>
      <c r="AP35" s="42" t="s">
        <v>63</v>
      </c>
      <c r="AQ35" s="42" t="s">
        <v>63</v>
      </c>
      <c r="AR35" s="42"/>
      <c r="AS35" s="42" t="s">
        <v>63</v>
      </c>
      <c r="AT35" s="42" t="s">
        <v>63</v>
      </c>
      <c r="AU35" s="42"/>
      <c r="AV35" s="42"/>
      <c r="AW35" s="42" t="s">
        <v>63</v>
      </c>
      <c r="AX35" s="42" t="s">
        <v>63</v>
      </c>
      <c r="AY35" s="42" t="s">
        <v>63</v>
      </c>
      <c r="AZ35" s="42" t="s">
        <v>63</v>
      </c>
      <c r="BA35" s="42"/>
      <c r="BB35" s="42" t="s">
        <v>63</v>
      </c>
      <c r="BC35" s="42" t="s">
        <v>63</v>
      </c>
      <c r="BD35" s="42" t="s">
        <v>63</v>
      </c>
      <c r="BE35" s="42" t="s">
        <v>63</v>
      </c>
      <c r="BF35" s="42" t="s">
        <v>64</v>
      </c>
      <c r="BG35" s="42" t="s">
        <v>63</v>
      </c>
      <c r="BH35" s="42" t="s">
        <v>63</v>
      </c>
      <c r="BI35" s="42" t="s">
        <v>63</v>
      </c>
      <c r="BJ35" s="42" t="s">
        <v>63</v>
      </c>
      <c r="BK35" s="42" t="s">
        <v>63</v>
      </c>
      <c r="BL35" s="42" t="s">
        <v>63</v>
      </c>
    </row>
    <row r="36" spans="1:64" s="36" customFormat="1" ht="15.75">
      <c r="A36" s="33" t="s">
        <v>1177</v>
      </c>
      <c r="B36" s="34" t="s">
        <v>129</v>
      </c>
      <c r="C36" s="34" t="s">
        <v>129</v>
      </c>
      <c r="D36" s="33" t="s">
        <v>130</v>
      </c>
      <c r="E36" s="34" t="str">
        <f>IF(_xlfn.IFNA(VLOOKUP(B36,Data!B:G,3,FALSE),"")=0, "", _xlfn.IFNA(VLOOKUP(B36,Data!B:G,3,FALSE),""))</f>
        <v/>
      </c>
      <c r="F36" s="33" t="s">
        <v>1175</v>
      </c>
      <c r="G36" s="33"/>
      <c r="H36" s="33" t="str">
        <f>IF(_xlfn.IFNA(VLOOKUP(C36,Data!A:G,5,FALSE),"")=0, "Check course registration information", _xlfn.IFNA(VLOOKUP(C36,Data!A:G,5,FALSE),""))</f>
        <v>Check course registration information</v>
      </c>
      <c r="I36" s="33"/>
      <c r="J36" s="33" t="str">
        <f>IF(_xlfn.IFNA(VLOOKUP(C36,Data!A:G,6,FALSE),"")=0, "Check course registration information", _xlfn.IFNA(VLOOKUP(C36,Data!A:G,6,FALSE),""))</f>
        <v>Check course registration information</v>
      </c>
      <c r="K36" s="33" t="str">
        <f>IF(_xlfn.IFNA(VLOOKUP(C36,Data!A:H,7,FALSE),"")=0, "", _xlfn.IFNA(HYPERLINK(VLOOKUP(C36,Data!A:H,7,FALSE),"Catalog Link"),""))</f>
        <v>Catalog Link</v>
      </c>
      <c r="L36" s="33" t="str">
        <f>IF(_xlfn.IFNA(VLOOKUP(C36,Data!A:I,8,FALSE),"")=0, "", _xlfn.IFNA(HYPERLINK(VLOOKUP(C36,Data!A:I,8,FALSE),"Additional Information"),""))</f>
        <v/>
      </c>
      <c r="M36" s="34">
        <f t="shared" si="1"/>
        <v>2</v>
      </c>
      <c r="N36" s="42" t="s">
        <v>63</v>
      </c>
      <c r="O36" s="42" t="s">
        <v>64</v>
      </c>
      <c r="P36" s="42" t="s">
        <v>63</v>
      </c>
      <c r="Q36" s="42" t="s">
        <v>63</v>
      </c>
      <c r="R36" s="42" t="s">
        <v>63</v>
      </c>
      <c r="S36" s="42" t="s">
        <v>63</v>
      </c>
      <c r="T36" s="42" t="s">
        <v>63</v>
      </c>
      <c r="U36" s="42" t="s">
        <v>63</v>
      </c>
      <c r="V36" s="42" t="s">
        <v>63</v>
      </c>
      <c r="W36" s="42" t="s">
        <v>63</v>
      </c>
      <c r="X36" s="42" t="s">
        <v>63</v>
      </c>
      <c r="Y36" s="42" t="s">
        <v>63</v>
      </c>
      <c r="Z36" s="42" t="s">
        <v>63</v>
      </c>
      <c r="AA36" s="43" t="s">
        <v>63</v>
      </c>
      <c r="AB36" s="42" t="s">
        <v>63</v>
      </c>
      <c r="AC36" s="42"/>
      <c r="AD36" s="42" t="s">
        <v>63</v>
      </c>
      <c r="AE36" s="42" t="s">
        <v>63</v>
      </c>
      <c r="AF36" s="42" t="s">
        <v>63</v>
      </c>
      <c r="AG36" s="42" t="s">
        <v>63</v>
      </c>
      <c r="AH36" s="42" t="s">
        <v>63</v>
      </c>
      <c r="AI36" s="42"/>
      <c r="AJ36" s="42" t="s">
        <v>63</v>
      </c>
      <c r="AK36" s="42"/>
      <c r="AL36" s="42" t="s">
        <v>63</v>
      </c>
      <c r="AM36" s="42"/>
      <c r="AN36" s="42" t="s">
        <v>63</v>
      </c>
      <c r="AO36" s="42" t="s">
        <v>63</v>
      </c>
      <c r="AP36" s="42" t="s">
        <v>63</v>
      </c>
      <c r="AQ36" s="42" t="s">
        <v>63</v>
      </c>
      <c r="AR36" s="42"/>
      <c r="AS36" s="42" t="s">
        <v>64</v>
      </c>
      <c r="AT36" s="42" t="s">
        <v>63</v>
      </c>
      <c r="AU36" s="42"/>
      <c r="AV36" s="42"/>
      <c r="AW36" s="42" t="s">
        <v>63</v>
      </c>
      <c r="AX36" s="42" t="s">
        <v>63</v>
      </c>
      <c r="AY36" s="42" t="s">
        <v>63</v>
      </c>
      <c r="AZ36" s="42" t="s">
        <v>63</v>
      </c>
      <c r="BA36" s="42"/>
      <c r="BB36" s="42" t="s">
        <v>63</v>
      </c>
      <c r="BC36" s="42" t="s">
        <v>63</v>
      </c>
      <c r="BD36" s="42" t="s">
        <v>63</v>
      </c>
      <c r="BE36" s="42" t="s">
        <v>63</v>
      </c>
      <c r="BF36" s="42" t="s">
        <v>63</v>
      </c>
      <c r="BG36" s="42" t="s">
        <v>63</v>
      </c>
      <c r="BH36" s="42" t="s">
        <v>63</v>
      </c>
      <c r="BI36" s="42" t="s">
        <v>63</v>
      </c>
      <c r="BJ36" s="42" t="s">
        <v>63</v>
      </c>
      <c r="BK36" s="42" t="s">
        <v>63</v>
      </c>
      <c r="BL36" s="42" t="s">
        <v>63</v>
      </c>
    </row>
    <row r="37" spans="1:64" s="36" customFormat="1" ht="15.75">
      <c r="A37" s="33" t="s">
        <v>1177</v>
      </c>
      <c r="B37" s="34" t="s">
        <v>131</v>
      </c>
      <c r="C37" s="34" t="s">
        <v>131</v>
      </c>
      <c r="D37" s="33" t="s">
        <v>132</v>
      </c>
      <c r="E37" s="34" t="str">
        <f>IF(_xlfn.IFNA(VLOOKUP(B37,Data!B:G,3,FALSE),"")=0, "", _xlfn.IFNA(VLOOKUP(B37,Data!B:G,3,FALSE),""))</f>
        <v/>
      </c>
      <c r="F37" s="33" t="s">
        <v>1175</v>
      </c>
      <c r="G37" s="33"/>
      <c r="H37" s="33" t="str">
        <f>IF(_xlfn.IFNA(VLOOKUP(C37,Data!A:G,5,FALSE),"")=0, "Check course registration information", _xlfn.IFNA(VLOOKUP(C37,Data!A:G,5,FALSE),""))</f>
        <v>Check course registration information</v>
      </c>
      <c r="I37" s="33"/>
      <c r="J37" s="33" t="str">
        <f>IF(_xlfn.IFNA(VLOOKUP(C37,Data!A:G,6,FALSE),"")=0, "Check course registration information", _xlfn.IFNA(VLOOKUP(C37,Data!A:G,6,FALSE),""))</f>
        <v>Check course registration information</v>
      </c>
      <c r="K37" s="33" t="str">
        <f>IF(_xlfn.IFNA(VLOOKUP(C37,Data!A:H,7,FALSE),"")=0, "", _xlfn.IFNA(HYPERLINK(VLOOKUP(C37,Data!A:H,7,FALSE),"Catalog Link"),""))</f>
        <v>Catalog Link</v>
      </c>
      <c r="L37" s="33" t="str">
        <f>IF(_xlfn.IFNA(VLOOKUP(C37,Data!A:I,8,FALSE),"")=0, "", _xlfn.IFNA(HYPERLINK(VLOOKUP(C37,Data!A:I,8,FALSE),"Additional Information"),""))</f>
        <v/>
      </c>
      <c r="M37" s="34">
        <f t="shared" si="1"/>
        <v>1</v>
      </c>
      <c r="N37" s="42" t="s">
        <v>63</v>
      </c>
      <c r="O37" s="42" t="s">
        <v>63</v>
      </c>
      <c r="P37" s="42" t="s">
        <v>63</v>
      </c>
      <c r="Q37" s="42" t="s">
        <v>63</v>
      </c>
      <c r="R37" s="42" t="s">
        <v>63</v>
      </c>
      <c r="S37" s="42" t="s">
        <v>63</v>
      </c>
      <c r="T37" s="42" t="s">
        <v>63</v>
      </c>
      <c r="U37" s="42" t="s">
        <v>63</v>
      </c>
      <c r="V37" s="42" t="s">
        <v>63</v>
      </c>
      <c r="W37" s="42" t="s">
        <v>63</v>
      </c>
      <c r="X37" s="42" t="s">
        <v>63</v>
      </c>
      <c r="Y37" s="42" t="s">
        <v>63</v>
      </c>
      <c r="Z37" s="42" t="s">
        <v>63</v>
      </c>
      <c r="AA37" s="43" t="s">
        <v>63</v>
      </c>
      <c r="AB37" s="42" t="s">
        <v>63</v>
      </c>
      <c r="AC37" s="42"/>
      <c r="AD37" s="42" t="s">
        <v>63</v>
      </c>
      <c r="AE37" s="42" t="s">
        <v>63</v>
      </c>
      <c r="AF37" s="42" t="s">
        <v>63</v>
      </c>
      <c r="AG37" s="42" t="s">
        <v>63</v>
      </c>
      <c r="AH37" s="42" t="s">
        <v>63</v>
      </c>
      <c r="AI37" s="42"/>
      <c r="AJ37" s="42" t="s">
        <v>63</v>
      </c>
      <c r="AK37" s="42"/>
      <c r="AL37" s="42" t="s">
        <v>63</v>
      </c>
      <c r="AM37" s="42"/>
      <c r="AN37" s="42" t="s">
        <v>63</v>
      </c>
      <c r="AO37" s="42" t="s">
        <v>63</v>
      </c>
      <c r="AP37" s="42" t="s">
        <v>63</v>
      </c>
      <c r="AQ37" s="42" t="s">
        <v>63</v>
      </c>
      <c r="AR37" s="42"/>
      <c r="AS37" s="42" t="s">
        <v>63</v>
      </c>
      <c r="AT37" s="42" t="s">
        <v>63</v>
      </c>
      <c r="AU37" s="42"/>
      <c r="AV37" s="42"/>
      <c r="AW37" s="42" t="s">
        <v>63</v>
      </c>
      <c r="AX37" s="42" t="s">
        <v>63</v>
      </c>
      <c r="AY37" s="42" t="s">
        <v>63</v>
      </c>
      <c r="AZ37" s="42" t="s">
        <v>63</v>
      </c>
      <c r="BA37" s="42"/>
      <c r="BB37" s="42" t="s">
        <v>63</v>
      </c>
      <c r="BC37" s="42" t="s">
        <v>63</v>
      </c>
      <c r="BD37" s="42" t="s">
        <v>63</v>
      </c>
      <c r="BE37" s="42" t="s">
        <v>63</v>
      </c>
      <c r="BF37" s="42" t="s">
        <v>64</v>
      </c>
      <c r="BG37" s="42" t="s">
        <v>63</v>
      </c>
      <c r="BH37" s="42" t="s">
        <v>63</v>
      </c>
      <c r="BI37" s="42" t="s">
        <v>63</v>
      </c>
      <c r="BJ37" s="42" t="s">
        <v>63</v>
      </c>
      <c r="BK37" s="42" t="s">
        <v>63</v>
      </c>
      <c r="BL37" s="42" t="s">
        <v>63</v>
      </c>
    </row>
    <row r="38" spans="1:64">
      <c r="A38" s="55" t="s">
        <v>1177</v>
      </c>
      <c r="B38" s="34" t="s">
        <v>456</v>
      </c>
      <c r="C38" s="34" t="s">
        <v>456</v>
      </c>
      <c r="D38" s="33" t="s">
        <v>457</v>
      </c>
      <c r="E38" s="34">
        <f>IF(_xlfn.IFNA(VLOOKUP(B38,Data!B:G,3,FALSE),"")=0, "", _xlfn.IFNA(VLOOKUP(B38,Data!B:G,3,FALSE),""))</f>
        <v>4</v>
      </c>
      <c r="F38" s="44" t="s">
        <v>106</v>
      </c>
      <c r="H38" s="33" t="str">
        <f>IF(_xlfn.IFNA(VLOOKUP(C38,Data!A:G,5,FALSE),"")=0, "Check course registration information", _xlfn.IFNA(VLOOKUP(C38,Data!A:G,5,FALSE),""))</f>
        <v>MA 15900 or MA 15800 or MA 15400 or MATH 15400 or MA 16100 [concurrent ok] or MA 16500 [concurrent ok] or MA 22300 [concurrent ok] or MA 23100 [concurrent ok] or MA 16010 [concurrent ok]) or ALEKS Math Assessment 075 or SATR Math 620 or SAT Mathematics 600 or ACT Math 26</v>
      </c>
      <c r="J38" s="33" t="str">
        <f>IF(_xlfn.IFNA(VLOOKUP(C38,Data!A:G,6,FALSE),"")=0, "Check course registration information", _xlfn.IFNA(VLOOKUP(C38,Data!A:G,6,FALSE),""))</f>
        <v>Stoichiometry; atomic structure; periodic properties; ionic and covalent bonding; molecular geometry; gases, liquids, and solids; crystal structure; thermochemistry; descriptive chemistry of metals and non-metals. Required of students majoring in science and students in engineering who are not in CHM 12300. One year of high school chemistry or one semester of college chemistry required. CTL:IPS 1721 General Chemistry I w/lab</v>
      </c>
      <c r="K38" s="33" t="str">
        <f>IF(_xlfn.IFNA(VLOOKUP(C38,Data!A:H,7,FALSE),"")=0, "", _xlfn.IFNA(HYPERLINK(VLOOKUP(C38,Data!A:H,7,FALSE),"Catalog Link"),""))</f>
        <v>Catalog Link</v>
      </c>
      <c r="L38" s="33" t="str">
        <f>IF(_xlfn.IFNA(VLOOKUP(C38,Data!A:I,8,FALSE),"")=0, "", _xlfn.IFNA(HYPERLINK(VLOOKUP(C38,Data!A:I,8,FALSE),"Additional Information"),""))</f>
        <v/>
      </c>
      <c r="M38" s="34">
        <f t="shared" si="1"/>
        <v>3</v>
      </c>
      <c r="N38" s="42" t="s">
        <v>63</v>
      </c>
      <c r="O38" s="42" t="s">
        <v>63</v>
      </c>
      <c r="P38" s="42" t="s">
        <v>63</v>
      </c>
      <c r="Q38" s="42" t="s">
        <v>63</v>
      </c>
      <c r="R38" s="42" t="s">
        <v>63</v>
      </c>
      <c r="S38" s="42" t="s">
        <v>63</v>
      </c>
      <c r="T38" s="42" t="s">
        <v>63</v>
      </c>
      <c r="U38" s="42" t="s">
        <v>63</v>
      </c>
      <c r="V38" s="42" t="s">
        <v>63</v>
      </c>
      <c r="W38" s="42" t="s">
        <v>64</v>
      </c>
      <c r="X38" s="42" t="s">
        <v>63</v>
      </c>
      <c r="Y38" s="42" t="s">
        <v>63</v>
      </c>
      <c r="Z38" s="42" t="s">
        <v>63</v>
      </c>
      <c r="AA38" s="43" t="s">
        <v>63</v>
      </c>
      <c r="AB38" s="42" t="s">
        <v>63</v>
      </c>
      <c r="AC38" s="42"/>
      <c r="AD38" s="42" t="s">
        <v>63</v>
      </c>
      <c r="AE38" s="42" t="s">
        <v>63</v>
      </c>
      <c r="AF38" s="42" t="s">
        <v>63</v>
      </c>
      <c r="AG38" s="42" t="s">
        <v>63</v>
      </c>
      <c r="AH38" s="42" t="s">
        <v>63</v>
      </c>
      <c r="AI38" s="42"/>
      <c r="AJ38" s="42" t="s">
        <v>63</v>
      </c>
      <c r="AK38" s="42"/>
      <c r="AL38" s="42" t="s">
        <v>63</v>
      </c>
      <c r="AM38" s="42"/>
      <c r="AN38" s="42" t="s">
        <v>63</v>
      </c>
      <c r="AO38" s="42" t="s">
        <v>63</v>
      </c>
      <c r="AP38" s="42" t="s">
        <v>63</v>
      </c>
      <c r="AQ38" s="42" t="s">
        <v>63</v>
      </c>
      <c r="AR38" s="42"/>
      <c r="AS38" s="42" t="s">
        <v>64</v>
      </c>
      <c r="AT38" s="42" t="s">
        <v>63</v>
      </c>
      <c r="AU38" s="42"/>
      <c r="AV38" s="42"/>
      <c r="AW38" s="42" t="s">
        <v>63</v>
      </c>
      <c r="AX38" s="42" t="s">
        <v>63</v>
      </c>
      <c r="AY38" s="42" t="s">
        <v>63</v>
      </c>
      <c r="AZ38" s="42" t="s">
        <v>63</v>
      </c>
      <c r="BA38" s="42"/>
      <c r="BB38" s="42" t="s">
        <v>63</v>
      </c>
      <c r="BC38" s="42" t="s">
        <v>63</v>
      </c>
      <c r="BD38" s="42" t="s">
        <v>63</v>
      </c>
      <c r="BE38" s="42" t="s">
        <v>63</v>
      </c>
      <c r="BF38" s="42" t="s">
        <v>64</v>
      </c>
      <c r="BG38" s="42" t="s">
        <v>63</v>
      </c>
      <c r="BH38" s="42" t="s">
        <v>63</v>
      </c>
      <c r="BI38" s="42" t="s">
        <v>63</v>
      </c>
      <c r="BJ38" s="42" t="s">
        <v>63</v>
      </c>
      <c r="BK38" s="42" t="s">
        <v>63</v>
      </c>
      <c r="BL38" s="42" t="s">
        <v>63</v>
      </c>
    </row>
    <row r="39" spans="1:64">
      <c r="A39" s="55" t="s">
        <v>1177</v>
      </c>
      <c r="B39" s="34" t="s">
        <v>476</v>
      </c>
      <c r="C39" s="34" t="s">
        <v>476</v>
      </c>
      <c r="D39" s="33" t="s">
        <v>477</v>
      </c>
      <c r="E39" s="34">
        <f>IF(_xlfn.IFNA(VLOOKUP(B39,Data!B:G,3,FALSE),"")=0, "", _xlfn.IFNA(VLOOKUP(B39,Data!B:G,3,FALSE),""))</f>
        <v>4</v>
      </c>
      <c r="F39" s="44" t="s">
        <v>106</v>
      </c>
      <c r="H39" s="33" t="str">
        <f>IF(_xlfn.IFNA(VLOOKUP(C39,Data!A:G,5,FALSE),"")=0, "Check course registration information", _xlfn.IFNA(VLOOKUP(C39,Data!A:G,5,FALSE),""))</f>
        <v>CHM 11200 or CHM 11500 or CHM 12500 or CHM 10901 or CHM 12901 or CHM 12300 or CHM 13500 or (CHEM C1050 and CHEM C1250) or (CHEM C1010 and CHEM C1210</v>
      </c>
      <c r="J39" s="33" t="str">
        <f>IF(_xlfn.IFNA(VLOOKUP(C39,Data!A:G,6,FALSE),"")=0, "Check course registration information", _xlfn.IFNA(VLOOKUP(C39,Data!A:G,6,FALSE),""))</f>
        <v>A continuation of CHM 11500. Solutions; quantitative equilibria in aqueous solution; introductory thermodynamics; oxidation-reduction and electrochemistry; chemical kinetics; qualitative analysis; further descriptive chemistry of metals and nonmetals. CTL:IPS 1722 General Chemistry II w/lab</v>
      </c>
      <c r="K39" s="33" t="str">
        <f>IF(_xlfn.IFNA(VLOOKUP(C39,Data!A:H,7,FALSE),"")=0, "", _xlfn.IFNA(HYPERLINK(VLOOKUP(C39,Data!A:H,7,FALSE),"Catalog Link"),""))</f>
        <v>Catalog Link</v>
      </c>
      <c r="L39" s="33" t="str">
        <f>IF(_xlfn.IFNA(VLOOKUP(C39,Data!A:I,8,FALSE),"")=0, "", _xlfn.IFNA(HYPERLINK(VLOOKUP(C39,Data!A:I,8,FALSE),"Additional Information"),""))</f>
        <v/>
      </c>
      <c r="M39" s="34">
        <f t="shared" si="1"/>
        <v>4</v>
      </c>
      <c r="N39" s="42" t="s">
        <v>63</v>
      </c>
      <c r="O39" s="42" t="s">
        <v>63</v>
      </c>
      <c r="P39" s="42" t="s">
        <v>63</v>
      </c>
      <c r="Q39" s="42" t="s">
        <v>63</v>
      </c>
      <c r="R39" s="42" t="s">
        <v>63</v>
      </c>
      <c r="S39" s="42" t="s">
        <v>64</v>
      </c>
      <c r="T39" s="42" t="s">
        <v>63</v>
      </c>
      <c r="U39" s="42" t="s">
        <v>63</v>
      </c>
      <c r="V39" s="42" t="s">
        <v>63</v>
      </c>
      <c r="W39" s="42" t="s">
        <v>64</v>
      </c>
      <c r="X39" s="42" t="s">
        <v>63</v>
      </c>
      <c r="Y39" s="42" t="s">
        <v>63</v>
      </c>
      <c r="Z39" s="42" t="s">
        <v>63</v>
      </c>
      <c r="AA39" s="43" t="s">
        <v>63</v>
      </c>
      <c r="AB39" s="42" t="s">
        <v>63</v>
      </c>
      <c r="AC39" s="42"/>
      <c r="AD39" s="42" t="s">
        <v>63</v>
      </c>
      <c r="AE39" s="42" t="s">
        <v>63</v>
      </c>
      <c r="AF39" s="42" t="s">
        <v>63</v>
      </c>
      <c r="AG39" s="42" t="s">
        <v>63</v>
      </c>
      <c r="AH39" s="42" t="s">
        <v>63</v>
      </c>
      <c r="AI39" s="42"/>
      <c r="AJ39" s="42" t="s">
        <v>63</v>
      </c>
      <c r="AK39" s="42"/>
      <c r="AL39" s="42" t="s">
        <v>63</v>
      </c>
      <c r="AM39" s="42"/>
      <c r="AN39" s="42" t="s">
        <v>63</v>
      </c>
      <c r="AO39" s="42" t="s">
        <v>63</v>
      </c>
      <c r="AP39" s="42" t="s">
        <v>63</v>
      </c>
      <c r="AQ39" s="42" t="s">
        <v>63</v>
      </c>
      <c r="AR39" s="42"/>
      <c r="AS39" s="42" t="s">
        <v>64</v>
      </c>
      <c r="AT39" s="42" t="s">
        <v>63</v>
      </c>
      <c r="AU39" s="42"/>
      <c r="AV39" s="42"/>
      <c r="AW39" s="42" t="s">
        <v>63</v>
      </c>
      <c r="AX39" s="42" t="s">
        <v>63</v>
      </c>
      <c r="AY39" s="42" t="s">
        <v>63</v>
      </c>
      <c r="AZ39" s="42" t="s">
        <v>63</v>
      </c>
      <c r="BA39" s="42"/>
      <c r="BB39" s="42" t="s">
        <v>63</v>
      </c>
      <c r="BC39" s="42" t="s">
        <v>63</v>
      </c>
      <c r="BD39" s="42" t="s">
        <v>63</v>
      </c>
      <c r="BE39" s="42" t="s">
        <v>63</v>
      </c>
      <c r="BF39" s="42" t="s">
        <v>64</v>
      </c>
      <c r="BG39" s="42" t="s">
        <v>63</v>
      </c>
      <c r="BH39" s="42" t="s">
        <v>63</v>
      </c>
      <c r="BI39" s="42" t="s">
        <v>63</v>
      </c>
      <c r="BJ39" s="42" t="s">
        <v>63</v>
      </c>
      <c r="BK39" s="42" t="s">
        <v>63</v>
      </c>
      <c r="BL39" s="42" t="s">
        <v>63</v>
      </c>
    </row>
    <row r="40" spans="1:64" s="36" customFormat="1" ht="15.75">
      <c r="A40" s="33" t="s">
        <v>1177</v>
      </c>
      <c r="B40" s="34" t="s">
        <v>138</v>
      </c>
      <c r="C40" s="34" t="s">
        <v>138</v>
      </c>
      <c r="D40" s="33" t="s">
        <v>140</v>
      </c>
      <c r="E40" s="34">
        <f>IF(_xlfn.IFNA(VLOOKUP(B40,Data!B:G,3,FALSE),"")=0, "", _xlfn.IFNA(VLOOKUP(B40,Data!B:G,3,FALSE),""))</f>
        <v>3</v>
      </c>
      <c r="F40" s="33" t="s">
        <v>1175</v>
      </c>
      <c r="G40" s="33"/>
      <c r="H40" s="33" t="str">
        <f>IF(_xlfn.IFNA(VLOOKUP(C40,Data!A:G,5,FALSE),"")=0, "Check course registration information", _xlfn.IFNA(VLOOKUP(C40,Data!A:G,5,FALSE),""))</f>
        <v>CHM 11600 or CHM 12600 or CHM 12901 or CHM 13600 or (CHM 11610 and CHM 11620</v>
      </c>
      <c r="I40" s="33"/>
      <c r="J40" s="33" t="str">
        <f>IF(_xlfn.IFNA(VLOOKUP(C40,Data!A:G,6,FALSE),"")=0, "Check course registration information", _xlfn.IFNA(VLOOKUP(C40,Data!A:G,6,FALSE),""))</f>
        <v>Introduction to approaches analytical chemists use to analyze the composition of matter, including statistics, calibration, and understanding chemical equilibrium (acid/base, complexation, solubility, polyprotic acid treatment, acid/base/redox/precipitation titrations); general approaches to analysis at the trace level; recognition and evaluation of possible sources of error and how error propagates; introduction to how light interacts with matter (and how analytical chemists can take advantage of this)</v>
      </c>
      <c r="K40" s="33" t="str">
        <f>IF(_xlfn.IFNA(VLOOKUP(C40,Data!A:H,7,FALSE),"")=0, "", _xlfn.IFNA(HYPERLINK(VLOOKUP(C40,Data!A:H,7,FALSE),"Catalog Link"),""))</f>
        <v>Catalog Link</v>
      </c>
      <c r="L40" s="33" t="str">
        <f>IF(_xlfn.IFNA(VLOOKUP(C40,Data!A:I,8,FALSE),"")=0, "", _xlfn.IFNA(HYPERLINK(VLOOKUP(C40,Data!A:I,8,FALSE),"Additional Information"),""))</f>
        <v/>
      </c>
      <c r="M40" s="34">
        <f t="shared" si="1"/>
        <v>2</v>
      </c>
      <c r="N40" s="42" t="s">
        <v>63</v>
      </c>
      <c r="O40" s="42" t="s">
        <v>63</v>
      </c>
      <c r="P40" s="42" t="s">
        <v>63</v>
      </c>
      <c r="Q40" s="42" t="s">
        <v>63</v>
      </c>
      <c r="R40" s="42" t="s">
        <v>63</v>
      </c>
      <c r="S40" s="42" t="s">
        <v>64</v>
      </c>
      <c r="T40" s="42" t="s">
        <v>63</v>
      </c>
      <c r="U40" s="42" t="s">
        <v>63</v>
      </c>
      <c r="V40" s="42" t="s">
        <v>63</v>
      </c>
      <c r="W40" s="42" t="s">
        <v>63</v>
      </c>
      <c r="X40" s="42" t="s">
        <v>63</v>
      </c>
      <c r="Y40" s="42" t="s">
        <v>63</v>
      </c>
      <c r="Z40" s="42" t="s">
        <v>63</v>
      </c>
      <c r="AA40" s="43" t="s">
        <v>63</v>
      </c>
      <c r="AB40" s="42" t="s">
        <v>63</v>
      </c>
      <c r="AC40" s="42"/>
      <c r="AD40" s="42" t="s">
        <v>63</v>
      </c>
      <c r="AE40" s="42" t="s">
        <v>63</v>
      </c>
      <c r="AF40" s="42" t="s">
        <v>63</v>
      </c>
      <c r="AG40" s="42" t="s">
        <v>63</v>
      </c>
      <c r="AH40" s="42" t="s">
        <v>63</v>
      </c>
      <c r="AI40" s="42"/>
      <c r="AJ40" s="42" t="s">
        <v>63</v>
      </c>
      <c r="AK40" s="42"/>
      <c r="AL40" s="42" t="s">
        <v>63</v>
      </c>
      <c r="AM40" s="42"/>
      <c r="AN40" s="42" t="s">
        <v>63</v>
      </c>
      <c r="AO40" s="42" t="s">
        <v>63</v>
      </c>
      <c r="AP40" s="42" t="s">
        <v>63</v>
      </c>
      <c r="AQ40" s="42" t="s">
        <v>63</v>
      </c>
      <c r="AR40" s="42"/>
      <c r="AS40" s="42" t="s">
        <v>63</v>
      </c>
      <c r="AT40" s="42" t="s">
        <v>63</v>
      </c>
      <c r="AU40" s="42"/>
      <c r="AV40" s="42"/>
      <c r="AW40" s="42" t="s">
        <v>63</v>
      </c>
      <c r="AX40" s="42" t="s">
        <v>63</v>
      </c>
      <c r="AY40" s="42" t="s">
        <v>63</v>
      </c>
      <c r="AZ40" s="42" t="s">
        <v>63</v>
      </c>
      <c r="BA40" s="42"/>
      <c r="BB40" s="42" t="s">
        <v>63</v>
      </c>
      <c r="BC40" s="42" t="s">
        <v>64</v>
      </c>
      <c r="BD40" s="42" t="s">
        <v>63</v>
      </c>
      <c r="BE40" s="42" t="s">
        <v>63</v>
      </c>
      <c r="BF40" s="42" t="s">
        <v>63</v>
      </c>
      <c r="BG40" s="42" t="s">
        <v>63</v>
      </c>
      <c r="BH40" s="42" t="s">
        <v>63</v>
      </c>
      <c r="BI40" s="42" t="s">
        <v>63</v>
      </c>
      <c r="BJ40" s="42" t="s">
        <v>63</v>
      </c>
      <c r="BK40" s="42"/>
      <c r="BL40" s="42" t="s">
        <v>63</v>
      </c>
    </row>
    <row r="41" spans="1:64" s="36" customFormat="1" ht="15.75">
      <c r="A41" s="33" t="s">
        <v>1177</v>
      </c>
      <c r="B41" s="34" t="s">
        <v>141</v>
      </c>
      <c r="C41" s="34" t="s">
        <v>141</v>
      </c>
      <c r="D41" s="33" t="s">
        <v>142</v>
      </c>
      <c r="E41" s="34">
        <f>IF(_xlfn.IFNA(VLOOKUP(B41,Data!B:G,3,FALSE),"")=0, "", _xlfn.IFNA(VLOOKUP(B41,Data!B:G,3,FALSE),""))</f>
        <v>4</v>
      </c>
      <c r="F41" s="33" t="s">
        <v>1175</v>
      </c>
      <c r="G41" s="33"/>
      <c r="H41" s="33" t="str">
        <f>IF(_xlfn.IFNA(VLOOKUP(C41,Data!A:G,5,FALSE),"")=0, "Check course registration information", _xlfn.IFNA(VLOOKUP(C41,Data!A:G,5,FALSE),""))</f>
        <v>CHM 11600 or CHM 12600 or CHM 13600 or (CHEM C1020 and CHEM C1220) or (CHEM C1060 and CHEM C1260</v>
      </c>
      <c r="I41" s="33"/>
      <c r="J41" s="33" t="str">
        <f>IF(_xlfn.IFNA(VLOOKUP(C41,Data!A:G,6,FALSE),"")=0, "Check course registration information", _xlfn.IFNA(VLOOKUP(C41,Data!A:G,6,FALSE),""))</f>
        <v>Descriptive inorganic chemistry dealing in a systematic way with the elements and the structures, properties, and reactions of their compounds. Required of students majoring in chemistry</v>
      </c>
      <c r="K41" s="33" t="str">
        <f>IF(_xlfn.IFNA(VLOOKUP(C41,Data!A:H,7,FALSE),"")=0, "", _xlfn.IFNA(HYPERLINK(VLOOKUP(C41,Data!A:H,7,FALSE),"Catalog Link"),""))</f>
        <v>Catalog Link</v>
      </c>
      <c r="L41" s="33" t="str">
        <f>IF(_xlfn.IFNA(VLOOKUP(C41,Data!A:I,8,FALSE),"")=0, "", _xlfn.IFNA(HYPERLINK(VLOOKUP(C41,Data!A:I,8,FALSE),"Additional Information"),""))</f>
        <v/>
      </c>
      <c r="M41" s="34">
        <f t="shared" si="1"/>
        <v>0</v>
      </c>
      <c r="N41" s="42" t="s">
        <v>63</v>
      </c>
      <c r="O41" s="42" t="s">
        <v>63</v>
      </c>
      <c r="P41" s="42" t="s">
        <v>63</v>
      </c>
      <c r="Q41" s="42" t="s">
        <v>63</v>
      </c>
      <c r="R41" s="42" t="s">
        <v>63</v>
      </c>
      <c r="S41" s="42" t="s">
        <v>63</v>
      </c>
      <c r="T41" s="42" t="s">
        <v>63</v>
      </c>
      <c r="U41" s="42" t="s">
        <v>63</v>
      </c>
      <c r="V41" s="42" t="s">
        <v>63</v>
      </c>
      <c r="W41" s="42" t="s">
        <v>63</v>
      </c>
      <c r="X41" s="42" t="s">
        <v>63</v>
      </c>
      <c r="Y41" s="42" t="s">
        <v>63</v>
      </c>
      <c r="Z41" s="42" t="s">
        <v>63</v>
      </c>
      <c r="AA41" s="43" t="s">
        <v>63</v>
      </c>
      <c r="AB41" s="42" t="s">
        <v>63</v>
      </c>
      <c r="AC41" s="42"/>
      <c r="AD41" s="42" t="s">
        <v>63</v>
      </c>
      <c r="AE41" s="42" t="s">
        <v>63</v>
      </c>
      <c r="AF41" s="42" t="s">
        <v>63</v>
      </c>
      <c r="AG41" s="42" t="s">
        <v>63</v>
      </c>
      <c r="AH41" s="42" t="s">
        <v>63</v>
      </c>
      <c r="AI41" s="42"/>
      <c r="AJ41" s="42" t="s">
        <v>63</v>
      </c>
      <c r="AK41" s="42"/>
      <c r="AL41" s="42" t="s">
        <v>63</v>
      </c>
      <c r="AM41" s="42"/>
      <c r="AN41" s="42" t="s">
        <v>63</v>
      </c>
      <c r="AO41" s="42" t="s">
        <v>63</v>
      </c>
      <c r="AP41" s="42" t="s">
        <v>63</v>
      </c>
      <c r="AQ41" s="42" t="s">
        <v>63</v>
      </c>
      <c r="AR41" s="42"/>
      <c r="AS41" s="42" t="s">
        <v>63</v>
      </c>
      <c r="AT41" s="42" t="s">
        <v>63</v>
      </c>
      <c r="AU41" s="42"/>
      <c r="AV41" s="42"/>
      <c r="AW41" s="42" t="s">
        <v>63</v>
      </c>
      <c r="AX41" s="42" t="s">
        <v>63</v>
      </c>
      <c r="AY41" s="42" t="s">
        <v>63</v>
      </c>
      <c r="AZ41" s="42" t="s">
        <v>63</v>
      </c>
      <c r="BA41" s="42"/>
      <c r="BB41" s="42" t="s">
        <v>63</v>
      </c>
      <c r="BC41" s="42" t="s">
        <v>63</v>
      </c>
      <c r="BD41" s="42" t="s">
        <v>63</v>
      </c>
      <c r="BE41" s="42" t="s">
        <v>63</v>
      </c>
      <c r="BF41" s="42" t="s">
        <v>63</v>
      </c>
      <c r="BG41" s="42" t="s">
        <v>63</v>
      </c>
      <c r="BH41" s="42" t="s">
        <v>63</v>
      </c>
      <c r="BI41" s="42" t="s">
        <v>63</v>
      </c>
      <c r="BJ41" s="42" t="s">
        <v>63</v>
      </c>
      <c r="BK41" s="42" t="s">
        <v>63</v>
      </c>
      <c r="BL41" s="42" t="s">
        <v>63</v>
      </c>
    </row>
    <row r="42" spans="1:64" s="36" customFormat="1" ht="15.75">
      <c r="A42" s="33" t="s">
        <v>1177</v>
      </c>
      <c r="B42" s="34" t="s">
        <v>143</v>
      </c>
      <c r="C42" s="34" t="s">
        <v>143</v>
      </c>
      <c r="D42" s="33" t="s">
        <v>144</v>
      </c>
      <c r="E42" s="34">
        <f>IF(_xlfn.IFNA(VLOOKUP(B42,Data!B:G,3,FALSE),"")=0, "", _xlfn.IFNA(VLOOKUP(B42,Data!B:G,3,FALSE),""))</f>
        <v>3</v>
      </c>
      <c r="F42" s="33" t="s">
        <v>1175</v>
      </c>
      <c r="G42" s="33"/>
      <c r="H42" s="33" t="str">
        <f>IF(_xlfn.IFNA(VLOOKUP(C42,Data!A:G,5,FALSE),"")=0, "Check course registration information", _xlfn.IFNA(VLOOKUP(C42,Data!A:G,5,FALSE),""))</f>
        <v>CHM 11600 or CHM 11610 or CHM 12600 or CHM 13600 or CHM 12901 or (CHEM C1060 and CHEM C1260</v>
      </c>
      <c r="I42" s="33"/>
      <c r="J42" s="33" t="str">
        <f>IF(_xlfn.IFNA(VLOOKUP(C42,Data!A:G,6,FALSE),"")=0, "Check course registration information", _xlfn.IFNA(VLOOKUP(C42,Data!A:G,6,FALSE),""))</f>
        <v>A comprehensive study of the chemical principles underlying aliphatic and aromatic compounds. The syntheses and reactions of these materials are discussed. Modern theory and stereochemistry are stressed to illustrate the logic inherent in the subject matter and to demonstrate the predictability of many chemical transformations. Recommended for students majoring in chemical engineering. If not a chemical engineering major, see CHM 26505 Organic Chemistry</v>
      </c>
      <c r="K42" s="33" t="str">
        <f>IF(_xlfn.IFNA(VLOOKUP(C42,Data!A:H,7,FALSE),"")=0, "", _xlfn.IFNA(HYPERLINK(VLOOKUP(C42,Data!A:H,7,FALSE),"Catalog Link"),""))</f>
        <v>Catalog Link</v>
      </c>
      <c r="L42" s="33" t="str">
        <f>IF(_xlfn.IFNA(VLOOKUP(C42,Data!A:I,8,FALSE),"")=0, "", _xlfn.IFNA(HYPERLINK(VLOOKUP(C42,Data!A:I,8,FALSE),"Additional Information"),""))</f>
        <v/>
      </c>
      <c r="M42" s="34">
        <f t="shared" si="1"/>
        <v>3</v>
      </c>
      <c r="N42" s="42" t="s">
        <v>63</v>
      </c>
      <c r="O42" s="42" t="s">
        <v>63</v>
      </c>
      <c r="P42" s="42" t="s">
        <v>63</v>
      </c>
      <c r="Q42" s="42" t="s">
        <v>63</v>
      </c>
      <c r="R42" s="42" t="s">
        <v>63</v>
      </c>
      <c r="S42" s="42" t="s">
        <v>63</v>
      </c>
      <c r="T42" s="42" t="s">
        <v>63</v>
      </c>
      <c r="U42" s="42" t="s">
        <v>63</v>
      </c>
      <c r="V42" s="42" t="s">
        <v>63</v>
      </c>
      <c r="W42" s="42" t="s">
        <v>64</v>
      </c>
      <c r="X42" s="42" t="s">
        <v>63</v>
      </c>
      <c r="Y42" s="42" t="s">
        <v>63</v>
      </c>
      <c r="Z42" s="42" t="s">
        <v>63</v>
      </c>
      <c r="AA42" s="43" t="s">
        <v>63</v>
      </c>
      <c r="AB42" s="42" t="s">
        <v>63</v>
      </c>
      <c r="AC42" s="42"/>
      <c r="AD42" s="42" t="s">
        <v>63</v>
      </c>
      <c r="AE42" s="42" t="s">
        <v>63</v>
      </c>
      <c r="AF42" s="42" t="s">
        <v>63</v>
      </c>
      <c r="AG42" s="42" t="s">
        <v>63</v>
      </c>
      <c r="AH42" s="42" t="s">
        <v>63</v>
      </c>
      <c r="AI42" s="42"/>
      <c r="AJ42" s="42" t="s">
        <v>63</v>
      </c>
      <c r="AK42" s="42"/>
      <c r="AL42" s="42" t="s">
        <v>63</v>
      </c>
      <c r="AM42" s="42"/>
      <c r="AN42" s="42" t="s">
        <v>63</v>
      </c>
      <c r="AO42" s="42" t="s">
        <v>63</v>
      </c>
      <c r="AP42" s="42" t="s">
        <v>63</v>
      </c>
      <c r="AQ42" s="42" t="s">
        <v>63</v>
      </c>
      <c r="AR42" s="42"/>
      <c r="AS42" s="42" t="s">
        <v>64</v>
      </c>
      <c r="AT42" s="42" t="s">
        <v>63</v>
      </c>
      <c r="AU42" s="42"/>
      <c r="AV42" s="42"/>
      <c r="AW42" s="42" t="s">
        <v>63</v>
      </c>
      <c r="AX42" s="42" t="s">
        <v>63</v>
      </c>
      <c r="AY42" s="42" t="s">
        <v>63</v>
      </c>
      <c r="AZ42" s="42" t="s">
        <v>63</v>
      </c>
      <c r="BA42" s="42"/>
      <c r="BB42" s="42" t="s">
        <v>63</v>
      </c>
      <c r="BC42" s="42" t="s">
        <v>63</v>
      </c>
      <c r="BD42" s="42" t="s">
        <v>63</v>
      </c>
      <c r="BE42" s="42" t="s">
        <v>63</v>
      </c>
      <c r="BF42" s="42" t="s">
        <v>64</v>
      </c>
      <c r="BG42" s="42" t="s">
        <v>63</v>
      </c>
      <c r="BH42" s="42" t="s">
        <v>63</v>
      </c>
      <c r="BI42" s="42" t="s">
        <v>63</v>
      </c>
      <c r="BJ42" s="42" t="s">
        <v>63</v>
      </c>
      <c r="BK42" s="42" t="s">
        <v>63</v>
      </c>
      <c r="BL42" s="42" t="s">
        <v>63</v>
      </c>
    </row>
    <row r="43" spans="1:64" s="36" customFormat="1" ht="15.75">
      <c r="A43" s="33" t="s">
        <v>1177</v>
      </c>
      <c r="B43" s="34" t="s">
        <v>145</v>
      </c>
      <c r="C43" s="34" t="s">
        <v>145</v>
      </c>
      <c r="D43" s="33" t="s">
        <v>146</v>
      </c>
      <c r="E43" s="34">
        <f>IF(_xlfn.IFNA(VLOOKUP(B43,Data!B:G,3,FALSE),"")=0, "", _xlfn.IFNA(VLOOKUP(B43,Data!B:G,3,FALSE),""))</f>
        <v>3</v>
      </c>
      <c r="F43" s="33" t="s">
        <v>1175</v>
      </c>
      <c r="G43" s="33"/>
      <c r="H43" s="33" t="str">
        <f>IF(_xlfn.IFNA(VLOOKUP(C43,Data!A:G,5,FALSE),"")=0, "Check course registration information", _xlfn.IFNA(VLOOKUP(C43,Data!A:G,5,FALSE),""))</f>
        <v>CHM 26100 or CHEM C3410 or CHM 26505</v>
      </c>
      <c r="I43" s="33"/>
      <c r="J43" s="33" t="str">
        <f>IF(_xlfn.IFNA(VLOOKUP(C43,Data!A:G,6,FALSE),"")=0, "Check course registration information", _xlfn.IFNA(VLOOKUP(C43,Data!A:G,6,FALSE),""))</f>
        <v>A continuation of CHM 26100, but a broader scope. The chemistry of a variety of functional groups is discussed. Theory is employed extensively to demonstrate the coherence underlying seemingly diverse transformations. Qualitative organic analysis is introduced, with particular emphasis on spectroscopic methods</v>
      </c>
      <c r="K43" s="33" t="str">
        <f>IF(_xlfn.IFNA(VLOOKUP(C43,Data!A:H,7,FALSE),"")=0, "", _xlfn.IFNA(HYPERLINK(VLOOKUP(C43,Data!A:H,7,FALSE),"Catalog Link"),""))</f>
        <v>Catalog Link</v>
      </c>
      <c r="L43" s="33" t="str">
        <f>IF(_xlfn.IFNA(VLOOKUP(C43,Data!A:I,8,FALSE),"")=0, "", _xlfn.IFNA(HYPERLINK(VLOOKUP(C43,Data!A:I,8,FALSE),"Additional Information"),""))</f>
        <v/>
      </c>
      <c r="M43" s="34">
        <f t="shared" si="1"/>
        <v>3</v>
      </c>
      <c r="N43" s="42" t="s">
        <v>63</v>
      </c>
      <c r="O43" s="42" t="s">
        <v>63</v>
      </c>
      <c r="P43" s="42" t="s">
        <v>63</v>
      </c>
      <c r="Q43" s="42" t="s">
        <v>63</v>
      </c>
      <c r="R43" s="42" t="s">
        <v>63</v>
      </c>
      <c r="S43" s="42" t="s">
        <v>63</v>
      </c>
      <c r="T43" s="42" t="s">
        <v>63</v>
      </c>
      <c r="U43" s="42" t="s">
        <v>63</v>
      </c>
      <c r="V43" s="42" t="s">
        <v>63</v>
      </c>
      <c r="W43" s="42" t="s">
        <v>64</v>
      </c>
      <c r="X43" s="42" t="s">
        <v>63</v>
      </c>
      <c r="Y43" s="42" t="s">
        <v>63</v>
      </c>
      <c r="Z43" s="42" t="s">
        <v>63</v>
      </c>
      <c r="AA43" s="43" t="s">
        <v>63</v>
      </c>
      <c r="AB43" s="42" t="s">
        <v>63</v>
      </c>
      <c r="AC43" s="42"/>
      <c r="AD43" s="42" t="s">
        <v>63</v>
      </c>
      <c r="AE43" s="42" t="s">
        <v>63</v>
      </c>
      <c r="AF43" s="42" t="s">
        <v>63</v>
      </c>
      <c r="AG43" s="42" t="s">
        <v>63</v>
      </c>
      <c r="AH43" s="42" t="s">
        <v>63</v>
      </c>
      <c r="AI43" s="42"/>
      <c r="AJ43" s="42" t="s">
        <v>63</v>
      </c>
      <c r="AK43" s="42"/>
      <c r="AL43" s="42" t="s">
        <v>63</v>
      </c>
      <c r="AM43" s="42"/>
      <c r="AN43" s="42" t="s">
        <v>63</v>
      </c>
      <c r="AO43" s="42" t="s">
        <v>63</v>
      </c>
      <c r="AP43" s="42" t="s">
        <v>63</v>
      </c>
      <c r="AQ43" s="42" t="s">
        <v>63</v>
      </c>
      <c r="AR43" s="42"/>
      <c r="AS43" s="42" t="s">
        <v>64</v>
      </c>
      <c r="AT43" s="42" t="s">
        <v>63</v>
      </c>
      <c r="AU43" s="42"/>
      <c r="AV43" s="42"/>
      <c r="AW43" s="42" t="s">
        <v>63</v>
      </c>
      <c r="AX43" s="42" t="s">
        <v>63</v>
      </c>
      <c r="AY43" s="42" t="s">
        <v>63</v>
      </c>
      <c r="AZ43" s="42" t="s">
        <v>63</v>
      </c>
      <c r="BA43" s="42"/>
      <c r="BB43" s="42" t="s">
        <v>63</v>
      </c>
      <c r="BC43" s="42" t="s">
        <v>63</v>
      </c>
      <c r="BD43" s="42" t="s">
        <v>63</v>
      </c>
      <c r="BE43" s="42" t="s">
        <v>63</v>
      </c>
      <c r="BF43" s="42" t="s">
        <v>64</v>
      </c>
      <c r="BG43" s="42" t="s">
        <v>63</v>
      </c>
      <c r="BH43" s="42" t="s">
        <v>63</v>
      </c>
      <c r="BI43" s="42" t="s">
        <v>63</v>
      </c>
      <c r="BJ43" s="42" t="s">
        <v>63</v>
      </c>
      <c r="BK43" s="42" t="s">
        <v>63</v>
      </c>
      <c r="BL43" s="42" t="s">
        <v>63</v>
      </c>
    </row>
    <row r="44" spans="1:64" s="36" customFormat="1" ht="15.75">
      <c r="A44" s="33" t="s">
        <v>1177</v>
      </c>
      <c r="B44" s="34" t="s">
        <v>147</v>
      </c>
      <c r="C44" s="34" t="s">
        <v>147</v>
      </c>
      <c r="D44" s="33" t="s">
        <v>148</v>
      </c>
      <c r="E44" s="34">
        <f>IF(_xlfn.IFNA(VLOOKUP(B44,Data!B:G,3,FALSE),"")=0, "", _xlfn.IFNA(VLOOKUP(B44,Data!B:G,3,FALSE),""))</f>
        <v>4</v>
      </c>
      <c r="F44" s="33" t="s">
        <v>1175</v>
      </c>
      <c r="G44" s="33"/>
      <c r="H44" s="33" t="str">
        <f>IF(_xlfn.IFNA(VLOOKUP(C44,Data!A:G,5,FALSE),"")=0, "Check course registration information", _xlfn.IFNA(VLOOKUP(C44,Data!A:G,5,FALSE),""))</f>
        <v>CHM 22404 or FS 16300</v>
      </c>
      <c r="I44" s="33"/>
      <c r="J44" s="33" t="str">
        <f>IF(_xlfn.IFNA(VLOOKUP(C44,Data!A:G,6,FALSE),"")=0, "Check course registration information", _xlfn.IFNA(VLOOKUP(C44,Data!A:G,6,FALSE),""))</f>
        <v>Quantitative measurements on complex chemical systems that show matrix effects or require isolation of a component prior to its determination; general approaches to quantitative problems at the trace level; critical comparisons of competitive procedures with emphasis on principles of separation processes, including chromatography; recognition and evaluation of possible sources of error; approaches for optimizing conditions so as to minimize time and/or effort required to attain prescribed levels of accuracy and precision. Required of students majoring in chemistry</v>
      </c>
      <c r="K44" s="33" t="str">
        <f>IF(_xlfn.IFNA(VLOOKUP(C44,Data!A:H,7,FALSE),"")=0, "", _xlfn.IFNA(HYPERLINK(VLOOKUP(C44,Data!A:H,7,FALSE),"Catalog Link"),""))</f>
        <v>Catalog Link</v>
      </c>
      <c r="L44" s="33" t="str">
        <f>IF(_xlfn.IFNA(VLOOKUP(C44,Data!A:I,8,FALSE),"")=0, "", _xlfn.IFNA(HYPERLINK(VLOOKUP(C44,Data!A:I,8,FALSE),"Additional Information"),""))</f>
        <v/>
      </c>
      <c r="M44" s="34">
        <f t="shared" si="1"/>
        <v>2</v>
      </c>
      <c r="N44" s="42" t="s">
        <v>63</v>
      </c>
      <c r="O44" s="42" t="s">
        <v>63</v>
      </c>
      <c r="P44" s="42" t="s">
        <v>63</v>
      </c>
      <c r="Q44" s="42" t="s">
        <v>63</v>
      </c>
      <c r="R44" s="42" t="s">
        <v>63</v>
      </c>
      <c r="S44" s="42" t="s">
        <v>64</v>
      </c>
      <c r="T44" s="42" t="s">
        <v>63</v>
      </c>
      <c r="U44" s="42" t="s">
        <v>63</v>
      </c>
      <c r="V44" s="42" t="s">
        <v>63</v>
      </c>
      <c r="W44" s="42" t="s">
        <v>63</v>
      </c>
      <c r="X44" s="42" t="s">
        <v>63</v>
      </c>
      <c r="Y44" s="42" t="s">
        <v>63</v>
      </c>
      <c r="Z44" s="42" t="s">
        <v>63</v>
      </c>
      <c r="AA44" s="43" t="s">
        <v>63</v>
      </c>
      <c r="AB44" s="42" t="s">
        <v>63</v>
      </c>
      <c r="AC44" s="42"/>
      <c r="AD44" s="42" t="s">
        <v>63</v>
      </c>
      <c r="AE44" s="42" t="s">
        <v>63</v>
      </c>
      <c r="AF44" s="42" t="s">
        <v>63</v>
      </c>
      <c r="AG44" s="42" t="s">
        <v>63</v>
      </c>
      <c r="AH44" s="42" t="s">
        <v>63</v>
      </c>
      <c r="AI44" s="42"/>
      <c r="AJ44" s="42" t="s">
        <v>63</v>
      </c>
      <c r="AK44" s="42"/>
      <c r="AL44" s="42" t="s">
        <v>63</v>
      </c>
      <c r="AM44" s="42"/>
      <c r="AN44" s="42" t="s">
        <v>63</v>
      </c>
      <c r="AO44" s="42" t="s">
        <v>63</v>
      </c>
      <c r="AP44" s="42" t="s">
        <v>63</v>
      </c>
      <c r="AQ44" s="42" t="s">
        <v>63</v>
      </c>
      <c r="AR44" s="42"/>
      <c r="AS44" s="42" t="s">
        <v>63</v>
      </c>
      <c r="AT44" s="42" t="s">
        <v>63</v>
      </c>
      <c r="AU44" s="42"/>
      <c r="AV44" s="42"/>
      <c r="AW44" s="42" t="s">
        <v>63</v>
      </c>
      <c r="AX44" s="42" t="s">
        <v>63</v>
      </c>
      <c r="AY44" s="42" t="s">
        <v>63</v>
      </c>
      <c r="AZ44" s="42" t="s">
        <v>63</v>
      </c>
      <c r="BA44" s="42"/>
      <c r="BB44" s="42" t="s">
        <v>63</v>
      </c>
      <c r="BC44" s="42" t="s">
        <v>64</v>
      </c>
      <c r="BD44" s="42" t="s">
        <v>63</v>
      </c>
      <c r="BE44" s="42" t="s">
        <v>63</v>
      </c>
      <c r="BF44" s="42" t="s">
        <v>63</v>
      </c>
      <c r="BG44" s="42" t="s">
        <v>63</v>
      </c>
      <c r="BH44" s="42" t="s">
        <v>63</v>
      </c>
      <c r="BI44" s="42" t="s">
        <v>63</v>
      </c>
      <c r="BJ44" s="42" t="s">
        <v>63</v>
      </c>
      <c r="BK44" s="42"/>
      <c r="BL44" s="42" t="s">
        <v>63</v>
      </c>
    </row>
    <row r="45" spans="1:64">
      <c r="A45" s="33" t="s">
        <v>1176</v>
      </c>
      <c r="B45" s="34" t="s">
        <v>482</v>
      </c>
      <c r="C45" s="34" t="s">
        <v>482</v>
      </c>
      <c r="D45" s="33" t="s">
        <v>483</v>
      </c>
      <c r="E45" s="34">
        <f>IF(_xlfn.IFNA(VLOOKUP(B45,Data!B:G,3,FALSE),"")=0, "", _xlfn.IFNA(VLOOKUP(B45,Data!B:G,3,FALSE),""))</f>
        <v>3</v>
      </c>
      <c r="F45" s="66" t="s">
        <v>106</v>
      </c>
      <c r="H45" s="66" t="str">
        <f>IF(_xlfn.IFNA(VLOOKUP(C45,Data!A:G,5,FALSE),"")=0, "Check course registration information", _xlfn.IFNA(VLOOKUP(C45,Data!A:G,5,FALSE),""))</f>
        <v>CHM 25600 or CHM 26200 or CHM 26605 or MCMP 20500 or PHSC 20500</v>
      </c>
      <c r="J45" s="33" t="str">
        <f>IF(_xlfn.IFNA(VLOOKUP(C45,Data!A:G,6,FALSE),"")=0, "Check course registration information", _xlfn.IFNA(VLOOKUP(C45,Data!A:G,6,FALSE),""))</f>
        <v>Interpretation and correlation of the reactions and properties of inorganic compounds in terms of their electronic and molecular structures. A survey of the preparations and reactivities of important compounds of the representative elements, with an emphasis on group trends. The elementary chemistry of the transition metals, including magnetic and spectral properties of coordination compounds</v>
      </c>
      <c r="K45" s="33" t="str">
        <f>IF(_xlfn.IFNA(VLOOKUP(C45,Data!A:H,7,FALSE),"")=0, "", _xlfn.IFNA(HYPERLINK(VLOOKUP(C45,Data!A:H,7,FALSE),"Catalog Link"),""))</f>
        <v>Catalog Link</v>
      </c>
      <c r="L45" s="33" t="str">
        <f>IF(_xlfn.IFNA(VLOOKUP(C45,Data!A:I,8,FALSE),"")=0, "", _xlfn.IFNA(HYPERLINK(VLOOKUP(C45,Data!A:I,8,FALSE),"Additional Information"),""))</f>
        <v/>
      </c>
      <c r="M45" s="34">
        <f t="shared" si="1"/>
        <v>2</v>
      </c>
      <c r="N45" s="42" t="s">
        <v>63</v>
      </c>
      <c r="O45" s="42" t="s">
        <v>63</v>
      </c>
      <c r="P45" s="42" t="s">
        <v>63</v>
      </c>
      <c r="Q45" s="42" t="s">
        <v>63</v>
      </c>
      <c r="R45" s="42" t="s">
        <v>63</v>
      </c>
      <c r="S45" s="42" t="s">
        <v>63</v>
      </c>
      <c r="T45" s="42" t="s">
        <v>63</v>
      </c>
      <c r="U45" s="42" t="s">
        <v>63</v>
      </c>
      <c r="V45" s="42" t="s">
        <v>63</v>
      </c>
      <c r="W45" s="42" t="s">
        <v>64</v>
      </c>
      <c r="X45" s="42" t="s">
        <v>63</v>
      </c>
      <c r="Y45" s="42" t="s">
        <v>63</v>
      </c>
      <c r="Z45" s="42" t="s">
        <v>63</v>
      </c>
      <c r="AA45" s="42" t="s">
        <v>63</v>
      </c>
      <c r="AB45" s="42" t="s">
        <v>63</v>
      </c>
      <c r="AC45" s="42"/>
      <c r="AD45" s="42" t="s">
        <v>63</v>
      </c>
      <c r="AE45" s="42" t="s">
        <v>63</v>
      </c>
      <c r="AF45" s="42" t="s">
        <v>63</v>
      </c>
      <c r="AG45" s="42" t="s">
        <v>63</v>
      </c>
      <c r="AH45" s="42" t="s">
        <v>63</v>
      </c>
      <c r="AI45" s="42"/>
      <c r="AJ45" s="42" t="s">
        <v>63</v>
      </c>
      <c r="AK45" s="42"/>
      <c r="AL45" s="42" t="s">
        <v>63</v>
      </c>
      <c r="AM45" s="42"/>
      <c r="AN45" s="42" t="s">
        <v>63</v>
      </c>
      <c r="AO45" s="42" t="s">
        <v>63</v>
      </c>
      <c r="AP45" s="42" t="s">
        <v>63</v>
      </c>
      <c r="AQ45" s="42" t="s">
        <v>63</v>
      </c>
      <c r="AR45" s="42"/>
      <c r="AS45" s="42" t="s">
        <v>63</v>
      </c>
      <c r="AT45" s="42" t="s">
        <v>63</v>
      </c>
      <c r="AU45" s="42"/>
      <c r="AV45" s="42"/>
      <c r="AW45" s="42" t="s">
        <v>63</v>
      </c>
      <c r="AX45" s="42" t="s">
        <v>63</v>
      </c>
      <c r="AY45" s="42" t="s">
        <v>63</v>
      </c>
      <c r="AZ45" s="42" t="s">
        <v>63</v>
      </c>
      <c r="BA45" s="42"/>
      <c r="BB45" s="42" t="s">
        <v>63</v>
      </c>
      <c r="BC45" s="42" t="s">
        <v>63</v>
      </c>
      <c r="BD45" s="42" t="s">
        <v>63</v>
      </c>
      <c r="BE45" s="42" t="s">
        <v>63</v>
      </c>
      <c r="BF45" s="42" t="s">
        <v>64</v>
      </c>
      <c r="BG45" s="42" t="s">
        <v>63</v>
      </c>
      <c r="BH45" s="42" t="s">
        <v>63</v>
      </c>
      <c r="BI45" s="42" t="s">
        <v>63</v>
      </c>
      <c r="BJ45" s="42" t="s">
        <v>63</v>
      </c>
      <c r="BK45" s="42" t="s">
        <v>63</v>
      </c>
      <c r="BL45" s="42" t="s">
        <v>63</v>
      </c>
    </row>
    <row r="46" spans="1:64" s="36" customFormat="1" ht="15.75">
      <c r="A46" s="33" t="s">
        <v>1177</v>
      </c>
      <c r="B46" s="34" t="s">
        <v>151</v>
      </c>
      <c r="C46" s="34" t="s">
        <v>151</v>
      </c>
      <c r="D46" s="33" t="s">
        <v>152</v>
      </c>
      <c r="E46" s="34">
        <f>IF(_xlfn.IFNA(VLOOKUP(B46,Data!B:G,3,FALSE),"")=0, "", _xlfn.IFNA(VLOOKUP(B46,Data!B:G,3,FALSE),""))</f>
        <v>3</v>
      </c>
      <c r="F46" s="33" t="s">
        <v>1175</v>
      </c>
      <c r="G46" s="33"/>
      <c r="H46" s="33" t="str">
        <f>IF(_xlfn.IFNA(VLOOKUP(C46,Data!A:G,5,FALSE),"")=0, "Check course registration information", _xlfn.IFNA(VLOOKUP(C46,Data!A:G,5,FALSE),""))</f>
        <v>CHM 11600 or CHM 12600 or CHM 12901 or CHM 13600) and (MA 16200 or MA 16600 or MATH 16600) and (PHYS 22100 or PHYS 24100 or PHYS 25100 or PHYS 27200</v>
      </c>
      <c r="I46" s="33"/>
      <c r="J46" s="33" t="str">
        <f>IF(_xlfn.IFNA(VLOOKUP(C46,Data!A:G,6,FALSE),"")=0, "Check course registration information", _xlfn.IFNA(VLOOKUP(C46,Data!A:G,6,FALSE),""))</f>
        <v>Physical chemistry of matter. Properties of gases, liquids, and solids; equations of state; thermodynamics; energy, heat, and work; entropy; spontaneity and equilibrium; chemical potential; chemical equilibrium; phase diagrams; colligative properties</v>
      </c>
      <c r="K46" s="33" t="str">
        <f>IF(_xlfn.IFNA(VLOOKUP(C46,Data!A:H,7,FALSE),"")=0, "", _xlfn.IFNA(HYPERLINK(VLOOKUP(C46,Data!A:H,7,FALSE),"Catalog Link"),""))</f>
        <v>Catalog Link</v>
      </c>
      <c r="L46" s="33" t="str">
        <f>IF(_xlfn.IFNA(VLOOKUP(C46,Data!A:I,8,FALSE),"")=0, "", _xlfn.IFNA(HYPERLINK(VLOOKUP(C46,Data!A:I,8,FALSE),"Additional Information"),""))</f>
        <v/>
      </c>
      <c r="M46" s="34">
        <f t="shared" si="1"/>
        <v>1</v>
      </c>
      <c r="N46" s="42" t="s">
        <v>63</v>
      </c>
      <c r="O46" s="42" t="s">
        <v>63</v>
      </c>
      <c r="P46" s="42" t="s">
        <v>63</v>
      </c>
      <c r="Q46" s="42" t="s">
        <v>63</v>
      </c>
      <c r="R46" s="42" t="s">
        <v>63</v>
      </c>
      <c r="S46" s="42" t="s">
        <v>63</v>
      </c>
      <c r="T46" s="42" t="s">
        <v>63</v>
      </c>
      <c r="U46" s="42" t="s">
        <v>63</v>
      </c>
      <c r="V46" s="42" t="s">
        <v>63</v>
      </c>
      <c r="W46" s="42" t="s">
        <v>63</v>
      </c>
      <c r="X46" s="42" t="s">
        <v>63</v>
      </c>
      <c r="Y46" s="42" t="s">
        <v>63</v>
      </c>
      <c r="Z46" s="42" t="s">
        <v>63</v>
      </c>
      <c r="AA46" s="43" t="s">
        <v>63</v>
      </c>
      <c r="AB46" s="42" t="s">
        <v>63</v>
      </c>
      <c r="AC46" s="42"/>
      <c r="AD46" s="42" t="s">
        <v>63</v>
      </c>
      <c r="AE46" s="42" t="s">
        <v>63</v>
      </c>
      <c r="AF46" s="42" t="s">
        <v>63</v>
      </c>
      <c r="AG46" s="42" t="s">
        <v>63</v>
      </c>
      <c r="AH46" s="42" t="s">
        <v>63</v>
      </c>
      <c r="AI46" s="42"/>
      <c r="AJ46" s="42" t="s">
        <v>63</v>
      </c>
      <c r="AK46" s="42"/>
      <c r="AL46" s="42" t="s">
        <v>63</v>
      </c>
      <c r="AM46" s="42"/>
      <c r="AN46" s="42" t="s">
        <v>64</v>
      </c>
      <c r="AO46" s="42" t="s">
        <v>63</v>
      </c>
      <c r="AP46" s="42" t="s">
        <v>63</v>
      </c>
      <c r="AQ46" s="42" t="s">
        <v>63</v>
      </c>
      <c r="AR46" s="42"/>
      <c r="AS46" s="42" t="s">
        <v>63</v>
      </c>
      <c r="AT46" s="42" t="s">
        <v>63</v>
      </c>
      <c r="AU46" s="42"/>
      <c r="AV46" s="42"/>
      <c r="AW46" s="42" t="s">
        <v>63</v>
      </c>
      <c r="AX46" s="42" t="s">
        <v>63</v>
      </c>
      <c r="AY46" s="42" t="s">
        <v>63</v>
      </c>
      <c r="AZ46" s="42" t="s">
        <v>63</v>
      </c>
      <c r="BA46" s="42"/>
      <c r="BB46" s="42" t="s">
        <v>63</v>
      </c>
      <c r="BC46" s="42" t="s">
        <v>63</v>
      </c>
      <c r="BD46" s="42" t="s">
        <v>63</v>
      </c>
      <c r="BE46" s="42" t="s">
        <v>63</v>
      </c>
      <c r="BF46" s="42" t="s">
        <v>63</v>
      </c>
      <c r="BG46" s="42" t="s">
        <v>63</v>
      </c>
      <c r="BH46" s="42" t="s">
        <v>63</v>
      </c>
      <c r="BI46" s="42" t="s">
        <v>63</v>
      </c>
      <c r="BJ46" s="42" t="s">
        <v>63</v>
      </c>
      <c r="BK46" s="42" t="s">
        <v>63</v>
      </c>
      <c r="BL46" s="42" t="s">
        <v>63</v>
      </c>
    </row>
    <row r="47" spans="1:64" s="36" customFormat="1" ht="15.75">
      <c r="A47" s="33" t="s">
        <v>1177</v>
      </c>
      <c r="B47" s="34" t="s">
        <v>153</v>
      </c>
      <c r="C47" s="34" t="s">
        <v>153</v>
      </c>
      <c r="D47" s="33" t="s">
        <v>154</v>
      </c>
      <c r="E47" s="34">
        <f>IF(_xlfn.IFNA(VLOOKUP(B47,Data!B:G,3,FALSE),"")=0, "", _xlfn.IFNA(VLOOKUP(B47,Data!B:G,3,FALSE),""))</f>
        <v>1</v>
      </c>
      <c r="F47" s="33" t="s">
        <v>1175</v>
      </c>
      <c r="G47" s="33"/>
      <c r="H47" s="33" t="str">
        <f>IF(_xlfn.IFNA(VLOOKUP(C47,Data!A:G,5,FALSE),"")=0, "Check course registration information", _xlfn.IFNA(VLOOKUP(C47,Data!A:G,5,FALSE),""))</f>
        <v>CHM 37300 [concurrent ok]</v>
      </c>
      <c r="I47" s="33"/>
      <c r="J47" s="33" t="str">
        <f>IF(_xlfn.IFNA(VLOOKUP(C47,Data!A:G,6,FALSE),"")=0, "Check course registration information", _xlfn.IFNA(VLOOKUP(C47,Data!A:G,6,FALSE),""))</f>
        <v>A physical chemistry laboratory course that will provide students with hands-on experience that illustrates the core concepts presented in the associated physical chemistry lecture course CHM 37300</v>
      </c>
      <c r="K47" s="33" t="str">
        <f>IF(_xlfn.IFNA(VLOOKUP(C47,Data!A:H,7,FALSE),"")=0, "", _xlfn.IFNA(HYPERLINK(VLOOKUP(C47,Data!A:H,7,FALSE),"Catalog Link"),""))</f>
        <v>Catalog Link</v>
      </c>
      <c r="L47" s="33" t="str">
        <f>IF(_xlfn.IFNA(VLOOKUP(C47,Data!A:I,8,FALSE),"")=0, "", _xlfn.IFNA(HYPERLINK(VLOOKUP(C47,Data!A:I,8,FALSE),"Additional Information"),""))</f>
        <v/>
      </c>
      <c r="M47" s="34">
        <f t="shared" si="1"/>
        <v>1</v>
      </c>
      <c r="N47" s="42" t="s">
        <v>63</v>
      </c>
      <c r="O47" s="42" t="s">
        <v>63</v>
      </c>
      <c r="P47" s="42" t="s">
        <v>63</v>
      </c>
      <c r="Q47" s="42" t="s">
        <v>63</v>
      </c>
      <c r="R47" s="42" t="s">
        <v>63</v>
      </c>
      <c r="S47" s="42" t="s">
        <v>63</v>
      </c>
      <c r="T47" s="42" t="s">
        <v>63</v>
      </c>
      <c r="U47" s="42" t="s">
        <v>63</v>
      </c>
      <c r="V47" s="42" t="s">
        <v>63</v>
      </c>
      <c r="W47" s="42" t="s">
        <v>63</v>
      </c>
      <c r="X47" s="42" t="s">
        <v>63</v>
      </c>
      <c r="Y47" s="42" t="s">
        <v>63</v>
      </c>
      <c r="Z47" s="42" t="s">
        <v>63</v>
      </c>
      <c r="AA47" s="43" t="s">
        <v>63</v>
      </c>
      <c r="AB47" s="42" t="s">
        <v>63</v>
      </c>
      <c r="AC47" s="42"/>
      <c r="AD47" s="42" t="s">
        <v>63</v>
      </c>
      <c r="AE47" s="42" t="s">
        <v>63</v>
      </c>
      <c r="AF47" s="42" t="s">
        <v>63</v>
      </c>
      <c r="AG47" s="42" t="s">
        <v>63</v>
      </c>
      <c r="AH47" s="42" t="s">
        <v>63</v>
      </c>
      <c r="AI47" s="42"/>
      <c r="AJ47" s="42" t="s">
        <v>63</v>
      </c>
      <c r="AK47" s="42"/>
      <c r="AL47" s="42" t="s">
        <v>63</v>
      </c>
      <c r="AM47" s="42"/>
      <c r="AN47" s="42" t="s">
        <v>63</v>
      </c>
      <c r="AO47" s="42" t="s">
        <v>63</v>
      </c>
      <c r="AP47" s="42" t="s">
        <v>63</v>
      </c>
      <c r="AQ47" s="42" t="s">
        <v>63</v>
      </c>
      <c r="AR47" s="42"/>
      <c r="AS47" s="42" t="s">
        <v>64</v>
      </c>
      <c r="AT47" s="42" t="s">
        <v>63</v>
      </c>
      <c r="AU47" s="42"/>
      <c r="AV47" s="42"/>
      <c r="AW47" s="42" t="s">
        <v>63</v>
      </c>
      <c r="AX47" s="42" t="s">
        <v>63</v>
      </c>
      <c r="AY47" s="42" t="s">
        <v>63</v>
      </c>
      <c r="AZ47" s="42" t="s">
        <v>63</v>
      </c>
      <c r="BA47" s="42"/>
      <c r="BB47" s="42" t="s">
        <v>63</v>
      </c>
      <c r="BC47" s="42" t="s">
        <v>63</v>
      </c>
      <c r="BD47" s="42" t="s">
        <v>63</v>
      </c>
      <c r="BE47" s="42" t="s">
        <v>63</v>
      </c>
      <c r="BF47" s="42" t="s">
        <v>63</v>
      </c>
      <c r="BG47" s="42" t="s">
        <v>63</v>
      </c>
      <c r="BH47" s="42" t="s">
        <v>63</v>
      </c>
      <c r="BI47" s="42" t="s">
        <v>63</v>
      </c>
      <c r="BJ47" s="42" t="s">
        <v>63</v>
      </c>
      <c r="BK47" s="42" t="s">
        <v>63</v>
      </c>
      <c r="BL47" s="42" t="s">
        <v>63</v>
      </c>
    </row>
    <row r="48" spans="1:64" s="36" customFormat="1" ht="15.75">
      <c r="A48" s="33" t="s">
        <v>1177</v>
      </c>
      <c r="B48" s="34" t="s">
        <v>155</v>
      </c>
      <c r="C48" s="34" t="s">
        <v>155</v>
      </c>
      <c r="D48" s="33" t="s">
        <v>156</v>
      </c>
      <c r="E48" s="34">
        <f>IF(_xlfn.IFNA(VLOOKUP(B48,Data!B:G,3,FALSE),"")=0, "", _xlfn.IFNA(VLOOKUP(B48,Data!B:G,3,FALSE),""))</f>
        <v>3</v>
      </c>
      <c r="F48" s="33" t="s">
        <v>1175</v>
      </c>
      <c r="G48" s="33"/>
      <c r="H48" s="33" t="str">
        <f>IF(_xlfn.IFNA(VLOOKUP(C48,Data!A:G,5,FALSE),"")=0, "Check course registration information", _xlfn.IFNA(VLOOKUP(C48,Data!A:G,5,FALSE),""))</f>
        <v>CHM 37300</v>
      </c>
      <c r="I48" s="33"/>
      <c r="J48" s="33" t="str">
        <f>IF(_xlfn.IFNA(VLOOKUP(C48,Data!A:G,6,FALSE),"")=0, "Check course registration information", _xlfn.IFNA(VLOOKUP(C48,Data!A:G,6,FALSE),""))</f>
        <v>Physical chemistry of molecules. Wave properties of matter; quantum mechanics of translation, rotation, and vibration; atomic structure; molecular orbitals; quantum states; statistical mechanics; chemical kinetics; collision theory; transition state theory</v>
      </c>
      <c r="K48" s="33" t="str">
        <f>IF(_xlfn.IFNA(VLOOKUP(C48,Data!A:H,7,FALSE),"")=0, "", _xlfn.IFNA(HYPERLINK(VLOOKUP(C48,Data!A:H,7,FALSE),"Catalog Link"),""))</f>
        <v>Catalog Link</v>
      </c>
      <c r="L48" s="33" t="str">
        <f>IF(_xlfn.IFNA(VLOOKUP(C48,Data!A:I,8,FALSE),"")=0, "", _xlfn.IFNA(HYPERLINK(VLOOKUP(C48,Data!A:I,8,FALSE),"Additional Information"),""))</f>
        <v/>
      </c>
      <c r="M48" s="34">
        <f t="shared" si="1"/>
        <v>1</v>
      </c>
      <c r="N48" s="42" t="s">
        <v>63</v>
      </c>
      <c r="O48" s="42" t="s">
        <v>63</v>
      </c>
      <c r="P48" s="42" t="s">
        <v>63</v>
      </c>
      <c r="Q48" s="42" t="s">
        <v>63</v>
      </c>
      <c r="R48" s="42" t="s">
        <v>63</v>
      </c>
      <c r="S48" s="42" t="s">
        <v>63</v>
      </c>
      <c r="T48" s="42" t="s">
        <v>63</v>
      </c>
      <c r="U48" s="42" t="s">
        <v>63</v>
      </c>
      <c r="V48" s="42" t="s">
        <v>63</v>
      </c>
      <c r="W48" s="42" t="s">
        <v>63</v>
      </c>
      <c r="X48" s="42" t="s">
        <v>63</v>
      </c>
      <c r="Y48" s="42" t="s">
        <v>63</v>
      </c>
      <c r="Z48" s="42" t="s">
        <v>63</v>
      </c>
      <c r="AA48" s="43" t="s">
        <v>63</v>
      </c>
      <c r="AB48" s="42" t="s">
        <v>63</v>
      </c>
      <c r="AC48" s="42"/>
      <c r="AD48" s="42" t="s">
        <v>63</v>
      </c>
      <c r="AE48" s="42" t="s">
        <v>63</v>
      </c>
      <c r="AF48" s="42" t="s">
        <v>63</v>
      </c>
      <c r="AG48" s="42" t="s">
        <v>63</v>
      </c>
      <c r="AH48" s="42" t="s">
        <v>63</v>
      </c>
      <c r="AI48" s="42"/>
      <c r="AJ48" s="42" t="s">
        <v>63</v>
      </c>
      <c r="AK48" s="42"/>
      <c r="AL48" s="42" t="s">
        <v>63</v>
      </c>
      <c r="AM48" s="42"/>
      <c r="AN48" s="42" t="s">
        <v>63</v>
      </c>
      <c r="AO48" s="42" t="s">
        <v>63</v>
      </c>
      <c r="AP48" s="42" t="s">
        <v>63</v>
      </c>
      <c r="AQ48" s="42" t="s">
        <v>63</v>
      </c>
      <c r="AR48" s="42"/>
      <c r="AS48" s="42" t="s">
        <v>63</v>
      </c>
      <c r="AT48" s="42" t="s">
        <v>63</v>
      </c>
      <c r="AU48" s="42"/>
      <c r="AV48" s="42"/>
      <c r="AW48" s="42" t="s">
        <v>63</v>
      </c>
      <c r="AX48" s="42" t="s">
        <v>63</v>
      </c>
      <c r="AY48" s="42" t="s">
        <v>63</v>
      </c>
      <c r="AZ48" s="42" t="s">
        <v>63</v>
      </c>
      <c r="BA48" s="42"/>
      <c r="BB48" s="42" t="s">
        <v>63</v>
      </c>
      <c r="BC48" s="42" t="s">
        <v>63</v>
      </c>
      <c r="BD48" s="42" t="s">
        <v>63</v>
      </c>
      <c r="BE48" s="42" t="s">
        <v>63</v>
      </c>
      <c r="BF48" s="42" t="s">
        <v>64</v>
      </c>
      <c r="BG48" s="42" t="s">
        <v>63</v>
      </c>
      <c r="BH48" s="42" t="s">
        <v>63</v>
      </c>
      <c r="BI48" s="42" t="s">
        <v>63</v>
      </c>
      <c r="BJ48" s="42" t="s">
        <v>63</v>
      </c>
      <c r="BK48" s="42" t="s">
        <v>63</v>
      </c>
      <c r="BL48" s="42" t="s">
        <v>63</v>
      </c>
    </row>
    <row r="49" spans="1:64" s="36" customFormat="1" ht="15.75">
      <c r="A49" s="33" t="s">
        <v>1177</v>
      </c>
      <c r="B49" s="34" t="s">
        <v>157</v>
      </c>
      <c r="C49" s="34" t="s">
        <v>157</v>
      </c>
      <c r="D49" s="33" t="s">
        <v>158</v>
      </c>
      <c r="E49" s="34">
        <f>IF(_xlfn.IFNA(VLOOKUP(B49,Data!B:G,3,FALSE),"")=0, "", _xlfn.IFNA(VLOOKUP(B49,Data!B:G,3,FALSE),""))</f>
        <v>1</v>
      </c>
      <c r="F49" s="33" t="s">
        <v>1175</v>
      </c>
      <c r="G49" s="33"/>
      <c r="H49" s="33" t="str">
        <f>IF(_xlfn.IFNA(VLOOKUP(C49,Data!A:G,5,FALSE),"")=0, "Check course registration information", _xlfn.IFNA(VLOOKUP(C49,Data!A:G,5,FALSE),""))</f>
        <v>CHM 37000 [concurrent ok] or CHM 37400 [concurrent ok]</v>
      </c>
      <c r="I49" s="33"/>
      <c r="J49" s="33" t="str">
        <f>IF(_xlfn.IFNA(VLOOKUP(C49,Data!A:G,6,FALSE),"")=0, "Check course registration information", _xlfn.IFNA(VLOOKUP(C49,Data!A:G,6,FALSE),""))</f>
        <v>A physical chemistry laboratory course that will provide students with hands-on experience that illustrates the core concepts presented in the associated physical chemistry lecture course CHM 37400</v>
      </c>
      <c r="K49" s="33" t="str">
        <f>IF(_xlfn.IFNA(VLOOKUP(C49,Data!A:H,7,FALSE),"")=0, "", _xlfn.IFNA(HYPERLINK(VLOOKUP(C49,Data!A:H,7,FALSE),"Catalog Link"),""))</f>
        <v>Catalog Link</v>
      </c>
      <c r="L49" s="33" t="str">
        <f>IF(_xlfn.IFNA(VLOOKUP(C49,Data!A:I,8,FALSE),"")=0, "", _xlfn.IFNA(HYPERLINK(VLOOKUP(C49,Data!A:I,8,FALSE),"Additional Information"),""))</f>
        <v/>
      </c>
      <c r="M49" s="34">
        <f t="shared" si="1"/>
        <v>1</v>
      </c>
      <c r="N49" s="42" t="s">
        <v>63</v>
      </c>
      <c r="O49" s="42" t="s">
        <v>63</v>
      </c>
      <c r="P49" s="42" t="s">
        <v>63</v>
      </c>
      <c r="Q49" s="42" t="s">
        <v>63</v>
      </c>
      <c r="R49" s="42" t="s">
        <v>63</v>
      </c>
      <c r="S49" s="42" t="s">
        <v>63</v>
      </c>
      <c r="T49" s="42" t="s">
        <v>63</v>
      </c>
      <c r="U49" s="42" t="s">
        <v>63</v>
      </c>
      <c r="V49" s="42" t="s">
        <v>63</v>
      </c>
      <c r="W49" s="42" t="s">
        <v>63</v>
      </c>
      <c r="X49" s="42" t="s">
        <v>63</v>
      </c>
      <c r="Y49" s="42" t="s">
        <v>63</v>
      </c>
      <c r="Z49" s="42" t="s">
        <v>63</v>
      </c>
      <c r="AA49" s="43" t="s">
        <v>63</v>
      </c>
      <c r="AB49" s="42" t="s">
        <v>63</v>
      </c>
      <c r="AC49" s="42"/>
      <c r="AD49" s="42" t="s">
        <v>63</v>
      </c>
      <c r="AE49" s="42" t="s">
        <v>63</v>
      </c>
      <c r="AF49" s="42" t="s">
        <v>63</v>
      </c>
      <c r="AG49" s="42" t="s">
        <v>63</v>
      </c>
      <c r="AH49" s="42" t="s">
        <v>63</v>
      </c>
      <c r="AI49" s="42"/>
      <c r="AJ49" s="42" t="s">
        <v>63</v>
      </c>
      <c r="AK49" s="42"/>
      <c r="AL49" s="42" t="s">
        <v>63</v>
      </c>
      <c r="AM49" s="42"/>
      <c r="AN49" s="42" t="s">
        <v>63</v>
      </c>
      <c r="AO49" s="42" t="s">
        <v>63</v>
      </c>
      <c r="AP49" s="42" t="s">
        <v>63</v>
      </c>
      <c r="AQ49" s="42" t="s">
        <v>63</v>
      </c>
      <c r="AR49" s="42"/>
      <c r="AS49" s="42" t="s">
        <v>64</v>
      </c>
      <c r="AT49" s="42" t="s">
        <v>63</v>
      </c>
      <c r="AU49" s="42"/>
      <c r="AV49" s="42"/>
      <c r="AW49" s="42" t="s">
        <v>63</v>
      </c>
      <c r="AX49" s="42" t="s">
        <v>63</v>
      </c>
      <c r="AY49" s="42" t="s">
        <v>63</v>
      </c>
      <c r="AZ49" s="42" t="s">
        <v>63</v>
      </c>
      <c r="BA49" s="42"/>
      <c r="BB49" s="42" t="s">
        <v>63</v>
      </c>
      <c r="BC49" s="42" t="s">
        <v>63</v>
      </c>
      <c r="BD49" s="42" t="s">
        <v>63</v>
      </c>
      <c r="BE49" s="42" t="s">
        <v>63</v>
      </c>
      <c r="BF49" s="42" t="s">
        <v>63</v>
      </c>
      <c r="BG49" s="42" t="s">
        <v>63</v>
      </c>
      <c r="BH49" s="42" t="s">
        <v>63</v>
      </c>
      <c r="BI49" s="42" t="s">
        <v>63</v>
      </c>
      <c r="BJ49" s="42" t="s">
        <v>63</v>
      </c>
      <c r="BK49" s="42" t="s">
        <v>63</v>
      </c>
      <c r="BL49" s="42" t="s">
        <v>63</v>
      </c>
    </row>
    <row r="50" spans="1:64" s="36" customFormat="1" ht="15.75">
      <c r="A50" s="33" t="s">
        <v>1177</v>
      </c>
      <c r="B50" s="34" t="s">
        <v>159</v>
      </c>
      <c r="C50" s="34" t="s">
        <v>159</v>
      </c>
      <c r="D50" s="33" t="s">
        <v>160</v>
      </c>
      <c r="E50" s="34">
        <f>IF(_xlfn.IFNA(VLOOKUP(B50,Data!B:G,3,FALSE),"")=0, "", _xlfn.IFNA(VLOOKUP(B50,Data!B:G,3,FALSE),""))</f>
        <v>4</v>
      </c>
      <c r="F50" s="33" t="s">
        <v>1175</v>
      </c>
      <c r="G50" s="33"/>
      <c r="H50" s="33" t="str">
        <f>IF(_xlfn.IFNA(VLOOKUP(C50,Data!A:G,5,FALSE),"")=0, "Check course registration information", _xlfn.IFNA(VLOOKUP(C50,Data!A:G,5,FALSE),""))</f>
        <v>CHM 22404 or CHM 32100 or CHM 32300) and (PHYS 22100 or PHYS 24100 or PHYS 27200</v>
      </c>
      <c r="I50" s="33"/>
      <c r="J50" s="33" t="str">
        <f>IF(_xlfn.IFNA(VLOOKUP(C50,Data!A:G,6,FALSE),"")=0, "Check course registration information", _xlfn.IFNA(VLOOKUP(C50,Data!A:G,6,FALSE),""))</f>
        <v>Principles and application of optical and electrical methods of chemical analysis, including topics in instrumentation</v>
      </c>
      <c r="K50" s="33" t="str">
        <f>IF(_xlfn.IFNA(VLOOKUP(C50,Data!A:H,7,FALSE),"")=0, "", _xlfn.IFNA(HYPERLINK(VLOOKUP(C50,Data!A:H,7,FALSE),"Catalog Link"),""))</f>
        <v>Catalog Link</v>
      </c>
      <c r="L50" s="33" t="str">
        <f>IF(_xlfn.IFNA(VLOOKUP(C50,Data!A:I,8,FALSE),"")=0, "", _xlfn.IFNA(HYPERLINK(VLOOKUP(C50,Data!A:I,8,FALSE),"Additional Information"),""))</f>
        <v/>
      </c>
      <c r="M50" s="34">
        <f t="shared" si="1"/>
        <v>3</v>
      </c>
      <c r="N50" s="42" t="s">
        <v>63</v>
      </c>
      <c r="O50" s="42" t="s">
        <v>63</v>
      </c>
      <c r="P50" s="42" t="s">
        <v>63</v>
      </c>
      <c r="Q50" s="42" t="s">
        <v>63</v>
      </c>
      <c r="R50" s="42" t="s">
        <v>63</v>
      </c>
      <c r="S50" s="42" t="s">
        <v>64</v>
      </c>
      <c r="T50" s="42" t="s">
        <v>63</v>
      </c>
      <c r="U50" s="42" t="s">
        <v>63</v>
      </c>
      <c r="V50" s="42" t="s">
        <v>63</v>
      </c>
      <c r="W50" s="42" t="s">
        <v>63</v>
      </c>
      <c r="X50" s="42" t="s">
        <v>63</v>
      </c>
      <c r="Y50" s="42" t="s">
        <v>63</v>
      </c>
      <c r="Z50" s="42" t="s">
        <v>63</v>
      </c>
      <c r="AA50" s="43" t="s">
        <v>63</v>
      </c>
      <c r="AB50" s="42" t="s">
        <v>63</v>
      </c>
      <c r="AC50" s="42"/>
      <c r="AD50" s="42" t="s">
        <v>63</v>
      </c>
      <c r="AE50" s="42" t="s">
        <v>63</v>
      </c>
      <c r="AF50" s="42" t="s">
        <v>63</v>
      </c>
      <c r="AG50" s="42" t="s">
        <v>63</v>
      </c>
      <c r="AH50" s="42" t="s">
        <v>63</v>
      </c>
      <c r="AI50" s="42"/>
      <c r="AJ50" s="42" t="s">
        <v>63</v>
      </c>
      <c r="AK50" s="42"/>
      <c r="AL50" s="42" t="s">
        <v>63</v>
      </c>
      <c r="AM50" s="42"/>
      <c r="AN50" s="42" t="s">
        <v>63</v>
      </c>
      <c r="AO50" s="42" t="s">
        <v>63</v>
      </c>
      <c r="AP50" s="42" t="s">
        <v>63</v>
      </c>
      <c r="AQ50" s="42" t="s">
        <v>63</v>
      </c>
      <c r="AR50" s="42"/>
      <c r="AS50" s="42" t="s">
        <v>63</v>
      </c>
      <c r="AT50" s="42" t="s">
        <v>63</v>
      </c>
      <c r="AU50" s="42"/>
      <c r="AV50" s="42"/>
      <c r="AW50" s="42" t="s">
        <v>63</v>
      </c>
      <c r="AX50" s="42" t="s">
        <v>63</v>
      </c>
      <c r="AY50" s="42" t="s">
        <v>63</v>
      </c>
      <c r="AZ50" s="42" t="s">
        <v>63</v>
      </c>
      <c r="BA50" s="42"/>
      <c r="BB50" s="42" t="s">
        <v>63</v>
      </c>
      <c r="BC50" s="42" t="s">
        <v>64</v>
      </c>
      <c r="BD50" s="42" t="s">
        <v>63</v>
      </c>
      <c r="BE50" s="42" t="s">
        <v>63</v>
      </c>
      <c r="BF50" s="42" t="s">
        <v>63</v>
      </c>
      <c r="BG50" s="42" t="s">
        <v>63</v>
      </c>
      <c r="BH50" s="42" t="s">
        <v>63</v>
      </c>
      <c r="BI50" s="42" t="s">
        <v>63</v>
      </c>
      <c r="BJ50" s="42" t="s">
        <v>63</v>
      </c>
      <c r="BK50" s="42" t="s">
        <v>64</v>
      </c>
      <c r="BL50" s="42" t="s">
        <v>63</v>
      </c>
    </row>
    <row r="51" spans="1:64" s="36" customFormat="1" ht="15.75">
      <c r="A51" s="33" t="s">
        <v>1177</v>
      </c>
      <c r="B51" s="34" t="s">
        <v>161</v>
      </c>
      <c r="C51" s="34" t="s">
        <v>161</v>
      </c>
      <c r="D51" s="33" t="s">
        <v>162</v>
      </c>
      <c r="E51" s="34">
        <f>IF(_xlfn.IFNA(VLOOKUP(B51,Data!B:G,3,FALSE),"")=0, "", _xlfn.IFNA(VLOOKUP(B51,Data!B:G,3,FALSE),""))</f>
        <v>3</v>
      </c>
      <c r="F51" s="33" t="s">
        <v>1175</v>
      </c>
      <c r="G51" s="33"/>
      <c r="H51" s="33" t="str">
        <f>IF(_xlfn.IFNA(VLOOKUP(C51,Data!A:G,5,FALSE),"")=0, "Check course registration information", _xlfn.IFNA(VLOOKUP(C51,Data!A:G,5,FALSE),""))</f>
        <v>CHM 26200 or CHEM C3420 or CHM 26605 or CHM 25600 or MCMP 20500 or PHSC 20500</v>
      </c>
      <c r="I51" s="33"/>
      <c r="J51" s="33" t="str">
        <f>IF(_xlfn.IFNA(VLOOKUP(C51,Data!A:G,6,FALSE),"")=0, "Check course registration information", _xlfn.IFNA(VLOOKUP(C51,Data!A:G,6,FALSE),""))</f>
        <v>Theory and application of organic chemistry and reaction mechanisms to organic synthesis and contemporary research topics in closely related areas. Topics include stereochemistry, reactive organic intermediates, molecular orbital theory, photochemistry, organic materials chemistry, and chemical biology</v>
      </c>
      <c r="K51" s="33" t="str">
        <f>IF(_xlfn.IFNA(VLOOKUP(C51,Data!A:H,7,FALSE),"")=0, "", _xlfn.IFNA(HYPERLINK(VLOOKUP(C51,Data!A:H,7,FALSE),"Catalog Link"),""))</f>
        <v>Catalog Link</v>
      </c>
      <c r="L51" s="33" t="str">
        <f>IF(_xlfn.IFNA(VLOOKUP(C51,Data!A:I,8,FALSE),"")=0, "", _xlfn.IFNA(HYPERLINK(VLOOKUP(C51,Data!A:I,8,FALSE),"Additional Information"),""))</f>
        <v/>
      </c>
      <c r="M51" s="34">
        <f t="shared" si="1"/>
        <v>1</v>
      </c>
      <c r="N51" s="42" t="s">
        <v>63</v>
      </c>
      <c r="O51" s="42" t="s">
        <v>63</v>
      </c>
      <c r="P51" s="42" t="s">
        <v>63</v>
      </c>
      <c r="Q51" s="42" t="s">
        <v>63</v>
      </c>
      <c r="R51" s="42" t="s">
        <v>63</v>
      </c>
      <c r="S51" s="42" t="s">
        <v>63</v>
      </c>
      <c r="T51" s="42" t="s">
        <v>63</v>
      </c>
      <c r="U51" s="42" t="s">
        <v>63</v>
      </c>
      <c r="V51" s="42" t="s">
        <v>63</v>
      </c>
      <c r="W51" s="42" t="s">
        <v>63</v>
      </c>
      <c r="X51" s="42" t="s">
        <v>63</v>
      </c>
      <c r="Y51" s="42" t="s">
        <v>63</v>
      </c>
      <c r="Z51" s="42" t="s">
        <v>63</v>
      </c>
      <c r="AA51" s="43" t="s">
        <v>63</v>
      </c>
      <c r="AB51" s="42" t="s">
        <v>63</v>
      </c>
      <c r="AC51" s="42"/>
      <c r="AD51" s="42" t="s">
        <v>63</v>
      </c>
      <c r="AE51" s="42" t="s">
        <v>63</v>
      </c>
      <c r="AF51" s="42" t="s">
        <v>63</v>
      </c>
      <c r="AG51" s="42" t="s">
        <v>63</v>
      </c>
      <c r="AH51" s="42" t="s">
        <v>63</v>
      </c>
      <c r="AI51" s="42"/>
      <c r="AJ51" s="42" t="s">
        <v>63</v>
      </c>
      <c r="AK51" s="42"/>
      <c r="AL51" s="42" t="s">
        <v>63</v>
      </c>
      <c r="AM51" s="42"/>
      <c r="AN51" s="42" t="s">
        <v>63</v>
      </c>
      <c r="AO51" s="42" t="s">
        <v>63</v>
      </c>
      <c r="AP51" s="42" t="s">
        <v>63</v>
      </c>
      <c r="AQ51" s="42" t="s">
        <v>63</v>
      </c>
      <c r="AR51" s="42"/>
      <c r="AS51" s="42" t="s">
        <v>63</v>
      </c>
      <c r="AT51" s="42" t="s">
        <v>63</v>
      </c>
      <c r="AU51" s="42"/>
      <c r="AV51" s="42"/>
      <c r="AW51" s="42" t="s">
        <v>63</v>
      </c>
      <c r="AX51" s="42" t="s">
        <v>63</v>
      </c>
      <c r="AY51" s="42" t="s">
        <v>63</v>
      </c>
      <c r="AZ51" s="42" t="s">
        <v>63</v>
      </c>
      <c r="BA51" s="42"/>
      <c r="BB51" s="42" t="s">
        <v>63</v>
      </c>
      <c r="BC51" s="42" t="s">
        <v>63</v>
      </c>
      <c r="BD51" s="42" t="s">
        <v>63</v>
      </c>
      <c r="BE51" s="42" t="s">
        <v>63</v>
      </c>
      <c r="BF51" s="42" t="s">
        <v>64</v>
      </c>
      <c r="BG51" s="42" t="s">
        <v>63</v>
      </c>
      <c r="BH51" s="42" t="s">
        <v>63</v>
      </c>
      <c r="BI51" s="42" t="s">
        <v>63</v>
      </c>
      <c r="BJ51" s="42" t="s">
        <v>63</v>
      </c>
      <c r="BK51" s="42" t="s">
        <v>63</v>
      </c>
      <c r="BL51" s="42" t="s">
        <v>63</v>
      </c>
    </row>
    <row r="52" spans="1:64" s="36" customFormat="1" ht="15.75">
      <c r="A52" s="33" t="s">
        <v>1177</v>
      </c>
      <c r="B52" s="34" t="s">
        <v>163</v>
      </c>
      <c r="C52" s="34" t="s">
        <v>163</v>
      </c>
      <c r="D52" s="33" t="s">
        <v>164</v>
      </c>
      <c r="E52" s="34">
        <f>IF(_xlfn.IFNA(VLOOKUP(B52,Data!B:G,3,FALSE),"")=0, "", _xlfn.IFNA(VLOOKUP(B52,Data!B:G,3,FALSE),""))</f>
        <v>3</v>
      </c>
      <c r="F52" s="33" t="s">
        <v>1175</v>
      </c>
      <c r="G52" s="33"/>
      <c r="H52" s="33" t="str">
        <f>IF(_xlfn.IFNA(VLOOKUP(C52,Data!A:G,5,FALSE),"")=0, "Check course registration information", _xlfn.IFNA(VLOOKUP(C52,Data!A:G,5,FALSE),""))</f>
        <v>CHM 11600 or CHM 10901 or CHM 12901 or CHM 12600 or CHM 13600) and (MA 16100 or MA 16500 or MA 16010</v>
      </c>
      <c r="I52" s="33"/>
      <c r="J52" s="33" t="str">
        <f>IF(_xlfn.IFNA(VLOOKUP(C52,Data!A:G,6,FALSE),"")=0, "Check course registration information", _xlfn.IFNA(VLOOKUP(C52,Data!A:G,6,FALSE),""))</f>
        <v>Survey of chemical aspects of environmental problems and the application of chemistry to their solution. Topics will include atmospheric pollution problems, groundwater pollution and waste disposal problems, inorganic water pollutants, and the occurrence and fate of toxic organic compounds and other substances in the environment</v>
      </c>
      <c r="K52" s="33" t="str">
        <f>IF(_xlfn.IFNA(VLOOKUP(C52,Data!A:H,7,FALSE),"")=0, "", _xlfn.IFNA(HYPERLINK(VLOOKUP(C52,Data!A:H,7,FALSE),"Catalog Link"),""))</f>
        <v>Catalog Link</v>
      </c>
      <c r="L52" s="33" t="str">
        <f>IF(_xlfn.IFNA(VLOOKUP(C52,Data!A:I,8,FALSE),"")=0, "", _xlfn.IFNA(HYPERLINK(VLOOKUP(C52,Data!A:I,8,FALSE),"Additional Information"),""))</f>
        <v/>
      </c>
      <c r="M52" s="34">
        <f t="shared" si="1"/>
        <v>2</v>
      </c>
      <c r="N52" s="42" t="s">
        <v>63</v>
      </c>
      <c r="O52" s="42" t="s">
        <v>63</v>
      </c>
      <c r="P52" s="42" t="s">
        <v>63</v>
      </c>
      <c r="Q52" s="42" t="s">
        <v>63</v>
      </c>
      <c r="R52" s="42" t="s">
        <v>63</v>
      </c>
      <c r="S52" s="42" t="s">
        <v>63</v>
      </c>
      <c r="T52" s="42" t="s">
        <v>63</v>
      </c>
      <c r="U52" s="42" t="s">
        <v>63</v>
      </c>
      <c r="V52" s="42" t="s">
        <v>63</v>
      </c>
      <c r="W52" s="42" t="s">
        <v>64</v>
      </c>
      <c r="X52" s="42" t="s">
        <v>63</v>
      </c>
      <c r="Y52" s="42" t="s">
        <v>63</v>
      </c>
      <c r="Z52" s="42" t="s">
        <v>63</v>
      </c>
      <c r="AA52" s="43" t="s">
        <v>63</v>
      </c>
      <c r="AB52" s="42" t="s">
        <v>63</v>
      </c>
      <c r="AC52" s="42"/>
      <c r="AD52" s="42" t="s">
        <v>63</v>
      </c>
      <c r="AE52" s="42" t="s">
        <v>63</v>
      </c>
      <c r="AF52" s="42" t="s">
        <v>63</v>
      </c>
      <c r="AG52" s="42" t="s">
        <v>63</v>
      </c>
      <c r="AH52" s="42" t="s">
        <v>63</v>
      </c>
      <c r="AI52" s="42"/>
      <c r="AJ52" s="42" t="s">
        <v>63</v>
      </c>
      <c r="AK52" s="42"/>
      <c r="AL52" s="42" t="s">
        <v>63</v>
      </c>
      <c r="AM52" s="42"/>
      <c r="AN52" s="42" t="s">
        <v>63</v>
      </c>
      <c r="AO52" s="42" t="s">
        <v>63</v>
      </c>
      <c r="AP52" s="42" t="s">
        <v>63</v>
      </c>
      <c r="AQ52" s="42" t="s">
        <v>63</v>
      </c>
      <c r="AR52" s="42"/>
      <c r="AS52" s="42" t="s">
        <v>63</v>
      </c>
      <c r="AT52" s="42" t="s">
        <v>63</v>
      </c>
      <c r="AU52" s="42"/>
      <c r="AV52" s="42"/>
      <c r="AW52" s="42" t="s">
        <v>63</v>
      </c>
      <c r="AX52" s="42" t="s">
        <v>63</v>
      </c>
      <c r="AY52" s="42" t="s">
        <v>63</v>
      </c>
      <c r="AZ52" s="42" t="s">
        <v>63</v>
      </c>
      <c r="BA52" s="42"/>
      <c r="BB52" s="42" t="s">
        <v>63</v>
      </c>
      <c r="BC52" s="42" t="s">
        <v>63</v>
      </c>
      <c r="BD52" s="42" t="s">
        <v>63</v>
      </c>
      <c r="BE52" s="42" t="s">
        <v>63</v>
      </c>
      <c r="BF52" s="42" t="s">
        <v>64</v>
      </c>
      <c r="BG52" s="42" t="s">
        <v>63</v>
      </c>
      <c r="BH52" s="42" t="s">
        <v>63</v>
      </c>
      <c r="BI52" s="42" t="s">
        <v>63</v>
      </c>
      <c r="BJ52" s="42" t="s">
        <v>63</v>
      </c>
      <c r="BK52" s="42" t="s">
        <v>63</v>
      </c>
      <c r="BL52" s="42" t="s">
        <v>63</v>
      </c>
    </row>
    <row r="53" spans="1:64" s="36" customFormat="1" ht="15.75">
      <c r="A53" s="33" t="s">
        <v>1177</v>
      </c>
      <c r="B53" s="34" t="s">
        <v>165</v>
      </c>
      <c r="C53" s="34" t="s">
        <v>165</v>
      </c>
      <c r="D53" s="33" t="s">
        <v>166</v>
      </c>
      <c r="E53" s="34" t="str">
        <f>IF(_xlfn.IFNA(VLOOKUP(B53,Data!B:G,3,FALSE),"")=0, "", _xlfn.IFNA(VLOOKUP(B53,Data!B:G,3,FALSE),""))</f>
        <v/>
      </c>
      <c r="F53" s="33" t="s">
        <v>1175</v>
      </c>
      <c r="G53" s="33"/>
      <c r="H53" s="33" t="str">
        <f>IF(_xlfn.IFNA(VLOOKUP(C53,Data!A:G,5,FALSE),"")=0, "Check course registration information", _xlfn.IFNA(VLOOKUP(C53,Data!A:G,5,FALSE),""))</f>
        <v>CHM 38600</v>
      </c>
      <c r="I53" s="33"/>
      <c r="J53" s="33" t="str">
        <f>IF(_xlfn.IFNA(VLOOKUP(C53,Data!A:G,6,FALSE),"")=0, "Check course registration information", _xlfn.IFNA(VLOOKUP(C53,Data!A:G,6,FALSE),""))</f>
        <v>Cooperative Work Experience</v>
      </c>
      <c r="K53" s="33" t="str">
        <f>IF(_xlfn.IFNA(VLOOKUP(C53,Data!A:H,7,FALSE),"")=0, "", _xlfn.IFNA(HYPERLINK(VLOOKUP(C53,Data!A:H,7,FALSE),"Catalog Link"),""))</f>
        <v>Catalog Link</v>
      </c>
      <c r="L53" s="33" t="str">
        <f>IF(_xlfn.IFNA(VLOOKUP(C53,Data!A:I,8,FALSE),"")=0, "", _xlfn.IFNA(HYPERLINK(VLOOKUP(C53,Data!A:I,8,FALSE),"Additional Information"),""))</f>
        <v/>
      </c>
      <c r="M53" s="34">
        <f t="shared" si="1"/>
        <v>1</v>
      </c>
      <c r="N53" s="42" t="s">
        <v>63</v>
      </c>
      <c r="O53" s="42" t="s">
        <v>63</v>
      </c>
      <c r="P53" s="42" t="s">
        <v>63</v>
      </c>
      <c r="Q53" s="42" t="s">
        <v>63</v>
      </c>
      <c r="R53" s="42" t="s">
        <v>63</v>
      </c>
      <c r="S53" s="42" t="s">
        <v>63</v>
      </c>
      <c r="T53" s="42" t="s">
        <v>63</v>
      </c>
      <c r="U53" s="42" t="s">
        <v>63</v>
      </c>
      <c r="V53" s="42" t="s">
        <v>63</v>
      </c>
      <c r="W53" s="42" t="s">
        <v>63</v>
      </c>
      <c r="X53" s="42" t="s">
        <v>63</v>
      </c>
      <c r="Y53" s="42" t="s">
        <v>63</v>
      </c>
      <c r="Z53" s="42" t="s">
        <v>63</v>
      </c>
      <c r="AA53" s="43" t="s">
        <v>63</v>
      </c>
      <c r="AB53" s="42" t="s">
        <v>63</v>
      </c>
      <c r="AC53" s="42"/>
      <c r="AD53" s="42" t="s">
        <v>63</v>
      </c>
      <c r="AE53" s="42" t="s">
        <v>63</v>
      </c>
      <c r="AF53" s="42" t="s">
        <v>63</v>
      </c>
      <c r="AG53" s="42" t="s">
        <v>63</v>
      </c>
      <c r="AH53" s="42" t="s">
        <v>63</v>
      </c>
      <c r="AI53" s="42"/>
      <c r="AJ53" s="42" t="s">
        <v>63</v>
      </c>
      <c r="AK53" s="42"/>
      <c r="AL53" s="42" t="s">
        <v>63</v>
      </c>
      <c r="AM53" s="42"/>
      <c r="AN53" s="42" t="s">
        <v>63</v>
      </c>
      <c r="AO53" s="42" t="s">
        <v>63</v>
      </c>
      <c r="AP53" s="42" t="s">
        <v>63</v>
      </c>
      <c r="AQ53" s="42" t="s">
        <v>63</v>
      </c>
      <c r="AR53" s="42"/>
      <c r="AS53" s="42" t="s">
        <v>64</v>
      </c>
      <c r="AT53" s="42" t="s">
        <v>63</v>
      </c>
      <c r="AU53" s="42"/>
      <c r="AV53" s="42"/>
      <c r="AW53" s="42" t="s">
        <v>63</v>
      </c>
      <c r="AX53" s="42" t="s">
        <v>63</v>
      </c>
      <c r="AY53" s="42" t="s">
        <v>63</v>
      </c>
      <c r="AZ53" s="42" t="s">
        <v>63</v>
      </c>
      <c r="BA53" s="42"/>
      <c r="BB53" s="42" t="s">
        <v>63</v>
      </c>
      <c r="BC53" s="42" t="s">
        <v>63</v>
      </c>
      <c r="BD53" s="42" t="s">
        <v>63</v>
      </c>
      <c r="BE53" s="42" t="s">
        <v>63</v>
      </c>
      <c r="BF53" s="42" t="s">
        <v>63</v>
      </c>
      <c r="BG53" s="42" t="s">
        <v>63</v>
      </c>
      <c r="BH53" s="42" t="s">
        <v>63</v>
      </c>
      <c r="BI53" s="42" t="s">
        <v>63</v>
      </c>
      <c r="BJ53" s="42" t="s">
        <v>63</v>
      </c>
      <c r="BK53" s="42" t="s">
        <v>63</v>
      </c>
      <c r="BL53" s="42" t="s">
        <v>63</v>
      </c>
    </row>
    <row r="54" spans="1:64">
      <c r="A54" s="33" t="s">
        <v>1176</v>
      </c>
      <c r="B54" s="34" t="s">
        <v>1430</v>
      </c>
      <c r="C54" s="34" t="s">
        <v>1430</v>
      </c>
      <c r="D54" s="33" t="s">
        <v>1431</v>
      </c>
      <c r="F54" s="66" t="s">
        <v>106</v>
      </c>
      <c r="J54" s="33" t="str">
        <f>IF(_xlfn.IFNA(VLOOKUP(C54,Data!A:G,6,FALSE),"")=0, "Check course registration information", _xlfn.IFNA(VLOOKUP(C54,Data!A:G,6,FALSE),""))</f>
        <v xml:space="preserve">Have you ever wondered about the materials in your smartphone and how chemistry was used to shape them? If you want to dive into the relationship between chemistry and technology, then this is the course for you! Over the semester we will discuss the role of solid-state chemistry in the design of the materials that make your phone function. This course explores the underlying chemistry that makes the touchscreen, light display, battery, and central processing unit function.The total cost of the raw elements in a smart phone is &lt;$2, but the average cost of a new smart phone is ~$300-1000! In a smart phone weighing only ~130 grams, over 80% of its total weight is owed to just six elements: aluminum, carbon, oxygen, iron, silicon, and copper. Yet mining the elements required to make the smart phone in your pocket requires the extraction of &gt;34,000 grams of complex ore, the use of &gt;100 liters of reverse osmosis purified water, and ~20.5 grams of potassium cyanide, (among many other acids, etc.). This course uses the “smart phone” and it’s design as a vehicle to discuss (1) inorganic chemistry in the context of solid state materials (2) how chemistry can be applied to design materials for specific function, (3) how that function emerges not just from combinations of specific elements, but also how specific elements are arranged in crystalline lattices, and (4) how we should consider the impact of materials design and technological development on the environment, a globally interconnected society, and the sustainability of our current consumption of critical elemental resources. </v>
      </c>
      <c r="K54" s="33" t="str">
        <f>IF(_xlfn.IFNA(VLOOKUP(C54,Data!A:H,7,FALSE),"")=0, "", _xlfn.IFNA(HYPERLINK(VLOOKUP(C54,Data!A:H,7,FALSE),"Catalog Link"),""))</f>
        <v/>
      </c>
      <c r="L54" s="33" t="str">
        <f>IF(_xlfn.IFNA(VLOOKUP(C54,Data!A:I,8,FALSE),"")=0, "", _xlfn.IFNA(HYPERLINK(VLOOKUP(C54,Data!A:I,8,FALSE),"Additional Information"),""))</f>
        <v/>
      </c>
      <c r="M54" s="34">
        <f t="shared" si="1"/>
        <v>1</v>
      </c>
      <c r="BF54" s="34" t="s">
        <v>64</v>
      </c>
    </row>
    <row r="55" spans="1:64" s="36" customFormat="1" ht="15.75">
      <c r="A55" s="33" t="s">
        <v>1177</v>
      </c>
      <c r="B55" s="34" t="s">
        <v>167</v>
      </c>
      <c r="C55" s="34" t="s">
        <v>167</v>
      </c>
      <c r="D55" s="33" t="s">
        <v>168</v>
      </c>
      <c r="E55" s="34">
        <f>IF(_xlfn.IFNA(VLOOKUP(B55,Data!B:G,3,FALSE),"")=0, "", _xlfn.IFNA(VLOOKUP(B55,Data!B:G,3,FALSE),""))</f>
        <v>3</v>
      </c>
      <c r="F55" s="33" t="s">
        <v>1175</v>
      </c>
      <c r="G55" s="33"/>
      <c r="H55" s="33" t="str">
        <f>IF(_xlfn.IFNA(VLOOKUP(C55,Data!A:G,5,FALSE),"")=0, "Check course registration information", _xlfn.IFNA(VLOOKUP(C55,Data!A:G,5,FALSE),""))</f>
        <v>CHM 37400</v>
      </c>
      <c r="I55" s="33"/>
      <c r="J55" s="33" t="str">
        <f>IF(_xlfn.IFNA(VLOOKUP(C55,Data!A:G,6,FALSE),"")=0, "Check course registration information", _xlfn.IFNA(VLOOKUP(C55,Data!A:G,6,FALSE),""))</f>
        <v>Theoretical basis and practical applications of computational methods relevant to chemical and biochemical research problems</v>
      </c>
      <c r="K55" s="33" t="str">
        <f>IF(_xlfn.IFNA(VLOOKUP(C55,Data!A:H,7,FALSE),"")=0, "", _xlfn.IFNA(HYPERLINK(VLOOKUP(C55,Data!A:H,7,FALSE),"Catalog Link"),""))</f>
        <v>Catalog Link</v>
      </c>
      <c r="L55" s="33" t="str">
        <f>IF(_xlfn.IFNA(VLOOKUP(C55,Data!A:I,8,FALSE),"")=0, "", _xlfn.IFNA(HYPERLINK(VLOOKUP(C55,Data!A:I,8,FALSE),"Additional Information"),""))</f>
        <v/>
      </c>
      <c r="M55" s="34">
        <f t="shared" si="1"/>
        <v>1</v>
      </c>
      <c r="N55" s="42" t="s">
        <v>63</v>
      </c>
      <c r="O55" s="42" t="s">
        <v>64</v>
      </c>
      <c r="P55" s="42" t="s">
        <v>63</v>
      </c>
      <c r="Q55" s="42" t="s">
        <v>63</v>
      </c>
      <c r="R55" s="42" t="s">
        <v>63</v>
      </c>
      <c r="S55" s="42" t="s">
        <v>63</v>
      </c>
      <c r="T55" s="42" t="s">
        <v>63</v>
      </c>
      <c r="U55" s="42" t="s">
        <v>63</v>
      </c>
      <c r="V55" s="42" t="s">
        <v>63</v>
      </c>
      <c r="W55" s="42" t="s">
        <v>63</v>
      </c>
      <c r="X55" s="42" t="s">
        <v>63</v>
      </c>
      <c r="Y55" s="42" t="s">
        <v>63</v>
      </c>
      <c r="Z55" s="42" t="s">
        <v>63</v>
      </c>
      <c r="AA55" s="43" t="s">
        <v>63</v>
      </c>
      <c r="AB55" s="42" t="s">
        <v>63</v>
      </c>
      <c r="AC55" s="42"/>
      <c r="AD55" s="42" t="s">
        <v>63</v>
      </c>
      <c r="AE55" s="42" t="s">
        <v>63</v>
      </c>
      <c r="AF55" s="42" t="s">
        <v>63</v>
      </c>
      <c r="AG55" s="42" t="s">
        <v>63</v>
      </c>
      <c r="AH55" s="42" t="s">
        <v>63</v>
      </c>
      <c r="AI55" s="42"/>
      <c r="AJ55" s="42" t="s">
        <v>63</v>
      </c>
      <c r="AK55" s="42"/>
      <c r="AL55" s="42" t="s">
        <v>63</v>
      </c>
      <c r="AM55" s="42"/>
      <c r="AN55" s="42" t="s">
        <v>63</v>
      </c>
      <c r="AO55" s="42" t="s">
        <v>63</v>
      </c>
      <c r="AP55" s="42" t="s">
        <v>63</v>
      </c>
      <c r="AQ55" s="42" t="s">
        <v>63</v>
      </c>
      <c r="AR55" s="42"/>
      <c r="AS55" s="42" t="s">
        <v>63</v>
      </c>
      <c r="AT55" s="42" t="s">
        <v>63</v>
      </c>
      <c r="AU55" s="42"/>
      <c r="AV55" s="42"/>
      <c r="AW55" s="42" t="s">
        <v>63</v>
      </c>
      <c r="AX55" s="42" t="s">
        <v>63</v>
      </c>
      <c r="AY55" s="42" t="s">
        <v>63</v>
      </c>
      <c r="AZ55" s="42" t="s">
        <v>63</v>
      </c>
      <c r="BA55" s="42"/>
      <c r="BB55" s="42" t="s">
        <v>63</v>
      </c>
      <c r="BC55" s="42" t="s">
        <v>63</v>
      </c>
      <c r="BD55" s="42" t="s">
        <v>63</v>
      </c>
      <c r="BE55" s="42" t="s">
        <v>63</v>
      </c>
      <c r="BF55" s="42" t="s">
        <v>63</v>
      </c>
      <c r="BG55" s="42" t="s">
        <v>63</v>
      </c>
      <c r="BH55" s="42" t="s">
        <v>63</v>
      </c>
      <c r="BI55" s="42" t="s">
        <v>63</v>
      </c>
      <c r="BJ55" s="42" t="s">
        <v>63</v>
      </c>
      <c r="BK55" s="42" t="s">
        <v>63</v>
      </c>
      <c r="BL55" s="42" t="s">
        <v>63</v>
      </c>
    </row>
    <row r="56" spans="1:64" s="36" customFormat="1" ht="15.75">
      <c r="A56" s="33" t="s">
        <v>1177</v>
      </c>
      <c r="B56" s="34" t="s">
        <v>169</v>
      </c>
      <c r="C56" s="34" t="s">
        <v>169</v>
      </c>
      <c r="D56" s="33" t="s">
        <v>170</v>
      </c>
      <c r="E56" s="34">
        <f>IF(_xlfn.IFNA(VLOOKUP(B56,Data!B:G,3,FALSE),"")=0, "", _xlfn.IFNA(VLOOKUP(B56,Data!B:G,3,FALSE),""))</f>
        <v>3</v>
      </c>
      <c r="F56" s="33" t="s">
        <v>1175</v>
      </c>
      <c r="G56" s="33"/>
      <c r="H56" s="33" t="str">
        <f>IF(_xlfn.IFNA(VLOOKUP(C56,Data!A:G,5,FALSE),"")=0, "Check course registration information", _xlfn.IFNA(VLOOKUP(C56,Data!A:G,5,FALSE),""))</f>
        <v>CHM 24100 or CHM 25500 or CHM 26100 or CHM 26505 or EAS 23000 or NRES 23000</v>
      </c>
      <c r="I56" s="33"/>
      <c r="J56" s="33" t="str">
        <f>IF(_xlfn.IFNA(VLOOKUP(C56,Data!A:G,6,FALSE),"")=0, "Check course registration information", _xlfn.IFNA(VLOOKUP(C56,Data!A:G,6,FALSE),""))</f>
        <v>(EAPS 52100) An introduction to the chemistry of the earth's atmosphere. Covers evolution of the earth's atmosphere, its physical and chemical structure, its natural chemical composition and oxidative properties, and human impacts, including increasing tropospheric ozone, decreasing stratospheric ozone, climate change, and acidic deposition</v>
      </c>
      <c r="K56" s="33" t="str">
        <f>IF(_xlfn.IFNA(VLOOKUP(C56,Data!A:H,7,FALSE),"")=0, "", _xlfn.IFNA(HYPERLINK(VLOOKUP(C56,Data!A:H,7,FALSE),"Catalog Link"),""))</f>
        <v>Catalog Link</v>
      </c>
      <c r="L56" s="33" t="str">
        <f>IF(_xlfn.IFNA(VLOOKUP(C56,Data!A:I,8,FALSE),"")=0, "", _xlfn.IFNA(HYPERLINK(VLOOKUP(C56,Data!A:I,8,FALSE),"Additional Information"),""))</f>
        <v/>
      </c>
      <c r="M56" s="34">
        <f t="shared" si="1"/>
        <v>2</v>
      </c>
      <c r="N56" s="42" t="s">
        <v>63</v>
      </c>
      <c r="O56" s="42" t="s">
        <v>63</v>
      </c>
      <c r="P56" s="42" t="s">
        <v>63</v>
      </c>
      <c r="Q56" s="42" t="s">
        <v>63</v>
      </c>
      <c r="R56" s="42" t="s">
        <v>63</v>
      </c>
      <c r="S56" s="42" t="s">
        <v>63</v>
      </c>
      <c r="T56" s="42" t="s">
        <v>63</v>
      </c>
      <c r="U56" s="42" t="s">
        <v>63</v>
      </c>
      <c r="V56" s="42" t="s">
        <v>63</v>
      </c>
      <c r="W56" s="42" t="s">
        <v>64</v>
      </c>
      <c r="X56" s="42" t="s">
        <v>63</v>
      </c>
      <c r="Y56" s="42" t="s">
        <v>63</v>
      </c>
      <c r="Z56" s="42" t="s">
        <v>63</v>
      </c>
      <c r="AA56" s="43" t="s">
        <v>63</v>
      </c>
      <c r="AB56" s="42" t="s">
        <v>63</v>
      </c>
      <c r="AC56" s="42"/>
      <c r="AD56" s="42" t="s">
        <v>63</v>
      </c>
      <c r="AE56" s="42" t="s">
        <v>63</v>
      </c>
      <c r="AF56" s="42" t="s">
        <v>63</v>
      </c>
      <c r="AG56" s="42" t="s">
        <v>63</v>
      </c>
      <c r="AH56" s="42" t="s">
        <v>63</v>
      </c>
      <c r="AI56" s="42"/>
      <c r="AJ56" s="42" t="s">
        <v>63</v>
      </c>
      <c r="AK56" s="42"/>
      <c r="AL56" s="42" t="s">
        <v>63</v>
      </c>
      <c r="AM56" s="42"/>
      <c r="AN56" s="42" t="s">
        <v>63</v>
      </c>
      <c r="AO56" s="42" t="s">
        <v>63</v>
      </c>
      <c r="AP56" s="42" t="s">
        <v>63</v>
      </c>
      <c r="AQ56" s="42" t="s">
        <v>63</v>
      </c>
      <c r="AR56" s="42"/>
      <c r="AS56" s="42" t="s">
        <v>63</v>
      </c>
      <c r="AT56" s="42" t="s">
        <v>63</v>
      </c>
      <c r="AU56" s="42"/>
      <c r="AV56" s="42"/>
      <c r="AW56" s="42" t="s">
        <v>63</v>
      </c>
      <c r="AX56" s="42" t="s">
        <v>63</v>
      </c>
      <c r="AY56" s="42" t="s">
        <v>63</v>
      </c>
      <c r="AZ56" s="42" t="s">
        <v>63</v>
      </c>
      <c r="BA56" s="42"/>
      <c r="BB56" s="42" t="s">
        <v>63</v>
      </c>
      <c r="BC56" s="42" t="s">
        <v>63</v>
      </c>
      <c r="BD56" s="42" t="s">
        <v>63</v>
      </c>
      <c r="BE56" s="42" t="s">
        <v>63</v>
      </c>
      <c r="BF56" s="42" t="s">
        <v>64</v>
      </c>
      <c r="BG56" s="42" t="s">
        <v>63</v>
      </c>
      <c r="BH56" s="42" t="s">
        <v>63</v>
      </c>
      <c r="BI56" s="42" t="s">
        <v>63</v>
      </c>
      <c r="BJ56" s="42" t="s">
        <v>63</v>
      </c>
      <c r="BK56" s="42" t="s">
        <v>63</v>
      </c>
      <c r="BL56" s="42" t="s">
        <v>63</v>
      </c>
    </row>
    <row r="57" spans="1:64" s="36" customFormat="1" ht="15.75">
      <c r="A57" s="33" t="s">
        <v>1177</v>
      </c>
      <c r="B57" s="34" t="s">
        <v>171</v>
      </c>
      <c r="C57" s="34" t="s">
        <v>171</v>
      </c>
      <c r="D57" s="33" t="s">
        <v>172</v>
      </c>
      <c r="E57" s="34" t="str">
        <f>IF(_xlfn.IFNA(VLOOKUP(B57,Data!B:G,3,FALSE),"")=0, "", _xlfn.IFNA(VLOOKUP(B57,Data!B:G,3,FALSE),""))</f>
        <v/>
      </c>
      <c r="F57" s="33" t="s">
        <v>1175</v>
      </c>
      <c r="G57" s="33"/>
      <c r="H57" s="33" t="str">
        <f>IF(_xlfn.IFNA(VLOOKUP(C57,Data!A:G,5,FALSE),"")=0, "Check course registration information", _xlfn.IFNA(VLOOKUP(C57,Data!A:G,5,FALSE),""))</f>
        <v>Check course registration information</v>
      </c>
      <c r="I57" s="33"/>
      <c r="J57" s="33" t="str">
        <f>IF(_xlfn.IFNA(VLOOKUP(C57,Data!A:G,6,FALSE),"")=0, "Check course registration information", _xlfn.IFNA(VLOOKUP(C57,Data!A:G,6,FALSE),""))</f>
        <v>Lectures on safe practices in the chemistry laboratory. Required of students doing research in chemistry</v>
      </c>
      <c r="K57" s="33" t="str">
        <f>IF(_xlfn.IFNA(VLOOKUP(C57,Data!A:H,7,FALSE),"")=0, "", _xlfn.IFNA(HYPERLINK(VLOOKUP(C57,Data!A:H,7,FALSE),"Catalog Link"),""))</f>
        <v>Catalog Link</v>
      </c>
      <c r="L57" s="33" t="str">
        <f>IF(_xlfn.IFNA(VLOOKUP(C57,Data!A:I,8,FALSE),"")=0, "", _xlfn.IFNA(HYPERLINK(VLOOKUP(C57,Data!A:I,8,FALSE),"Additional Information"),""))</f>
        <v/>
      </c>
      <c r="M57" s="34">
        <f t="shared" si="1"/>
        <v>1</v>
      </c>
      <c r="N57" s="42" t="s">
        <v>63</v>
      </c>
      <c r="O57" s="42" t="s">
        <v>63</v>
      </c>
      <c r="P57" s="42" t="s">
        <v>63</v>
      </c>
      <c r="Q57" s="42" t="s">
        <v>63</v>
      </c>
      <c r="R57" s="42" t="s">
        <v>63</v>
      </c>
      <c r="S57" s="42" t="s">
        <v>63</v>
      </c>
      <c r="T57" s="42" t="s">
        <v>63</v>
      </c>
      <c r="U57" s="42" t="s">
        <v>63</v>
      </c>
      <c r="V57" s="42" t="s">
        <v>63</v>
      </c>
      <c r="W57" s="42" t="s">
        <v>63</v>
      </c>
      <c r="X57" s="42" t="s">
        <v>63</v>
      </c>
      <c r="Y57" s="42" t="s">
        <v>63</v>
      </c>
      <c r="Z57" s="42" t="s">
        <v>63</v>
      </c>
      <c r="AA57" s="43" t="s">
        <v>63</v>
      </c>
      <c r="AB57" s="42" t="s">
        <v>63</v>
      </c>
      <c r="AC57" s="42"/>
      <c r="AD57" s="42" t="s">
        <v>63</v>
      </c>
      <c r="AE57" s="42" t="s">
        <v>63</v>
      </c>
      <c r="AF57" s="42" t="s">
        <v>63</v>
      </c>
      <c r="AG57" s="42" t="s">
        <v>63</v>
      </c>
      <c r="AH57" s="42" t="s">
        <v>63</v>
      </c>
      <c r="AI57" s="42"/>
      <c r="AJ57" s="42" t="s">
        <v>63</v>
      </c>
      <c r="AK57" s="42"/>
      <c r="AL57" s="42" t="s">
        <v>63</v>
      </c>
      <c r="AM57" s="42"/>
      <c r="AN57" s="42" t="s">
        <v>63</v>
      </c>
      <c r="AO57" s="42" t="s">
        <v>63</v>
      </c>
      <c r="AP57" s="42" t="s">
        <v>63</v>
      </c>
      <c r="AQ57" s="42" t="s">
        <v>63</v>
      </c>
      <c r="AR57" s="42"/>
      <c r="AS57" s="42" t="s">
        <v>64</v>
      </c>
      <c r="AT57" s="42" t="s">
        <v>63</v>
      </c>
      <c r="AU57" s="42"/>
      <c r="AV57" s="42"/>
      <c r="AW57" s="42" t="s">
        <v>63</v>
      </c>
      <c r="AX57" s="42" t="s">
        <v>63</v>
      </c>
      <c r="AY57" s="42" t="s">
        <v>63</v>
      </c>
      <c r="AZ57" s="42" t="s">
        <v>63</v>
      </c>
      <c r="BA57" s="42"/>
      <c r="BB57" s="42" t="s">
        <v>63</v>
      </c>
      <c r="BC57" s="42" t="s">
        <v>63</v>
      </c>
      <c r="BD57" s="42" t="s">
        <v>63</v>
      </c>
      <c r="BE57" s="42" t="s">
        <v>63</v>
      </c>
      <c r="BF57" s="42" t="s">
        <v>63</v>
      </c>
      <c r="BG57" s="42" t="s">
        <v>63</v>
      </c>
      <c r="BH57" s="42" t="s">
        <v>63</v>
      </c>
      <c r="BI57" s="42" t="s">
        <v>63</v>
      </c>
      <c r="BJ57" s="42" t="s">
        <v>63</v>
      </c>
      <c r="BK57" s="42" t="s">
        <v>63</v>
      </c>
      <c r="BL57" s="42" t="s">
        <v>63</v>
      </c>
    </row>
    <row r="58" spans="1:64" s="36" customFormat="1" ht="15.75">
      <c r="A58" s="33" t="s">
        <v>1177</v>
      </c>
      <c r="B58" s="34" t="s">
        <v>173</v>
      </c>
      <c r="C58" s="34" t="s">
        <v>173</v>
      </c>
      <c r="D58" s="33" t="s">
        <v>174</v>
      </c>
      <c r="E58" s="34">
        <f>IF(_xlfn.IFNA(VLOOKUP(B58,Data!B:G,3,FALSE),"")=0, "", _xlfn.IFNA(VLOOKUP(B58,Data!B:G,3,FALSE),""))</f>
        <v>3</v>
      </c>
      <c r="F58" s="33" t="s">
        <v>1175</v>
      </c>
      <c r="G58" s="33"/>
      <c r="H58" s="33" t="str">
        <f>IF(_xlfn.IFNA(VLOOKUP(C58,Data!A:G,5,FALSE),"")=0, "Check course registration information", _xlfn.IFNA(VLOOKUP(C58,Data!A:G,5,FALSE),""))</f>
        <v>Check course registration information</v>
      </c>
      <c r="I58" s="33"/>
      <c r="J58" s="33" t="str">
        <f>IF(_xlfn.IFNA(VLOOKUP(C58,Data!A:G,6,FALSE),"")=0, "Check course registration information", _xlfn.IFNA(VLOOKUP(C58,Data!A:G,6,FALSE),""))</f>
        <v>A critical review of instrumental methods of analysis, with particular emphasis on spectroscopic techniques. Topics include: methods of measurement; analog and digital electronics; optics and spectrophotometric modules; and instrumental methods in UV-visible, infrared, and NMR spectroscopies. Prerequisite: introductory analytical and two semesters of physical chemistry</v>
      </c>
      <c r="K58" s="33" t="str">
        <f>IF(_xlfn.IFNA(VLOOKUP(C58,Data!A:H,7,FALSE),"")=0, "", _xlfn.IFNA(HYPERLINK(VLOOKUP(C58,Data!A:H,7,FALSE),"Catalog Link"),""))</f>
        <v>Catalog Link</v>
      </c>
      <c r="L58" s="33" t="str">
        <f>IF(_xlfn.IFNA(VLOOKUP(C58,Data!A:I,8,FALSE),"")=0, "", _xlfn.IFNA(HYPERLINK(VLOOKUP(C58,Data!A:I,8,FALSE),"Additional Information"),""))</f>
        <v/>
      </c>
      <c r="M58" s="34">
        <f t="shared" si="1"/>
        <v>3</v>
      </c>
      <c r="N58" s="42" t="s">
        <v>63</v>
      </c>
      <c r="O58" s="42" t="s">
        <v>63</v>
      </c>
      <c r="P58" s="42" t="s">
        <v>63</v>
      </c>
      <c r="Q58" s="42" t="s">
        <v>63</v>
      </c>
      <c r="R58" s="42" t="s">
        <v>63</v>
      </c>
      <c r="S58" s="42" t="s">
        <v>64</v>
      </c>
      <c r="T58" s="42" t="s">
        <v>63</v>
      </c>
      <c r="U58" s="42" t="s">
        <v>63</v>
      </c>
      <c r="V58" s="42" t="s">
        <v>63</v>
      </c>
      <c r="W58" s="42" t="s">
        <v>63</v>
      </c>
      <c r="X58" s="42" t="s">
        <v>63</v>
      </c>
      <c r="Y58" s="42" t="s">
        <v>63</v>
      </c>
      <c r="Z58" s="42" t="s">
        <v>63</v>
      </c>
      <c r="AA58" s="43" t="s">
        <v>63</v>
      </c>
      <c r="AB58" s="42" t="s">
        <v>63</v>
      </c>
      <c r="AC58" s="42"/>
      <c r="AD58" s="42" t="s">
        <v>63</v>
      </c>
      <c r="AE58" s="42" t="s">
        <v>63</v>
      </c>
      <c r="AF58" s="42" t="s">
        <v>63</v>
      </c>
      <c r="AG58" s="42" t="s">
        <v>63</v>
      </c>
      <c r="AH58" s="42" t="s">
        <v>63</v>
      </c>
      <c r="AI58" s="42"/>
      <c r="AJ58" s="42" t="s">
        <v>63</v>
      </c>
      <c r="AK58" s="42"/>
      <c r="AL58" s="42" t="s">
        <v>63</v>
      </c>
      <c r="AM58" s="42"/>
      <c r="AN58" s="42" t="s">
        <v>64</v>
      </c>
      <c r="AO58" s="42" t="s">
        <v>63</v>
      </c>
      <c r="AP58" s="42" t="s">
        <v>63</v>
      </c>
      <c r="AQ58" s="42" t="s">
        <v>63</v>
      </c>
      <c r="AR58" s="42"/>
      <c r="AS58" s="42" t="s">
        <v>63</v>
      </c>
      <c r="AT58" s="42" t="s">
        <v>63</v>
      </c>
      <c r="AU58" s="42"/>
      <c r="AV58" s="42"/>
      <c r="AW58" s="42" t="s">
        <v>63</v>
      </c>
      <c r="AX58" s="42" t="s">
        <v>63</v>
      </c>
      <c r="AY58" s="42" t="s">
        <v>63</v>
      </c>
      <c r="AZ58" s="42" t="s">
        <v>63</v>
      </c>
      <c r="BA58" s="42"/>
      <c r="BB58" s="42" t="s">
        <v>63</v>
      </c>
      <c r="BC58" s="42" t="s">
        <v>64</v>
      </c>
      <c r="BD58" s="42" t="s">
        <v>63</v>
      </c>
      <c r="BE58" s="42" t="s">
        <v>63</v>
      </c>
      <c r="BF58" s="42" t="s">
        <v>63</v>
      </c>
      <c r="BG58" s="42" t="s">
        <v>63</v>
      </c>
      <c r="BH58" s="42" t="s">
        <v>63</v>
      </c>
      <c r="BI58" s="42" t="s">
        <v>63</v>
      </c>
      <c r="BJ58" s="42" t="s">
        <v>63</v>
      </c>
      <c r="BK58" s="42" t="s">
        <v>63</v>
      </c>
      <c r="BL58" s="42" t="s">
        <v>63</v>
      </c>
    </row>
    <row r="59" spans="1:64" s="36" customFormat="1" ht="15.75">
      <c r="A59" s="33" t="s">
        <v>1177</v>
      </c>
      <c r="B59" s="34" t="s">
        <v>175</v>
      </c>
      <c r="C59" s="34" t="s">
        <v>175</v>
      </c>
      <c r="D59" s="33" t="s">
        <v>176</v>
      </c>
      <c r="E59" s="34">
        <f>IF(_xlfn.IFNA(VLOOKUP(B59,Data!B:G,3,FALSE),"")=0, "", _xlfn.IFNA(VLOOKUP(B59,Data!B:G,3,FALSE),""))</f>
        <v>3</v>
      </c>
      <c r="F59" s="33" t="s">
        <v>1175</v>
      </c>
      <c r="G59" s="33"/>
      <c r="H59" s="33" t="str">
        <f>IF(_xlfn.IFNA(VLOOKUP(C59,Data!A:G,5,FALSE),"")=0, "Check course registration information", _xlfn.IFNA(VLOOKUP(C59,Data!A:G,5,FALSE),""))</f>
        <v>Check course registration information</v>
      </c>
      <c r="I59" s="33"/>
      <c r="J59" s="33" t="str">
        <f>IF(_xlfn.IFNA(VLOOKUP(C59,Data!A:G,6,FALSE),"")=0, "Check course registration information", _xlfn.IFNA(VLOOKUP(C59,Data!A:G,6,FALSE),""))</f>
        <v>A critical survey of recent developments in chemical and instrumental methods of analysis. Prerequisite: CHM 32100, 42400</v>
      </c>
      <c r="K59" s="33" t="str">
        <f>IF(_xlfn.IFNA(VLOOKUP(C59,Data!A:H,7,FALSE),"")=0, "", _xlfn.IFNA(HYPERLINK(VLOOKUP(C59,Data!A:H,7,FALSE),"Catalog Link"),""))</f>
        <v>Catalog Link</v>
      </c>
      <c r="L59" s="33" t="str">
        <f>IF(_xlfn.IFNA(VLOOKUP(C59,Data!A:I,8,FALSE),"")=0, "", _xlfn.IFNA(HYPERLINK(VLOOKUP(C59,Data!A:I,8,FALSE),"Additional Information"),""))</f>
        <v/>
      </c>
      <c r="M59" s="34">
        <f t="shared" si="1"/>
        <v>3</v>
      </c>
      <c r="N59" s="42" t="s">
        <v>63</v>
      </c>
      <c r="O59" s="42" t="s">
        <v>63</v>
      </c>
      <c r="P59" s="42" t="s">
        <v>63</v>
      </c>
      <c r="Q59" s="42" t="s">
        <v>63</v>
      </c>
      <c r="R59" s="42" t="s">
        <v>63</v>
      </c>
      <c r="S59" s="42" t="s">
        <v>64</v>
      </c>
      <c r="T59" s="42" t="s">
        <v>63</v>
      </c>
      <c r="U59" s="42" t="s">
        <v>63</v>
      </c>
      <c r="V59" s="42" t="s">
        <v>63</v>
      </c>
      <c r="W59" s="42" t="s">
        <v>63</v>
      </c>
      <c r="X59" s="42" t="s">
        <v>63</v>
      </c>
      <c r="Y59" s="42" t="s">
        <v>63</v>
      </c>
      <c r="Z59" s="42" t="s">
        <v>63</v>
      </c>
      <c r="AA59" s="43" t="s">
        <v>63</v>
      </c>
      <c r="AB59" s="42" t="s">
        <v>63</v>
      </c>
      <c r="AC59" s="42"/>
      <c r="AD59" s="42" t="s">
        <v>63</v>
      </c>
      <c r="AE59" s="42" t="s">
        <v>63</v>
      </c>
      <c r="AF59" s="42" t="s">
        <v>63</v>
      </c>
      <c r="AG59" s="42" t="s">
        <v>63</v>
      </c>
      <c r="AH59" s="42" t="s">
        <v>63</v>
      </c>
      <c r="AI59" s="42"/>
      <c r="AJ59" s="42" t="s">
        <v>63</v>
      </c>
      <c r="AK59" s="42"/>
      <c r="AL59" s="42" t="s">
        <v>63</v>
      </c>
      <c r="AM59" s="42"/>
      <c r="AN59" s="42" t="s">
        <v>63</v>
      </c>
      <c r="AO59" s="42" t="s">
        <v>63</v>
      </c>
      <c r="AP59" s="42" t="s">
        <v>63</v>
      </c>
      <c r="AQ59" s="42" t="s">
        <v>63</v>
      </c>
      <c r="AR59" s="42"/>
      <c r="AS59" s="42" t="s">
        <v>63</v>
      </c>
      <c r="AT59" s="42" t="s">
        <v>63</v>
      </c>
      <c r="AU59" s="42"/>
      <c r="AV59" s="42"/>
      <c r="AW59" s="42" t="s">
        <v>63</v>
      </c>
      <c r="AX59" s="42" t="s">
        <v>63</v>
      </c>
      <c r="AY59" s="42" t="s">
        <v>63</v>
      </c>
      <c r="AZ59" s="42" t="s">
        <v>63</v>
      </c>
      <c r="BA59" s="42"/>
      <c r="BB59" s="42" t="s">
        <v>63</v>
      </c>
      <c r="BC59" s="42" t="s">
        <v>64</v>
      </c>
      <c r="BD59" s="42" t="s">
        <v>63</v>
      </c>
      <c r="BE59" s="42" t="s">
        <v>63</v>
      </c>
      <c r="BF59" s="42" t="s">
        <v>63</v>
      </c>
      <c r="BG59" s="42" t="s">
        <v>63</v>
      </c>
      <c r="BH59" s="42" t="s">
        <v>63</v>
      </c>
      <c r="BI59" s="42" t="s">
        <v>63</v>
      </c>
      <c r="BJ59" s="42" t="s">
        <v>63</v>
      </c>
      <c r="BK59" s="42" t="s">
        <v>64</v>
      </c>
      <c r="BL59" s="42" t="s">
        <v>63</v>
      </c>
    </row>
    <row r="60" spans="1:64" s="36" customFormat="1" ht="15.75">
      <c r="A60" s="33" t="s">
        <v>1177</v>
      </c>
      <c r="B60" s="34" t="s">
        <v>177</v>
      </c>
      <c r="C60" s="34" t="s">
        <v>177</v>
      </c>
      <c r="D60" s="33" t="s">
        <v>178</v>
      </c>
      <c r="E60" s="34">
        <f>IF(_xlfn.IFNA(VLOOKUP(B60,Data!B:G,3,FALSE),"")=0, "", _xlfn.IFNA(VLOOKUP(B60,Data!B:G,3,FALSE),""))</f>
        <v>3</v>
      </c>
      <c r="F60" s="33" t="s">
        <v>1175</v>
      </c>
      <c r="G60" s="33"/>
      <c r="H60" s="33" t="str">
        <f>IF(_xlfn.IFNA(VLOOKUP(C60,Data!A:G,5,FALSE),"")=0, "Check course registration information", _xlfn.IFNA(VLOOKUP(C60,Data!A:G,5,FALSE),""))</f>
        <v>Check course registration information</v>
      </c>
      <c r="I60" s="33"/>
      <c r="J60" s="33" t="str">
        <f>IF(_xlfn.IFNA(VLOOKUP(C60,Data!A:G,6,FALSE),"")=0, "Check course registration information", _xlfn.IFNA(VLOOKUP(C60,Data!A:G,6,FALSE),""))</f>
        <v>Survey of main group and transition metal chemistry. Main group special topics, bonding and structure of boron hydrides. Coordination chemistry, bonding models in coordination compounds. Transition metal organometallic chemistry, ligand types and reactivity patterns. Survey of inorganic NMR spectroscopy. Prerequisite: CHM 34200</v>
      </c>
      <c r="K60" s="33" t="str">
        <f>IF(_xlfn.IFNA(VLOOKUP(C60,Data!A:H,7,FALSE),"")=0, "", _xlfn.IFNA(HYPERLINK(VLOOKUP(C60,Data!A:H,7,FALSE),"Catalog Link"),""))</f>
        <v>Catalog Link</v>
      </c>
      <c r="L60" s="33" t="str">
        <f>IF(_xlfn.IFNA(VLOOKUP(C60,Data!A:I,8,FALSE),"")=0, "", _xlfn.IFNA(HYPERLINK(VLOOKUP(C60,Data!A:I,8,FALSE),"Additional Information"),""))</f>
        <v/>
      </c>
      <c r="M60" s="34">
        <f t="shared" si="1"/>
        <v>1</v>
      </c>
      <c r="N60" s="42" t="s">
        <v>63</v>
      </c>
      <c r="O60" s="42" t="s">
        <v>63</v>
      </c>
      <c r="P60" s="42" t="s">
        <v>63</v>
      </c>
      <c r="Q60" s="42" t="s">
        <v>63</v>
      </c>
      <c r="R60" s="42" t="s">
        <v>63</v>
      </c>
      <c r="S60" s="42" t="s">
        <v>63</v>
      </c>
      <c r="T60" s="42" t="s">
        <v>63</v>
      </c>
      <c r="U60" s="42" t="s">
        <v>63</v>
      </c>
      <c r="V60" s="42" t="s">
        <v>63</v>
      </c>
      <c r="W60" s="42" t="s">
        <v>63</v>
      </c>
      <c r="X60" s="42" t="s">
        <v>63</v>
      </c>
      <c r="Y60" s="42" t="s">
        <v>63</v>
      </c>
      <c r="Z60" s="42" t="s">
        <v>63</v>
      </c>
      <c r="AA60" s="43" t="s">
        <v>63</v>
      </c>
      <c r="AB60" s="42" t="s">
        <v>63</v>
      </c>
      <c r="AC60" s="42"/>
      <c r="AD60" s="42" t="s">
        <v>63</v>
      </c>
      <c r="AE60" s="42" t="s">
        <v>63</v>
      </c>
      <c r="AF60" s="42" t="s">
        <v>63</v>
      </c>
      <c r="AG60" s="42" t="s">
        <v>63</v>
      </c>
      <c r="AH60" s="42" t="s">
        <v>63</v>
      </c>
      <c r="AI60" s="42"/>
      <c r="AJ60" s="42" t="s">
        <v>63</v>
      </c>
      <c r="AK60" s="42"/>
      <c r="AL60" s="42" t="s">
        <v>63</v>
      </c>
      <c r="AM60" s="42"/>
      <c r="AN60" s="42" t="s">
        <v>63</v>
      </c>
      <c r="AO60" s="42" t="s">
        <v>63</v>
      </c>
      <c r="AP60" s="42" t="s">
        <v>63</v>
      </c>
      <c r="AQ60" s="42" t="s">
        <v>63</v>
      </c>
      <c r="AR60" s="42"/>
      <c r="AS60" s="42" t="s">
        <v>63</v>
      </c>
      <c r="AT60" s="42" t="s">
        <v>63</v>
      </c>
      <c r="AU60" s="42"/>
      <c r="AV60" s="42"/>
      <c r="AW60" s="42" t="s">
        <v>63</v>
      </c>
      <c r="AX60" s="42" t="s">
        <v>63</v>
      </c>
      <c r="AY60" s="42" t="s">
        <v>63</v>
      </c>
      <c r="AZ60" s="42" t="s">
        <v>63</v>
      </c>
      <c r="BA60" s="42"/>
      <c r="BB60" s="42" t="s">
        <v>63</v>
      </c>
      <c r="BC60" s="42" t="s">
        <v>63</v>
      </c>
      <c r="BD60" s="42" t="s">
        <v>63</v>
      </c>
      <c r="BE60" s="42" t="s">
        <v>63</v>
      </c>
      <c r="BF60" s="42" t="s">
        <v>64</v>
      </c>
      <c r="BG60" s="42" t="s">
        <v>63</v>
      </c>
      <c r="BH60" s="42" t="s">
        <v>63</v>
      </c>
      <c r="BI60" s="42" t="s">
        <v>63</v>
      </c>
      <c r="BJ60" s="42" t="s">
        <v>63</v>
      </c>
      <c r="BK60" s="42" t="s">
        <v>63</v>
      </c>
      <c r="BL60" s="42" t="s">
        <v>63</v>
      </c>
    </row>
    <row r="61" spans="1:64">
      <c r="A61" s="33" t="s">
        <v>1177</v>
      </c>
      <c r="B61" s="34" t="s">
        <v>179</v>
      </c>
      <c r="C61" s="34" t="s">
        <v>179</v>
      </c>
      <c r="D61" s="33" t="s">
        <v>180</v>
      </c>
      <c r="E61" s="34">
        <f>IF(_xlfn.IFNA(VLOOKUP(B61,Data!B:G,3,FALSE),"")=0, "", _xlfn.IFNA(VLOOKUP(B61,Data!B:G,3,FALSE),""))</f>
        <v>3</v>
      </c>
      <c r="F61" s="33" t="s">
        <v>1175</v>
      </c>
      <c r="G61" s="33"/>
      <c r="H61" s="33" t="str">
        <f>IF(_xlfn.IFNA(VLOOKUP(C61,Data!A:G,5,FALSE),"")=0, "Check course registration information", _xlfn.IFNA(VLOOKUP(C61,Data!A:G,5,FALSE),""))</f>
        <v>Check course registration information</v>
      </c>
      <c r="J61" s="33" t="str">
        <f>IF(_xlfn.IFNA(VLOOKUP(C61,Data!A:G,6,FALSE),"")=0, "Check course registration information", _xlfn.IFNA(VLOOKUP(C61,Data!A:G,6,FALSE),""))</f>
        <v>Physical inorganic chemistry. Applications of group theory to chemistry and spectroscopy, especially vibrational and electronic spectra of transition metal complexes. Molecular orbital theory and theoretical bases for reactivity. Magnetic properties and electron paramagnetic resonance (EPR) spectroscopy of inorganic materials. Prerequisite: CHM 34200</v>
      </c>
      <c r="K61" s="33" t="str">
        <f>IF(_xlfn.IFNA(VLOOKUP(C61,Data!A:H,7,FALSE),"")=0, "", _xlfn.IFNA(HYPERLINK(VLOOKUP(C61,Data!A:H,7,FALSE),"Catalog Link"),""))</f>
        <v>Catalog Link</v>
      </c>
      <c r="L61" s="33" t="str">
        <f>IF(_xlfn.IFNA(VLOOKUP(C61,Data!A:I,8,FALSE),"")=0, "", _xlfn.IFNA(HYPERLINK(VLOOKUP(C61,Data!A:I,8,FALSE),"Additional Information"),""))</f>
        <v/>
      </c>
      <c r="M61" s="34">
        <f t="shared" si="1"/>
        <v>1</v>
      </c>
      <c r="N61" s="42" t="s">
        <v>63</v>
      </c>
      <c r="O61" s="42" t="s">
        <v>63</v>
      </c>
      <c r="P61" s="42" t="s">
        <v>63</v>
      </c>
      <c r="Q61" s="42" t="s">
        <v>63</v>
      </c>
      <c r="R61" s="42" t="s">
        <v>63</v>
      </c>
      <c r="S61" s="42" t="s">
        <v>63</v>
      </c>
      <c r="T61" s="42" t="s">
        <v>63</v>
      </c>
      <c r="U61" s="42" t="s">
        <v>63</v>
      </c>
      <c r="V61" s="42" t="s">
        <v>63</v>
      </c>
      <c r="W61" s="42" t="s">
        <v>63</v>
      </c>
      <c r="X61" s="42" t="s">
        <v>63</v>
      </c>
      <c r="Y61" s="42" t="s">
        <v>63</v>
      </c>
      <c r="Z61" s="42" t="s">
        <v>63</v>
      </c>
      <c r="AA61" s="43" t="s">
        <v>63</v>
      </c>
      <c r="AB61" s="42" t="s">
        <v>63</v>
      </c>
      <c r="AC61" s="42"/>
      <c r="AD61" s="42" t="s">
        <v>63</v>
      </c>
      <c r="AE61" s="42" t="s">
        <v>63</v>
      </c>
      <c r="AF61" s="42" t="s">
        <v>63</v>
      </c>
      <c r="AG61" s="42" t="s">
        <v>63</v>
      </c>
      <c r="AH61" s="42" t="s">
        <v>63</v>
      </c>
      <c r="AI61" s="42"/>
      <c r="AJ61" s="42" t="s">
        <v>63</v>
      </c>
      <c r="AK61" s="42"/>
      <c r="AL61" s="42" t="s">
        <v>63</v>
      </c>
      <c r="AM61" s="42"/>
      <c r="AN61" s="42" t="s">
        <v>63</v>
      </c>
      <c r="AO61" s="42" t="s">
        <v>63</v>
      </c>
      <c r="AP61" s="42" t="s">
        <v>63</v>
      </c>
      <c r="AQ61" s="42" t="s">
        <v>63</v>
      </c>
      <c r="AR61" s="42"/>
      <c r="AS61" s="42" t="s">
        <v>63</v>
      </c>
      <c r="AT61" s="42" t="s">
        <v>63</v>
      </c>
      <c r="AU61" s="42"/>
      <c r="AV61" s="42"/>
      <c r="AW61" s="42" t="s">
        <v>63</v>
      </c>
      <c r="AX61" s="42" t="s">
        <v>63</v>
      </c>
      <c r="AY61" s="42" t="s">
        <v>63</v>
      </c>
      <c r="AZ61" s="42" t="s">
        <v>63</v>
      </c>
      <c r="BA61" s="42"/>
      <c r="BB61" s="42" t="s">
        <v>63</v>
      </c>
      <c r="BC61" s="42" t="s">
        <v>63</v>
      </c>
      <c r="BD61" s="42" t="s">
        <v>63</v>
      </c>
      <c r="BE61" s="42" t="s">
        <v>63</v>
      </c>
      <c r="BF61" s="42" t="s">
        <v>64</v>
      </c>
      <c r="BG61" s="42" t="s">
        <v>63</v>
      </c>
      <c r="BH61" s="42" t="s">
        <v>63</v>
      </c>
      <c r="BI61" s="42" t="s">
        <v>63</v>
      </c>
      <c r="BJ61" s="42" t="s">
        <v>63</v>
      </c>
      <c r="BK61" s="42" t="s">
        <v>63</v>
      </c>
      <c r="BL61" s="42" t="s">
        <v>63</v>
      </c>
    </row>
    <row r="62" spans="1:64">
      <c r="A62" s="33" t="s">
        <v>1177</v>
      </c>
      <c r="B62" s="34" t="s">
        <v>486</v>
      </c>
      <c r="C62" s="34" t="s">
        <v>486</v>
      </c>
      <c r="D62" s="33" t="s">
        <v>487</v>
      </c>
      <c r="E62" s="34">
        <f>IF(_xlfn.IFNA(VLOOKUP(B62,Data!B:G,3,FALSE),"")=0, "", _xlfn.IFNA(VLOOKUP(B62,Data!B:G,3,FALSE),""))</f>
        <v>3</v>
      </c>
      <c r="F62" s="44" t="s">
        <v>106</v>
      </c>
      <c r="H62" s="33" t="str">
        <f>IF(_xlfn.IFNA(VLOOKUP(C62,Data!A:G,5,FALSE),"")=0, "Check course registration information", _xlfn.IFNA(VLOOKUP(C62,Data!A:G,5,FALSE),""))</f>
        <v>Check course registration information</v>
      </c>
      <c r="J62" s="33" t="str">
        <f>IF(_xlfn.IFNA(VLOOKUP(C62,Data!A:G,6,FALSE),"")=0, "Check course registration information", _xlfn.IFNA(VLOOKUP(C62,Data!A:G,6,FALSE),""))</f>
        <v>The chemistry of solids, including a discussion of ionic crystals, metals, alloys, and binary compounds, and their characterizations by various physical methods. Description of chemical reactions, phase changes, and catalysis in terms of current theories of the solid state. Prerequisite: CHM 34200, 37400</v>
      </c>
      <c r="K62" s="33" t="str">
        <f>IF(_xlfn.IFNA(VLOOKUP(C62,Data!A:H,7,FALSE),"")=0, "", _xlfn.IFNA(HYPERLINK(VLOOKUP(C62,Data!A:H,7,FALSE),"Catalog Link"),""))</f>
        <v>Catalog Link</v>
      </c>
      <c r="L62" s="33" t="str">
        <f>IF(_xlfn.IFNA(VLOOKUP(C62,Data!A:I,8,FALSE),"")=0, "", _xlfn.IFNA(HYPERLINK(VLOOKUP(C62,Data!A:I,8,FALSE),"Additional Information"),""))</f>
        <v/>
      </c>
      <c r="M62" s="34">
        <f t="shared" si="1"/>
        <v>1</v>
      </c>
      <c r="N62" s="42" t="s">
        <v>63</v>
      </c>
      <c r="O62" s="42" t="s">
        <v>63</v>
      </c>
      <c r="P62" s="42" t="s">
        <v>63</v>
      </c>
      <c r="Q62" s="42" t="s">
        <v>63</v>
      </c>
      <c r="R62" s="42" t="s">
        <v>63</v>
      </c>
      <c r="S62" s="42" t="s">
        <v>63</v>
      </c>
      <c r="T62" s="42" t="s">
        <v>63</v>
      </c>
      <c r="U62" s="42" t="s">
        <v>63</v>
      </c>
      <c r="V62" s="42" t="s">
        <v>63</v>
      </c>
      <c r="W62" s="42" t="s">
        <v>63</v>
      </c>
      <c r="X62" s="42" t="s">
        <v>63</v>
      </c>
      <c r="Y62" s="42" t="s">
        <v>63</v>
      </c>
      <c r="Z62" s="42" t="s">
        <v>63</v>
      </c>
      <c r="AA62" s="43" t="s">
        <v>63</v>
      </c>
      <c r="AB62" s="42" t="s">
        <v>63</v>
      </c>
      <c r="AC62" s="42"/>
      <c r="AD62" s="42" t="s">
        <v>63</v>
      </c>
      <c r="AE62" s="42" t="s">
        <v>63</v>
      </c>
      <c r="AF62" s="42" t="s">
        <v>63</v>
      </c>
      <c r="AG62" s="42" t="s">
        <v>63</v>
      </c>
      <c r="AH62" s="42" t="s">
        <v>63</v>
      </c>
      <c r="AI62" s="42"/>
      <c r="AJ62" s="42" t="s">
        <v>63</v>
      </c>
      <c r="AK62" s="42"/>
      <c r="AL62" s="42" t="s">
        <v>63</v>
      </c>
      <c r="AM62" s="42"/>
      <c r="AN62" s="42" t="s">
        <v>63</v>
      </c>
      <c r="AO62" s="42" t="s">
        <v>63</v>
      </c>
      <c r="AP62" s="42" t="s">
        <v>63</v>
      </c>
      <c r="AQ62" s="42" t="s">
        <v>63</v>
      </c>
      <c r="AR62" s="42"/>
      <c r="AS62" s="42" t="s">
        <v>63</v>
      </c>
      <c r="AT62" s="42" t="s">
        <v>63</v>
      </c>
      <c r="AU62" s="42"/>
      <c r="AV62" s="42"/>
      <c r="AW62" s="42" t="s">
        <v>63</v>
      </c>
      <c r="AX62" s="42" t="s">
        <v>63</v>
      </c>
      <c r="AY62" s="42" t="s">
        <v>63</v>
      </c>
      <c r="AZ62" s="42" t="s">
        <v>63</v>
      </c>
      <c r="BA62" s="42"/>
      <c r="BB62" s="42" t="s">
        <v>63</v>
      </c>
      <c r="BC62" s="42" t="s">
        <v>63</v>
      </c>
      <c r="BD62" s="42" t="s">
        <v>63</v>
      </c>
      <c r="BE62" s="42" t="s">
        <v>63</v>
      </c>
      <c r="BF62" s="42" t="s">
        <v>64</v>
      </c>
      <c r="BG62" s="42" t="s">
        <v>63</v>
      </c>
      <c r="BH62" s="42" t="s">
        <v>63</v>
      </c>
      <c r="BI62" s="42" t="s">
        <v>63</v>
      </c>
      <c r="BJ62" s="42" t="s">
        <v>63</v>
      </c>
      <c r="BK62" s="42" t="s">
        <v>63</v>
      </c>
      <c r="BL62" s="42" t="s">
        <v>63</v>
      </c>
    </row>
    <row r="63" spans="1:64" s="36" customFormat="1" ht="15.75">
      <c r="A63" s="33" t="s">
        <v>1177</v>
      </c>
      <c r="B63" s="34" t="s">
        <v>184</v>
      </c>
      <c r="C63" s="34" t="s">
        <v>184</v>
      </c>
      <c r="D63" s="33" t="s">
        <v>185</v>
      </c>
      <c r="E63" s="34">
        <f>IF(_xlfn.IFNA(VLOOKUP(B63,Data!B:G,3,FALSE),"")=0, "", _xlfn.IFNA(VLOOKUP(B63,Data!B:G,3,FALSE),""))</f>
        <v>3</v>
      </c>
      <c r="F63" s="33" t="s">
        <v>1175</v>
      </c>
      <c r="G63" s="33"/>
      <c r="H63" s="33" t="str">
        <f>IF(_xlfn.IFNA(VLOOKUP(C63,Data!A:G,5,FALSE),"")=0, "Check course registration information", _xlfn.IFNA(VLOOKUP(C63,Data!A:G,5,FALSE),""))</f>
        <v>Check course registration information</v>
      </c>
      <c r="I63" s="33"/>
      <c r="J63" s="33" t="str">
        <f>IF(_xlfn.IFNA(VLOOKUP(C63,Data!A:G,6,FALSE),"")=0, "Check course registration information", _xlfn.IFNA(VLOOKUP(C63,Data!A:G,6,FALSE),""))</f>
        <v>Chemical kinetics, reaction orders, mechanisms and rate expressions; experimental techniques; transition state theory; reactions in solution; complex mechanisms; linear free-energy relationships; acid-base catalysis and proton-transfer reactions; redox reactions (electron and atom transfer, oxidative addition-reductive elimination); substitution reactions of metal ion and organometallic complexes; homogeneous catalysis; and heterogeneous reactions. Prerequisite: CHM 34200</v>
      </c>
      <c r="K63" s="33" t="str">
        <f>IF(_xlfn.IFNA(VLOOKUP(C63,Data!A:H,7,FALSE),"")=0, "", _xlfn.IFNA(HYPERLINK(VLOOKUP(C63,Data!A:H,7,FALSE),"Catalog Link"),""))</f>
        <v>Catalog Link</v>
      </c>
      <c r="L63" s="33" t="str">
        <f>IF(_xlfn.IFNA(VLOOKUP(C63,Data!A:I,8,FALSE),"")=0, "", _xlfn.IFNA(HYPERLINK(VLOOKUP(C63,Data!A:I,8,FALSE),"Additional Information"),""))</f>
        <v/>
      </c>
      <c r="M63" s="34">
        <f t="shared" si="1"/>
        <v>1</v>
      </c>
      <c r="N63" s="42" t="s">
        <v>63</v>
      </c>
      <c r="O63" s="42" t="s">
        <v>63</v>
      </c>
      <c r="P63" s="42" t="s">
        <v>63</v>
      </c>
      <c r="Q63" s="42" t="s">
        <v>63</v>
      </c>
      <c r="R63" s="42" t="s">
        <v>63</v>
      </c>
      <c r="S63" s="42" t="s">
        <v>63</v>
      </c>
      <c r="T63" s="42" t="s">
        <v>63</v>
      </c>
      <c r="U63" s="42" t="s">
        <v>63</v>
      </c>
      <c r="V63" s="42" t="s">
        <v>63</v>
      </c>
      <c r="W63" s="42" t="s">
        <v>63</v>
      </c>
      <c r="X63" s="42" t="s">
        <v>63</v>
      </c>
      <c r="Y63" s="42" t="s">
        <v>63</v>
      </c>
      <c r="Z63" s="42" t="s">
        <v>63</v>
      </c>
      <c r="AA63" s="43" t="s">
        <v>63</v>
      </c>
      <c r="AB63" s="42" t="s">
        <v>63</v>
      </c>
      <c r="AC63" s="42"/>
      <c r="AD63" s="42" t="s">
        <v>63</v>
      </c>
      <c r="AE63" s="42" t="s">
        <v>63</v>
      </c>
      <c r="AF63" s="42" t="s">
        <v>63</v>
      </c>
      <c r="AG63" s="42" t="s">
        <v>63</v>
      </c>
      <c r="AH63" s="42" t="s">
        <v>63</v>
      </c>
      <c r="AI63" s="42"/>
      <c r="AJ63" s="42" t="s">
        <v>63</v>
      </c>
      <c r="AK63" s="42"/>
      <c r="AL63" s="42" t="s">
        <v>63</v>
      </c>
      <c r="AM63" s="42"/>
      <c r="AN63" s="42" t="s">
        <v>63</v>
      </c>
      <c r="AO63" s="42" t="s">
        <v>63</v>
      </c>
      <c r="AP63" s="42" t="s">
        <v>63</v>
      </c>
      <c r="AQ63" s="42" t="s">
        <v>63</v>
      </c>
      <c r="AR63" s="42"/>
      <c r="AS63" s="42" t="s">
        <v>63</v>
      </c>
      <c r="AT63" s="42" t="s">
        <v>63</v>
      </c>
      <c r="AU63" s="42"/>
      <c r="AV63" s="42"/>
      <c r="AW63" s="42" t="s">
        <v>63</v>
      </c>
      <c r="AX63" s="42" t="s">
        <v>63</v>
      </c>
      <c r="AY63" s="42" t="s">
        <v>63</v>
      </c>
      <c r="AZ63" s="42" t="s">
        <v>63</v>
      </c>
      <c r="BA63" s="42"/>
      <c r="BB63" s="42" t="s">
        <v>63</v>
      </c>
      <c r="BC63" s="42" t="s">
        <v>63</v>
      </c>
      <c r="BD63" s="42" t="s">
        <v>63</v>
      </c>
      <c r="BE63" s="42" t="s">
        <v>63</v>
      </c>
      <c r="BF63" s="42" t="s">
        <v>64</v>
      </c>
      <c r="BG63" s="42" t="s">
        <v>63</v>
      </c>
      <c r="BH63" s="42" t="s">
        <v>63</v>
      </c>
      <c r="BI63" s="42" t="s">
        <v>63</v>
      </c>
      <c r="BJ63" s="42" t="s">
        <v>63</v>
      </c>
      <c r="BK63" s="42" t="s">
        <v>63</v>
      </c>
      <c r="BL63" s="42" t="s">
        <v>63</v>
      </c>
    </row>
    <row r="64" spans="1:64" s="36" customFormat="1" ht="15.75">
      <c r="A64" s="33" t="s">
        <v>1177</v>
      </c>
      <c r="B64" s="34" t="s">
        <v>186</v>
      </c>
      <c r="C64" s="34" t="s">
        <v>186</v>
      </c>
      <c r="D64" s="33" t="s">
        <v>187</v>
      </c>
      <c r="E64" s="34">
        <f>IF(_xlfn.IFNA(VLOOKUP(B64,Data!B:G,3,FALSE),"")=0, "", _xlfn.IFNA(VLOOKUP(B64,Data!B:G,3,FALSE),""))</f>
        <v>3</v>
      </c>
      <c r="F64" s="33" t="s">
        <v>1175</v>
      </c>
      <c r="G64" s="33"/>
      <c r="H64" s="33" t="str">
        <f>IF(_xlfn.IFNA(VLOOKUP(C64,Data!A:G,5,FALSE),"")=0, "Check course registration information", _xlfn.IFNA(VLOOKUP(C64,Data!A:G,5,FALSE),""))</f>
        <v>Check course registration information</v>
      </c>
      <c r="I64" s="33"/>
      <c r="J64" s="33" t="str">
        <f>IF(_xlfn.IFNA(VLOOKUP(C64,Data!A:G,6,FALSE),"")=0, "Check course registration information", _xlfn.IFNA(VLOOKUP(C64,Data!A:G,6,FALSE),""))</f>
        <v>A study of the chemistry and physical properties of compounds of the transition metals. Halides, oxides, and oxy-salts; transition metal carbonyls and derivatives; pi-bonded organometallic compounds; catalysis; spectral and magnetic properties of compounds. Prerequisite: CHM 64100</v>
      </c>
      <c r="K64" s="33" t="str">
        <f>IF(_xlfn.IFNA(VLOOKUP(C64,Data!A:H,7,FALSE),"")=0, "", _xlfn.IFNA(HYPERLINK(VLOOKUP(C64,Data!A:H,7,FALSE),"Catalog Link"),""))</f>
        <v>Catalog Link</v>
      </c>
      <c r="L64" s="33" t="str">
        <f>IF(_xlfn.IFNA(VLOOKUP(C64,Data!A:I,8,FALSE),"")=0, "", _xlfn.IFNA(HYPERLINK(VLOOKUP(C64,Data!A:I,8,FALSE),"Additional Information"),""))</f>
        <v/>
      </c>
      <c r="M64" s="34">
        <f t="shared" si="1"/>
        <v>1</v>
      </c>
      <c r="N64" s="42" t="s">
        <v>63</v>
      </c>
      <c r="O64" s="42" t="s">
        <v>63</v>
      </c>
      <c r="P64" s="42" t="s">
        <v>63</v>
      </c>
      <c r="Q64" s="42" t="s">
        <v>63</v>
      </c>
      <c r="R64" s="42" t="s">
        <v>63</v>
      </c>
      <c r="S64" s="42" t="s">
        <v>63</v>
      </c>
      <c r="T64" s="42" t="s">
        <v>63</v>
      </c>
      <c r="U64" s="42" t="s">
        <v>63</v>
      </c>
      <c r="V64" s="42" t="s">
        <v>63</v>
      </c>
      <c r="W64" s="42" t="s">
        <v>63</v>
      </c>
      <c r="X64" s="42" t="s">
        <v>63</v>
      </c>
      <c r="Y64" s="42" t="s">
        <v>63</v>
      </c>
      <c r="Z64" s="42" t="s">
        <v>63</v>
      </c>
      <c r="AA64" s="43" t="s">
        <v>63</v>
      </c>
      <c r="AB64" s="42" t="s">
        <v>63</v>
      </c>
      <c r="AC64" s="42"/>
      <c r="AD64" s="42" t="s">
        <v>63</v>
      </c>
      <c r="AE64" s="42" t="s">
        <v>63</v>
      </c>
      <c r="AF64" s="42" t="s">
        <v>63</v>
      </c>
      <c r="AG64" s="42" t="s">
        <v>63</v>
      </c>
      <c r="AH64" s="42" t="s">
        <v>63</v>
      </c>
      <c r="AI64" s="42"/>
      <c r="AJ64" s="42" t="s">
        <v>63</v>
      </c>
      <c r="AK64" s="42"/>
      <c r="AL64" s="42" t="s">
        <v>63</v>
      </c>
      <c r="AM64" s="42"/>
      <c r="AN64" s="42" t="s">
        <v>63</v>
      </c>
      <c r="AO64" s="42" t="s">
        <v>63</v>
      </c>
      <c r="AP64" s="42" t="s">
        <v>63</v>
      </c>
      <c r="AQ64" s="42" t="s">
        <v>63</v>
      </c>
      <c r="AR64" s="42"/>
      <c r="AS64" s="42" t="s">
        <v>63</v>
      </c>
      <c r="AT64" s="42" t="s">
        <v>63</v>
      </c>
      <c r="AU64" s="42"/>
      <c r="AV64" s="42"/>
      <c r="AW64" s="42" t="s">
        <v>63</v>
      </c>
      <c r="AX64" s="42" t="s">
        <v>63</v>
      </c>
      <c r="AY64" s="42" t="s">
        <v>63</v>
      </c>
      <c r="AZ64" s="42" t="s">
        <v>63</v>
      </c>
      <c r="BA64" s="42"/>
      <c r="BB64" s="42" t="s">
        <v>63</v>
      </c>
      <c r="BC64" s="42" t="s">
        <v>63</v>
      </c>
      <c r="BD64" s="42" t="s">
        <v>63</v>
      </c>
      <c r="BE64" s="42" t="s">
        <v>63</v>
      </c>
      <c r="BF64" s="42" t="s">
        <v>64</v>
      </c>
      <c r="BG64" s="42" t="s">
        <v>63</v>
      </c>
      <c r="BH64" s="42" t="s">
        <v>63</v>
      </c>
      <c r="BI64" s="42" t="s">
        <v>63</v>
      </c>
      <c r="BJ64" s="42" t="s">
        <v>63</v>
      </c>
      <c r="BK64" s="42" t="s">
        <v>63</v>
      </c>
      <c r="BL64" s="42" t="s">
        <v>63</v>
      </c>
    </row>
    <row r="65" spans="1:64" s="36" customFormat="1" ht="15.75">
      <c r="A65" s="33" t="s">
        <v>1177</v>
      </c>
      <c r="B65" s="34" t="s">
        <v>188</v>
      </c>
      <c r="C65" s="34" t="s">
        <v>188</v>
      </c>
      <c r="D65" s="33" t="s">
        <v>189</v>
      </c>
      <c r="E65" s="34">
        <f>IF(_xlfn.IFNA(VLOOKUP(B65,Data!B:G,3,FALSE),"")=0, "", _xlfn.IFNA(VLOOKUP(B65,Data!B:G,3,FALSE),""))</f>
        <v>3</v>
      </c>
      <c r="F65" s="33" t="s">
        <v>1175</v>
      </c>
      <c r="G65" s="33"/>
      <c r="H65" s="33" t="str">
        <f>IF(_xlfn.IFNA(VLOOKUP(C65,Data!A:G,5,FALSE),"")=0, "Check course registration information", _xlfn.IFNA(VLOOKUP(C65,Data!A:G,5,FALSE),""))</f>
        <v>Check course registration information</v>
      </c>
      <c r="I65" s="33"/>
      <c r="J65" s="33" t="str">
        <f>IF(_xlfn.IFNA(VLOOKUP(C65,Data!A:G,6,FALSE),"")=0, "Check course registration information", _xlfn.IFNA(VLOOKUP(C65,Data!A:G,6,FALSE),""))</f>
        <v>Modern structural organic chemistry, including introductions to molecular orbital theory and reaction mechanisms. Prerequisite: a year's course in organic chemistry</v>
      </c>
      <c r="K65" s="33" t="str">
        <f>IF(_xlfn.IFNA(VLOOKUP(C65,Data!A:H,7,FALSE),"")=0, "", _xlfn.IFNA(HYPERLINK(VLOOKUP(C65,Data!A:H,7,FALSE),"Catalog Link"),""))</f>
        <v>Catalog Link</v>
      </c>
      <c r="L65" s="33" t="str">
        <f>IF(_xlfn.IFNA(VLOOKUP(C65,Data!A:I,8,FALSE),"")=0, "", _xlfn.IFNA(HYPERLINK(VLOOKUP(C65,Data!A:I,8,FALSE),"Additional Information"),""))</f>
        <v/>
      </c>
      <c r="M65" s="34">
        <f t="shared" si="1"/>
        <v>1</v>
      </c>
      <c r="N65" s="42" t="s">
        <v>63</v>
      </c>
      <c r="O65" s="42" t="s">
        <v>63</v>
      </c>
      <c r="P65" s="42" t="s">
        <v>63</v>
      </c>
      <c r="Q65" s="42" t="s">
        <v>63</v>
      </c>
      <c r="R65" s="42" t="s">
        <v>63</v>
      </c>
      <c r="S65" s="42" t="s">
        <v>63</v>
      </c>
      <c r="T65" s="42" t="s">
        <v>63</v>
      </c>
      <c r="U65" s="42" t="s">
        <v>63</v>
      </c>
      <c r="V65" s="42" t="s">
        <v>63</v>
      </c>
      <c r="W65" s="42" t="s">
        <v>63</v>
      </c>
      <c r="X65" s="42" t="s">
        <v>63</v>
      </c>
      <c r="Y65" s="42" t="s">
        <v>63</v>
      </c>
      <c r="Z65" s="42" t="s">
        <v>63</v>
      </c>
      <c r="AA65" s="43" t="s">
        <v>63</v>
      </c>
      <c r="AB65" s="42" t="s">
        <v>63</v>
      </c>
      <c r="AC65" s="42"/>
      <c r="AD65" s="42" t="s">
        <v>63</v>
      </c>
      <c r="AE65" s="42" t="s">
        <v>63</v>
      </c>
      <c r="AF65" s="42" t="s">
        <v>63</v>
      </c>
      <c r="AG65" s="42" t="s">
        <v>63</v>
      </c>
      <c r="AH65" s="42" t="s">
        <v>63</v>
      </c>
      <c r="AI65" s="42"/>
      <c r="AJ65" s="42" t="s">
        <v>63</v>
      </c>
      <c r="AK65" s="42"/>
      <c r="AL65" s="42" t="s">
        <v>63</v>
      </c>
      <c r="AM65" s="42"/>
      <c r="AN65" s="42" t="s">
        <v>63</v>
      </c>
      <c r="AO65" s="42" t="s">
        <v>63</v>
      </c>
      <c r="AP65" s="42" t="s">
        <v>63</v>
      </c>
      <c r="AQ65" s="42" t="s">
        <v>63</v>
      </c>
      <c r="AR65" s="42"/>
      <c r="AS65" s="42" t="s">
        <v>63</v>
      </c>
      <c r="AT65" s="42" t="s">
        <v>63</v>
      </c>
      <c r="AU65" s="42"/>
      <c r="AV65" s="42"/>
      <c r="AW65" s="42" t="s">
        <v>63</v>
      </c>
      <c r="AX65" s="42" t="s">
        <v>63</v>
      </c>
      <c r="AY65" s="42" t="s">
        <v>63</v>
      </c>
      <c r="AZ65" s="42" t="s">
        <v>63</v>
      </c>
      <c r="BA65" s="42"/>
      <c r="BB65" s="42" t="s">
        <v>63</v>
      </c>
      <c r="BC65" s="42" t="s">
        <v>63</v>
      </c>
      <c r="BD65" s="42" t="s">
        <v>63</v>
      </c>
      <c r="BE65" s="42" t="s">
        <v>63</v>
      </c>
      <c r="BF65" s="42" t="s">
        <v>64</v>
      </c>
      <c r="BG65" s="42" t="s">
        <v>63</v>
      </c>
      <c r="BH65" s="42" t="s">
        <v>63</v>
      </c>
      <c r="BI65" s="42" t="s">
        <v>63</v>
      </c>
      <c r="BJ65" s="42" t="s">
        <v>63</v>
      </c>
      <c r="BK65" s="42" t="s">
        <v>63</v>
      </c>
      <c r="BL65" s="42" t="s">
        <v>63</v>
      </c>
    </row>
    <row r="66" spans="1:64" s="36" customFormat="1" ht="15.75">
      <c r="A66" s="33" t="s">
        <v>1177</v>
      </c>
      <c r="B66" s="34" t="s">
        <v>190</v>
      </c>
      <c r="C66" s="34" t="s">
        <v>190</v>
      </c>
      <c r="D66" s="33" t="s">
        <v>191</v>
      </c>
      <c r="E66" s="34">
        <f>IF(_xlfn.IFNA(VLOOKUP(B66,Data!B:G,3,FALSE),"")=0, "", _xlfn.IFNA(VLOOKUP(B66,Data!B:G,3,FALSE),""))</f>
        <v>3</v>
      </c>
      <c r="F66" s="33" t="s">
        <v>1175</v>
      </c>
      <c r="G66" s="33"/>
      <c r="H66" s="33" t="str">
        <f>IF(_xlfn.IFNA(VLOOKUP(C66,Data!A:G,5,FALSE),"")=0, "Check course registration information", _xlfn.IFNA(VLOOKUP(C66,Data!A:G,5,FALSE),""))</f>
        <v>Check course registration information</v>
      </c>
      <c r="I66" s="33"/>
      <c r="J66" s="33" t="str">
        <f>IF(_xlfn.IFNA(VLOOKUP(C66,Data!A:G,6,FALSE),"")=0, "Check course registration information", _xlfn.IFNA(VLOOKUP(C66,Data!A:G,6,FALSE),""))</f>
        <v>The theoretical and mechanistic bases for structure and reactivity in organic chemistry is discussed. Individual topics include kinetics and thermodynamics, molecular orbital theory, stereochemistry and reactive intermediates as applied to the mechanisms of organic reactions. Prerequisite: CHM 56300 or 65100</v>
      </c>
      <c r="K66" s="33" t="str">
        <f>IF(_xlfn.IFNA(VLOOKUP(C66,Data!A:H,7,FALSE),"")=0, "", _xlfn.IFNA(HYPERLINK(VLOOKUP(C66,Data!A:H,7,FALSE),"Catalog Link"),""))</f>
        <v>Catalog Link</v>
      </c>
      <c r="L66" s="33" t="str">
        <f>IF(_xlfn.IFNA(VLOOKUP(C66,Data!A:I,8,FALSE),"")=0, "", _xlfn.IFNA(HYPERLINK(VLOOKUP(C66,Data!A:I,8,FALSE),"Additional Information"),""))</f>
        <v/>
      </c>
      <c r="M66" s="34">
        <f t="shared" si="1"/>
        <v>0</v>
      </c>
      <c r="N66" s="42" t="s">
        <v>63</v>
      </c>
      <c r="O66" s="42" t="s">
        <v>63</v>
      </c>
      <c r="P66" s="42" t="s">
        <v>63</v>
      </c>
      <c r="Q66" s="42" t="s">
        <v>63</v>
      </c>
      <c r="R66" s="42" t="s">
        <v>63</v>
      </c>
      <c r="S66" s="42" t="s">
        <v>63</v>
      </c>
      <c r="T66" s="42" t="s">
        <v>63</v>
      </c>
      <c r="U66" s="42" t="s">
        <v>63</v>
      </c>
      <c r="V66" s="42" t="s">
        <v>63</v>
      </c>
      <c r="W66" s="42" t="s">
        <v>63</v>
      </c>
      <c r="X66" s="42" t="s">
        <v>63</v>
      </c>
      <c r="Y66" s="42" t="s">
        <v>63</v>
      </c>
      <c r="Z66" s="42" t="s">
        <v>63</v>
      </c>
      <c r="AA66" s="43" t="s">
        <v>63</v>
      </c>
      <c r="AB66" s="42" t="s">
        <v>63</v>
      </c>
      <c r="AC66" s="42"/>
      <c r="AD66" s="42" t="s">
        <v>63</v>
      </c>
      <c r="AE66" s="42" t="s">
        <v>63</v>
      </c>
      <c r="AF66" s="42" t="s">
        <v>63</v>
      </c>
      <c r="AG66" s="42" t="s">
        <v>63</v>
      </c>
      <c r="AH66" s="42" t="s">
        <v>63</v>
      </c>
      <c r="AI66" s="42"/>
      <c r="AJ66" s="42" t="s">
        <v>63</v>
      </c>
      <c r="AK66" s="42"/>
      <c r="AL66" s="42" t="s">
        <v>63</v>
      </c>
      <c r="AM66" s="42"/>
      <c r="AN66" s="42" t="s">
        <v>63</v>
      </c>
      <c r="AO66" s="42" t="s">
        <v>63</v>
      </c>
      <c r="AP66" s="42" t="s">
        <v>63</v>
      </c>
      <c r="AQ66" s="42" t="s">
        <v>63</v>
      </c>
      <c r="AR66" s="42"/>
      <c r="AS66" s="42" t="s">
        <v>63</v>
      </c>
      <c r="AT66" s="42" t="s">
        <v>63</v>
      </c>
      <c r="AU66" s="42"/>
      <c r="AV66" s="42"/>
      <c r="AW66" s="42" t="s">
        <v>63</v>
      </c>
      <c r="AX66" s="42" t="s">
        <v>63</v>
      </c>
      <c r="AY66" s="42" t="s">
        <v>63</v>
      </c>
      <c r="AZ66" s="42" t="s">
        <v>63</v>
      </c>
      <c r="BA66" s="42"/>
      <c r="BB66" s="42" t="s">
        <v>63</v>
      </c>
      <c r="BC66" s="42" t="s">
        <v>63</v>
      </c>
      <c r="BD66" s="42" t="s">
        <v>63</v>
      </c>
      <c r="BE66" s="42" t="s">
        <v>63</v>
      </c>
      <c r="BF66" s="42" t="s">
        <v>63</v>
      </c>
      <c r="BG66" s="42" t="s">
        <v>63</v>
      </c>
      <c r="BH66" s="42" t="s">
        <v>63</v>
      </c>
      <c r="BI66" s="42" t="s">
        <v>63</v>
      </c>
      <c r="BJ66" s="42" t="s">
        <v>63</v>
      </c>
      <c r="BK66" s="42" t="s">
        <v>63</v>
      </c>
      <c r="BL66" s="42" t="s">
        <v>63</v>
      </c>
    </row>
    <row r="67" spans="1:64" s="36" customFormat="1" ht="15.75">
      <c r="A67" s="33" t="s">
        <v>1177</v>
      </c>
      <c r="B67" s="34" t="s">
        <v>193</v>
      </c>
      <c r="C67" s="34" t="s">
        <v>193</v>
      </c>
      <c r="D67" s="33" t="s">
        <v>194</v>
      </c>
      <c r="E67" s="34">
        <f>IF(_xlfn.IFNA(VLOOKUP(B67,Data!B:G,3,FALSE),"")=0, "", _xlfn.IFNA(VLOOKUP(B67,Data!B:G,3,FALSE),""))</f>
        <v>3</v>
      </c>
      <c r="F67" s="33" t="s">
        <v>1175</v>
      </c>
      <c r="G67" s="33"/>
      <c r="H67" s="33" t="str">
        <f>IF(_xlfn.IFNA(VLOOKUP(C67,Data!A:G,5,FALSE),"")=0, "Check course registration information", _xlfn.IFNA(VLOOKUP(C67,Data!A:G,5,FALSE),""))</f>
        <v>Check course registration information</v>
      </c>
      <c r="I67" s="33"/>
      <c r="J67" s="33" t="str">
        <f>IF(_xlfn.IFNA(VLOOKUP(C67,Data!A:G,6,FALSE),"")=0, "Check course registration information", _xlfn.IFNA(VLOOKUP(C67,Data!A:G,6,FALSE),""))</f>
        <v>Selected topics, including atomic and molecular structure and modern theories underlying thermodynamics and chemical kinetics. Prerequisite: CHM 57800</v>
      </c>
      <c r="K67" s="33" t="str">
        <f>IF(_xlfn.IFNA(VLOOKUP(C67,Data!A:H,7,FALSE),"")=0, "", _xlfn.IFNA(HYPERLINK(VLOOKUP(C67,Data!A:H,7,FALSE),"Catalog Link"),""))</f>
        <v>Catalog Link</v>
      </c>
      <c r="L67" s="33" t="str">
        <f>IF(_xlfn.IFNA(VLOOKUP(C67,Data!A:I,8,FALSE),"")=0, "", _xlfn.IFNA(HYPERLINK(VLOOKUP(C67,Data!A:I,8,FALSE),"Additional Information"),""))</f>
        <v/>
      </c>
      <c r="M67" s="34">
        <f t="shared" ref="M67:M130" si="2">COUNTIF(N67:BL67,"x")</f>
        <v>0</v>
      </c>
      <c r="N67" s="42" t="s">
        <v>63</v>
      </c>
      <c r="O67" s="42" t="s">
        <v>63</v>
      </c>
      <c r="P67" s="42" t="s">
        <v>63</v>
      </c>
      <c r="Q67" s="42" t="s">
        <v>63</v>
      </c>
      <c r="R67" s="42" t="s">
        <v>63</v>
      </c>
      <c r="S67" s="42" t="s">
        <v>63</v>
      </c>
      <c r="T67" s="42" t="s">
        <v>63</v>
      </c>
      <c r="U67" s="42" t="s">
        <v>63</v>
      </c>
      <c r="V67" s="42" t="s">
        <v>63</v>
      </c>
      <c r="W67" s="42" t="s">
        <v>63</v>
      </c>
      <c r="X67" s="42" t="s">
        <v>63</v>
      </c>
      <c r="Y67" s="42" t="s">
        <v>63</v>
      </c>
      <c r="Z67" s="42" t="s">
        <v>63</v>
      </c>
      <c r="AA67" s="43" t="s">
        <v>63</v>
      </c>
      <c r="AB67" s="42" t="s">
        <v>63</v>
      </c>
      <c r="AC67" s="42"/>
      <c r="AD67" s="42" t="s">
        <v>63</v>
      </c>
      <c r="AE67" s="42" t="s">
        <v>63</v>
      </c>
      <c r="AF67" s="42" t="s">
        <v>63</v>
      </c>
      <c r="AG67" s="42" t="s">
        <v>63</v>
      </c>
      <c r="AH67" s="42" t="s">
        <v>63</v>
      </c>
      <c r="AI67" s="42"/>
      <c r="AJ67" s="42" t="s">
        <v>63</v>
      </c>
      <c r="AK67" s="42"/>
      <c r="AL67" s="42" t="s">
        <v>63</v>
      </c>
      <c r="AM67" s="42"/>
      <c r="AN67" s="42" t="s">
        <v>63</v>
      </c>
      <c r="AO67" s="42" t="s">
        <v>63</v>
      </c>
      <c r="AP67" s="42" t="s">
        <v>63</v>
      </c>
      <c r="AQ67" s="42" t="s">
        <v>63</v>
      </c>
      <c r="AR67" s="42"/>
      <c r="AS67" s="42"/>
      <c r="AT67" s="42" t="s">
        <v>63</v>
      </c>
      <c r="AU67" s="42"/>
      <c r="AV67" s="42"/>
      <c r="AW67" s="42" t="s">
        <v>63</v>
      </c>
      <c r="AX67" s="42" t="s">
        <v>63</v>
      </c>
      <c r="AY67" s="42" t="s">
        <v>63</v>
      </c>
      <c r="AZ67" s="42" t="s">
        <v>63</v>
      </c>
      <c r="BA67" s="42"/>
      <c r="BB67" s="42" t="s">
        <v>63</v>
      </c>
      <c r="BC67" s="42" t="s">
        <v>63</v>
      </c>
      <c r="BD67" s="42" t="s">
        <v>63</v>
      </c>
      <c r="BE67" s="42" t="s">
        <v>63</v>
      </c>
      <c r="BF67" s="42" t="s">
        <v>63</v>
      </c>
      <c r="BG67" s="42" t="s">
        <v>63</v>
      </c>
      <c r="BH67" s="42" t="s">
        <v>63</v>
      </c>
      <c r="BI67" s="42" t="s">
        <v>63</v>
      </c>
      <c r="BJ67" s="42" t="s">
        <v>63</v>
      </c>
      <c r="BK67" s="42" t="s">
        <v>63</v>
      </c>
      <c r="BL67" s="42" t="s">
        <v>63</v>
      </c>
    </row>
    <row r="68" spans="1:64" s="36" customFormat="1" ht="15.75">
      <c r="A68" s="33" t="s">
        <v>1177</v>
      </c>
      <c r="B68" s="34" t="s">
        <v>195</v>
      </c>
      <c r="C68" s="34" t="s">
        <v>195</v>
      </c>
      <c r="D68" s="33" t="s">
        <v>196</v>
      </c>
      <c r="E68" s="34">
        <f>IF(_xlfn.IFNA(VLOOKUP(B68,Data!B:G,3,FALSE),"")=0, "", _xlfn.IFNA(VLOOKUP(B68,Data!B:G,3,FALSE),""))</f>
        <v>3</v>
      </c>
      <c r="F68" s="33" t="s">
        <v>1175</v>
      </c>
      <c r="G68" s="33"/>
      <c r="H68" s="33" t="str">
        <f>IF(_xlfn.IFNA(VLOOKUP(C68,Data!A:G,5,FALSE),"")=0, "Check course registration information", _xlfn.IFNA(VLOOKUP(C68,Data!A:G,5,FALSE),""))</f>
        <v>Check course registration information</v>
      </c>
      <c r="I68" s="33"/>
      <c r="J68" s="33" t="str">
        <f>IF(_xlfn.IFNA(VLOOKUP(C68,Data!A:G,6,FALSE),"")=0, "Check course registration information", _xlfn.IFNA(VLOOKUP(C68,Data!A:G,6,FALSE),""))</f>
        <v>Semiempirical and molecular-mechanics treatments of large molecules, ab initio methods, modern density functional theory, Green's functions, multichannel quantum defect theory, global optimization methods. Prerequisite: CHM 67100</v>
      </c>
      <c r="K68" s="33" t="str">
        <f>IF(_xlfn.IFNA(VLOOKUP(C68,Data!A:H,7,FALSE),"")=0, "", _xlfn.IFNA(HYPERLINK(VLOOKUP(C68,Data!A:H,7,FALSE),"Catalog Link"),""))</f>
        <v>Catalog Link</v>
      </c>
      <c r="L68" s="33" t="str">
        <f>IF(_xlfn.IFNA(VLOOKUP(C68,Data!A:I,8,FALSE),"")=0, "", _xlfn.IFNA(HYPERLINK(VLOOKUP(C68,Data!A:I,8,FALSE),"Additional Information"),""))</f>
        <v/>
      </c>
      <c r="M68" s="34">
        <f t="shared" si="2"/>
        <v>1</v>
      </c>
      <c r="N68" s="42" t="s">
        <v>63</v>
      </c>
      <c r="O68" s="42" t="s">
        <v>64</v>
      </c>
      <c r="P68" s="42" t="s">
        <v>63</v>
      </c>
      <c r="Q68" s="42" t="s">
        <v>63</v>
      </c>
      <c r="R68" s="42" t="s">
        <v>63</v>
      </c>
      <c r="S68" s="42" t="s">
        <v>63</v>
      </c>
      <c r="T68" s="42" t="s">
        <v>63</v>
      </c>
      <c r="U68" s="42" t="s">
        <v>63</v>
      </c>
      <c r="V68" s="42" t="s">
        <v>63</v>
      </c>
      <c r="W68" s="42" t="s">
        <v>63</v>
      </c>
      <c r="X68" s="42" t="s">
        <v>63</v>
      </c>
      <c r="Y68" s="42" t="s">
        <v>63</v>
      </c>
      <c r="Z68" s="42" t="s">
        <v>63</v>
      </c>
      <c r="AA68" s="43" t="s">
        <v>63</v>
      </c>
      <c r="AB68" s="42" t="s">
        <v>63</v>
      </c>
      <c r="AC68" s="42"/>
      <c r="AD68" s="42" t="s">
        <v>63</v>
      </c>
      <c r="AE68" s="42" t="s">
        <v>63</v>
      </c>
      <c r="AF68" s="42" t="s">
        <v>63</v>
      </c>
      <c r="AG68" s="42" t="s">
        <v>63</v>
      </c>
      <c r="AH68" s="42" t="s">
        <v>63</v>
      </c>
      <c r="AI68" s="42"/>
      <c r="AJ68" s="42" t="s">
        <v>63</v>
      </c>
      <c r="AK68" s="42"/>
      <c r="AL68" s="42" t="s">
        <v>63</v>
      </c>
      <c r="AM68" s="42"/>
      <c r="AN68" s="42" t="s">
        <v>63</v>
      </c>
      <c r="AO68" s="42" t="s">
        <v>63</v>
      </c>
      <c r="AP68" s="42" t="s">
        <v>63</v>
      </c>
      <c r="AQ68" s="42" t="s">
        <v>63</v>
      </c>
      <c r="AR68" s="42"/>
      <c r="AS68" s="42" t="s">
        <v>63</v>
      </c>
      <c r="AT68" s="42" t="s">
        <v>63</v>
      </c>
      <c r="AU68" s="42"/>
      <c r="AV68" s="42"/>
      <c r="AW68" s="42" t="s">
        <v>63</v>
      </c>
      <c r="AX68" s="42" t="s">
        <v>63</v>
      </c>
      <c r="AY68" s="42" t="s">
        <v>63</v>
      </c>
      <c r="AZ68" s="42" t="s">
        <v>63</v>
      </c>
      <c r="BA68" s="42"/>
      <c r="BB68" s="42" t="s">
        <v>63</v>
      </c>
      <c r="BC68" s="42" t="s">
        <v>63</v>
      </c>
      <c r="BD68" s="42" t="s">
        <v>63</v>
      </c>
      <c r="BE68" s="42" t="s">
        <v>63</v>
      </c>
      <c r="BF68" s="42" t="s">
        <v>63</v>
      </c>
      <c r="BG68" s="42" t="s">
        <v>63</v>
      </c>
      <c r="BH68" s="42" t="s">
        <v>63</v>
      </c>
      <c r="BI68" s="42" t="s">
        <v>63</v>
      </c>
      <c r="BJ68" s="42" t="s">
        <v>63</v>
      </c>
      <c r="BK68" s="42" t="s">
        <v>63</v>
      </c>
      <c r="BL68" s="42" t="s">
        <v>63</v>
      </c>
    </row>
    <row r="69" spans="1:64" s="36" customFormat="1" ht="15.75">
      <c r="A69" s="33" t="s">
        <v>1177</v>
      </c>
      <c r="B69" s="34" t="s">
        <v>197</v>
      </c>
      <c r="C69" s="34" t="s">
        <v>197</v>
      </c>
      <c r="D69" s="33" t="s">
        <v>198</v>
      </c>
      <c r="E69" s="34">
        <f>IF(_xlfn.IFNA(VLOOKUP(B69,Data!B:G,3,FALSE),"")=0, "", _xlfn.IFNA(VLOOKUP(B69,Data!B:G,3,FALSE),""))</f>
        <v>3</v>
      </c>
      <c r="F69" s="33" t="s">
        <v>1175</v>
      </c>
      <c r="G69" s="33"/>
      <c r="H69" s="33" t="str">
        <f>IF(_xlfn.IFNA(VLOOKUP(C69,Data!A:G,5,FALSE),"")=0, "Check course registration information", _xlfn.IFNA(VLOOKUP(C69,Data!A:G,5,FALSE),""))</f>
        <v>Check course registration information</v>
      </c>
      <c r="I69" s="33"/>
      <c r="J69" s="33" t="str">
        <f>IF(_xlfn.IFNA(VLOOKUP(C69,Data!A:G,6,FALSE),"")=0, "Check course registration information", _xlfn.IFNA(VLOOKUP(C69,Data!A:G,6,FALSE),""))</f>
        <v>Or 3.00. Experimental and theoretical consideration of chemical reaction rates and mechanisms</v>
      </c>
      <c r="K69" s="33" t="str">
        <f>IF(_xlfn.IFNA(VLOOKUP(C69,Data!A:H,7,FALSE),"")=0, "", _xlfn.IFNA(HYPERLINK(VLOOKUP(C69,Data!A:H,7,FALSE),"Catalog Link"),""))</f>
        <v>Catalog Link</v>
      </c>
      <c r="L69" s="33" t="str">
        <f>IF(_xlfn.IFNA(VLOOKUP(C69,Data!A:I,8,FALSE),"")=0, "", _xlfn.IFNA(HYPERLINK(VLOOKUP(C69,Data!A:I,8,FALSE),"Additional Information"),""))</f>
        <v/>
      </c>
      <c r="M69" s="34">
        <f t="shared" si="2"/>
        <v>0</v>
      </c>
      <c r="N69" s="42" t="s">
        <v>63</v>
      </c>
      <c r="O69" s="42" t="s">
        <v>63</v>
      </c>
      <c r="P69" s="42" t="s">
        <v>63</v>
      </c>
      <c r="Q69" s="42" t="s">
        <v>63</v>
      </c>
      <c r="R69" s="42" t="s">
        <v>63</v>
      </c>
      <c r="S69" s="42" t="s">
        <v>63</v>
      </c>
      <c r="T69" s="42" t="s">
        <v>63</v>
      </c>
      <c r="U69" s="42" t="s">
        <v>63</v>
      </c>
      <c r="V69" s="42" t="s">
        <v>63</v>
      </c>
      <c r="W69" s="42" t="s">
        <v>63</v>
      </c>
      <c r="X69" s="42" t="s">
        <v>63</v>
      </c>
      <c r="Y69" s="42" t="s">
        <v>63</v>
      </c>
      <c r="Z69" s="42" t="s">
        <v>63</v>
      </c>
      <c r="AA69" s="43" t="s">
        <v>63</v>
      </c>
      <c r="AB69" s="42" t="s">
        <v>63</v>
      </c>
      <c r="AC69" s="42"/>
      <c r="AD69" s="42" t="s">
        <v>63</v>
      </c>
      <c r="AE69" s="42" t="s">
        <v>63</v>
      </c>
      <c r="AF69" s="42" t="s">
        <v>63</v>
      </c>
      <c r="AG69" s="42" t="s">
        <v>63</v>
      </c>
      <c r="AH69" s="42" t="s">
        <v>63</v>
      </c>
      <c r="AI69" s="42"/>
      <c r="AJ69" s="42" t="s">
        <v>63</v>
      </c>
      <c r="AK69" s="42"/>
      <c r="AL69" s="42" t="s">
        <v>63</v>
      </c>
      <c r="AM69" s="42"/>
      <c r="AN69" s="42" t="s">
        <v>63</v>
      </c>
      <c r="AO69" s="42" t="s">
        <v>63</v>
      </c>
      <c r="AP69" s="42" t="s">
        <v>63</v>
      </c>
      <c r="AQ69" s="42" t="s">
        <v>63</v>
      </c>
      <c r="AR69" s="42"/>
      <c r="AS69" s="42" t="s">
        <v>63</v>
      </c>
      <c r="AT69" s="42" t="s">
        <v>63</v>
      </c>
      <c r="AU69" s="42"/>
      <c r="AV69" s="42"/>
      <c r="AW69" s="42" t="s">
        <v>63</v>
      </c>
      <c r="AX69" s="42" t="s">
        <v>63</v>
      </c>
      <c r="AY69" s="42" t="s">
        <v>63</v>
      </c>
      <c r="AZ69" s="42" t="s">
        <v>63</v>
      </c>
      <c r="BA69" s="42"/>
      <c r="BB69" s="42" t="s">
        <v>63</v>
      </c>
      <c r="BC69" s="42" t="s">
        <v>63</v>
      </c>
      <c r="BD69" s="42" t="s">
        <v>63</v>
      </c>
      <c r="BE69" s="42" t="s">
        <v>63</v>
      </c>
      <c r="BF69" s="42" t="s">
        <v>63</v>
      </c>
      <c r="BG69" s="42" t="s">
        <v>63</v>
      </c>
      <c r="BH69" s="42" t="s">
        <v>63</v>
      </c>
      <c r="BI69" s="42" t="s">
        <v>63</v>
      </c>
      <c r="BJ69" s="42" t="s">
        <v>63</v>
      </c>
      <c r="BK69" s="42" t="s">
        <v>63</v>
      </c>
      <c r="BL69" s="42" t="s">
        <v>63</v>
      </c>
    </row>
    <row r="70" spans="1:64" s="36" customFormat="1" ht="15.75">
      <c r="A70" s="33" t="s">
        <v>1177</v>
      </c>
      <c r="B70" s="34" t="s">
        <v>199</v>
      </c>
      <c r="C70" s="34" t="s">
        <v>199</v>
      </c>
      <c r="D70" s="33" t="s">
        <v>200</v>
      </c>
      <c r="E70" s="34">
        <f>IF(_xlfn.IFNA(VLOOKUP(B70,Data!B:G,3,FALSE),"")=0, "", _xlfn.IFNA(VLOOKUP(B70,Data!B:G,3,FALSE),""))</f>
        <v>3</v>
      </c>
      <c r="F70" s="33" t="s">
        <v>1175</v>
      </c>
      <c r="G70" s="33"/>
      <c r="H70" s="33" t="str">
        <f>IF(_xlfn.IFNA(VLOOKUP(C70,Data!A:G,5,FALSE),"")=0, "Check course registration information", _xlfn.IFNA(VLOOKUP(C70,Data!A:G,5,FALSE),""))</f>
        <v>CHM 67100</v>
      </c>
      <c r="I70" s="33"/>
      <c r="J70" s="33" t="str">
        <f>IF(_xlfn.IFNA(VLOOKUP(C70,Data!A:G,6,FALSE),"")=0, "Check course registration information", _xlfn.IFNA(VLOOKUP(C70,Data!A:G,6,FALSE),""))</f>
        <v>Theoretical and experimental fundamentals of the interactions between molecules and electromagnetic waves. Topics include electronic, vibrational, and rotational spectroscopies, and laser-based methods. Prerequisites: CHM 67100</v>
      </c>
      <c r="K70" s="33" t="str">
        <f>IF(_xlfn.IFNA(VLOOKUP(C70,Data!A:H,7,FALSE),"")=0, "", _xlfn.IFNA(HYPERLINK(VLOOKUP(C70,Data!A:H,7,FALSE),"Catalog Link"),""))</f>
        <v>Catalog Link</v>
      </c>
      <c r="L70" s="33" t="str">
        <f>IF(_xlfn.IFNA(VLOOKUP(C70,Data!A:I,8,FALSE),"")=0, "", _xlfn.IFNA(HYPERLINK(VLOOKUP(C70,Data!A:I,8,FALSE),"Additional Information"),""))</f>
        <v/>
      </c>
      <c r="M70" s="34">
        <f t="shared" si="2"/>
        <v>3</v>
      </c>
      <c r="N70" s="42" t="s">
        <v>63</v>
      </c>
      <c r="O70" s="42" t="s">
        <v>63</v>
      </c>
      <c r="P70" s="42" t="s">
        <v>63</v>
      </c>
      <c r="Q70" s="42" t="s">
        <v>63</v>
      </c>
      <c r="R70" s="42" t="s">
        <v>63</v>
      </c>
      <c r="S70" s="42" t="s">
        <v>64</v>
      </c>
      <c r="T70" s="42" t="s">
        <v>63</v>
      </c>
      <c r="U70" s="42" t="s">
        <v>63</v>
      </c>
      <c r="V70" s="42" t="s">
        <v>63</v>
      </c>
      <c r="W70" s="42" t="s">
        <v>63</v>
      </c>
      <c r="X70" s="42" t="s">
        <v>63</v>
      </c>
      <c r="Y70" s="42" t="s">
        <v>63</v>
      </c>
      <c r="Z70" s="42" t="s">
        <v>63</v>
      </c>
      <c r="AA70" s="43" t="s">
        <v>63</v>
      </c>
      <c r="AB70" s="42" t="s">
        <v>63</v>
      </c>
      <c r="AC70" s="42"/>
      <c r="AD70" s="42" t="s">
        <v>63</v>
      </c>
      <c r="AE70" s="42" t="s">
        <v>63</v>
      </c>
      <c r="AF70" s="42" t="s">
        <v>63</v>
      </c>
      <c r="AG70" s="42" t="s">
        <v>63</v>
      </c>
      <c r="AH70" s="42" t="s">
        <v>63</v>
      </c>
      <c r="AI70" s="42"/>
      <c r="AJ70" s="42" t="s">
        <v>63</v>
      </c>
      <c r="AK70" s="42"/>
      <c r="AL70" s="42" t="s">
        <v>63</v>
      </c>
      <c r="AM70" s="42"/>
      <c r="AN70" s="42" t="s">
        <v>64</v>
      </c>
      <c r="AO70" s="42" t="s">
        <v>63</v>
      </c>
      <c r="AP70" s="42" t="s">
        <v>63</v>
      </c>
      <c r="AQ70" s="42" t="s">
        <v>63</v>
      </c>
      <c r="AR70" s="42"/>
      <c r="AS70" s="42" t="s">
        <v>63</v>
      </c>
      <c r="AT70" s="42" t="s">
        <v>63</v>
      </c>
      <c r="AU70" s="42"/>
      <c r="AV70" s="42"/>
      <c r="AW70" s="42" t="s">
        <v>63</v>
      </c>
      <c r="AX70" s="42" t="s">
        <v>63</v>
      </c>
      <c r="AY70" s="42" t="s">
        <v>63</v>
      </c>
      <c r="AZ70" s="42" t="s">
        <v>63</v>
      </c>
      <c r="BA70" s="42"/>
      <c r="BB70" s="42" t="s">
        <v>63</v>
      </c>
      <c r="BC70" s="42" t="s">
        <v>64</v>
      </c>
      <c r="BD70" s="42" t="s">
        <v>63</v>
      </c>
      <c r="BE70" s="42" t="s">
        <v>63</v>
      </c>
      <c r="BF70" s="42" t="s">
        <v>63</v>
      </c>
      <c r="BG70" s="42" t="s">
        <v>63</v>
      </c>
      <c r="BH70" s="42" t="s">
        <v>63</v>
      </c>
      <c r="BI70" s="42" t="s">
        <v>63</v>
      </c>
      <c r="BJ70" s="42" t="s">
        <v>63</v>
      </c>
      <c r="BK70" s="42" t="s">
        <v>63</v>
      </c>
      <c r="BL70" s="42" t="s">
        <v>63</v>
      </c>
    </row>
    <row r="71" spans="1:64" s="36" customFormat="1" ht="15.75">
      <c r="A71" s="33" t="s">
        <v>1177</v>
      </c>
      <c r="B71" s="34" t="s">
        <v>201</v>
      </c>
      <c r="C71" s="34" t="s">
        <v>201</v>
      </c>
      <c r="D71" s="33" t="s">
        <v>202</v>
      </c>
      <c r="E71" s="34">
        <f>IF(_xlfn.IFNA(VLOOKUP(B71,Data!B:G,3,FALSE),"")=0, "", _xlfn.IFNA(VLOOKUP(B71,Data!B:G,3,FALSE),""))</f>
        <v>3</v>
      </c>
      <c r="F71" s="33" t="s">
        <v>1175</v>
      </c>
      <c r="G71" s="33"/>
      <c r="H71" s="33" t="str">
        <f>IF(_xlfn.IFNA(VLOOKUP(C71,Data!A:G,5,FALSE),"")=0, "Check course registration information", _xlfn.IFNA(VLOOKUP(C71,Data!A:G,5,FALSE),""))</f>
        <v>Check course registration information</v>
      </c>
      <c r="I71" s="33"/>
      <c r="J71" s="33" t="str">
        <f>IF(_xlfn.IFNA(VLOOKUP(C71,Data!A:G,6,FALSE),"")=0, "Check course registration information", _xlfn.IFNA(VLOOKUP(C71,Data!A:G,6,FALSE),""))</f>
        <v>Advanced thermodynamics of chemical and phase equilibria, of electrolytic and non-electrolytic solutions, and of imperfect gases. Prerequisite: CHM 57800</v>
      </c>
      <c r="K71" s="33" t="str">
        <f>IF(_xlfn.IFNA(VLOOKUP(C71,Data!A:H,7,FALSE),"")=0, "", _xlfn.IFNA(HYPERLINK(VLOOKUP(C71,Data!A:H,7,FALSE),"Catalog Link"),""))</f>
        <v>Catalog Link</v>
      </c>
      <c r="L71" s="33" t="str">
        <f>IF(_xlfn.IFNA(VLOOKUP(C71,Data!A:I,8,FALSE),"")=0, "", _xlfn.IFNA(HYPERLINK(VLOOKUP(C71,Data!A:I,8,FALSE),"Additional Information"),""))</f>
        <v/>
      </c>
      <c r="M71" s="34">
        <f t="shared" si="2"/>
        <v>1</v>
      </c>
      <c r="N71" s="42" t="s">
        <v>63</v>
      </c>
      <c r="O71" s="42" t="s">
        <v>63</v>
      </c>
      <c r="P71" s="42" t="s">
        <v>63</v>
      </c>
      <c r="Q71" s="42" t="s">
        <v>63</v>
      </c>
      <c r="R71" s="42" t="s">
        <v>63</v>
      </c>
      <c r="S71" s="42" t="s">
        <v>63</v>
      </c>
      <c r="T71" s="42" t="s">
        <v>63</v>
      </c>
      <c r="U71" s="42" t="s">
        <v>63</v>
      </c>
      <c r="V71" s="42" t="s">
        <v>63</v>
      </c>
      <c r="W71" s="42" t="s">
        <v>63</v>
      </c>
      <c r="X71" s="42" t="s">
        <v>63</v>
      </c>
      <c r="Y71" s="42" t="s">
        <v>63</v>
      </c>
      <c r="Z71" s="42" t="s">
        <v>63</v>
      </c>
      <c r="AA71" s="43" t="s">
        <v>63</v>
      </c>
      <c r="AB71" s="42" t="s">
        <v>63</v>
      </c>
      <c r="AC71" s="42"/>
      <c r="AD71" s="42" t="s">
        <v>63</v>
      </c>
      <c r="AE71" s="42" t="s">
        <v>63</v>
      </c>
      <c r="AF71" s="42" t="s">
        <v>63</v>
      </c>
      <c r="AG71" s="42" t="s">
        <v>63</v>
      </c>
      <c r="AH71" s="42" t="s">
        <v>63</v>
      </c>
      <c r="AI71" s="42"/>
      <c r="AJ71" s="42" t="s">
        <v>63</v>
      </c>
      <c r="AK71" s="42"/>
      <c r="AL71" s="42" t="s">
        <v>63</v>
      </c>
      <c r="AM71" s="42"/>
      <c r="AN71" s="42" t="s">
        <v>63</v>
      </c>
      <c r="AO71" s="42" t="s">
        <v>63</v>
      </c>
      <c r="AP71" s="42" t="s">
        <v>63</v>
      </c>
      <c r="AQ71" s="42" t="s">
        <v>63</v>
      </c>
      <c r="AR71" s="42"/>
      <c r="AS71" s="42" t="s">
        <v>64</v>
      </c>
      <c r="AT71" s="42" t="s">
        <v>63</v>
      </c>
      <c r="AU71" s="42"/>
      <c r="AV71" s="42"/>
      <c r="AW71" s="42" t="s">
        <v>63</v>
      </c>
      <c r="AX71" s="42" t="s">
        <v>63</v>
      </c>
      <c r="AY71" s="42" t="s">
        <v>63</v>
      </c>
      <c r="AZ71" s="42" t="s">
        <v>63</v>
      </c>
      <c r="BA71" s="42"/>
      <c r="BB71" s="42" t="s">
        <v>63</v>
      </c>
      <c r="BC71" s="42" t="s">
        <v>63</v>
      </c>
      <c r="BD71" s="42" t="s">
        <v>63</v>
      </c>
      <c r="BE71" s="42" t="s">
        <v>63</v>
      </c>
      <c r="BF71" s="42" t="s">
        <v>63</v>
      </c>
      <c r="BG71" s="42" t="s">
        <v>63</v>
      </c>
      <c r="BH71" s="42" t="s">
        <v>63</v>
      </c>
      <c r="BI71" s="42"/>
      <c r="BJ71" s="42" t="s">
        <v>63</v>
      </c>
      <c r="BK71" s="42" t="s">
        <v>63</v>
      </c>
      <c r="BL71" s="42" t="s">
        <v>63</v>
      </c>
    </row>
    <row r="72" spans="1:64" s="36" customFormat="1" ht="15.75">
      <c r="A72" s="33" t="s">
        <v>1177</v>
      </c>
      <c r="B72" s="34" t="s">
        <v>203</v>
      </c>
      <c r="C72" s="34" t="s">
        <v>203</v>
      </c>
      <c r="D72" s="33" t="s">
        <v>204</v>
      </c>
      <c r="E72" s="34">
        <f>IF(_xlfn.IFNA(VLOOKUP(B72,Data!B:G,3,FALSE),"")=0, "", _xlfn.IFNA(VLOOKUP(B72,Data!B:G,3,FALSE),""))</f>
        <v>3</v>
      </c>
      <c r="F72" s="33" t="s">
        <v>1175</v>
      </c>
      <c r="G72" s="33"/>
      <c r="H72" s="33" t="str">
        <f>IF(_xlfn.IFNA(VLOOKUP(C72,Data!A:G,5,FALSE),"")=0, "Check course registration information", _xlfn.IFNA(VLOOKUP(C72,Data!A:G,5,FALSE),""))</f>
        <v>Check course registration information</v>
      </c>
      <c r="I72" s="33"/>
      <c r="J72" s="33" t="str">
        <f>IF(_xlfn.IFNA(VLOOKUP(C72,Data!A:G,6,FALSE),"")=0, "Check course registration information", _xlfn.IFNA(VLOOKUP(C72,Data!A:G,6,FALSE),""))</f>
        <v>Application of statistical mechanics to the description of imperfect gases, liquids, and solutions; to order-disorder phenomena in solids and surfaces; and to absolute reaction rate theory. Prerequisite: CHM 67100, 67900</v>
      </c>
      <c r="K72" s="33" t="str">
        <f>IF(_xlfn.IFNA(VLOOKUP(C72,Data!A:H,7,FALSE),"")=0, "", _xlfn.IFNA(HYPERLINK(VLOOKUP(C72,Data!A:H,7,FALSE),"Catalog Link"),""))</f>
        <v>Catalog Link</v>
      </c>
      <c r="L72" s="33" t="str">
        <f>IF(_xlfn.IFNA(VLOOKUP(C72,Data!A:I,8,FALSE),"")=0, "", _xlfn.IFNA(HYPERLINK(VLOOKUP(C72,Data!A:I,8,FALSE),"Additional Information"),""))</f>
        <v/>
      </c>
      <c r="M72" s="34">
        <f t="shared" si="2"/>
        <v>0</v>
      </c>
      <c r="N72" s="42" t="s">
        <v>63</v>
      </c>
      <c r="O72" s="42" t="s">
        <v>63</v>
      </c>
      <c r="P72" s="42" t="s">
        <v>63</v>
      </c>
      <c r="Q72" s="42" t="s">
        <v>63</v>
      </c>
      <c r="R72" s="42" t="s">
        <v>63</v>
      </c>
      <c r="S72" s="42" t="s">
        <v>63</v>
      </c>
      <c r="T72" s="42" t="s">
        <v>63</v>
      </c>
      <c r="U72" s="42" t="s">
        <v>63</v>
      </c>
      <c r="V72" s="42" t="s">
        <v>63</v>
      </c>
      <c r="W72" s="42" t="s">
        <v>63</v>
      </c>
      <c r="X72" s="42" t="s">
        <v>63</v>
      </c>
      <c r="Y72" s="42" t="s">
        <v>63</v>
      </c>
      <c r="Z72" s="42" t="s">
        <v>63</v>
      </c>
      <c r="AA72" s="43" t="s">
        <v>63</v>
      </c>
      <c r="AB72" s="42" t="s">
        <v>63</v>
      </c>
      <c r="AC72" s="42"/>
      <c r="AD72" s="42" t="s">
        <v>63</v>
      </c>
      <c r="AE72" s="42" t="s">
        <v>63</v>
      </c>
      <c r="AF72" s="42" t="s">
        <v>63</v>
      </c>
      <c r="AG72" s="42" t="s">
        <v>63</v>
      </c>
      <c r="AH72" s="42" t="s">
        <v>63</v>
      </c>
      <c r="AI72" s="42"/>
      <c r="AJ72" s="42" t="s">
        <v>63</v>
      </c>
      <c r="AK72" s="42"/>
      <c r="AL72" s="42" t="s">
        <v>63</v>
      </c>
      <c r="AM72" s="42"/>
      <c r="AN72" s="42" t="s">
        <v>63</v>
      </c>
      <c r="AO72" s="42" t="s">
        <v>63</v>
      </c>
      <c r="AP72" s="42" t="s">
        <v>63</v>
      </c>
      <c r="AQ72" s="42" t="s">
        <v>63</v>
      </c>
      <c r="AR72" s="42"/>
      <c r="AS72" s="42" t="s">
        <v>63</v>
      </c>
      <c r="AT72" s="42" t="s">
        <v>63</v>
      </c>
      <c r="AU72" s="42"/>
      <c r="AV72" s="42"/>
      <c r="AW72" s="42" t="s">
        <v>63</v>
      </c>
      <c r="AX72" s="42" t="s">
        <v>63</v>
      </c>
      <c r="AY72" s="42" t="s">
        <v>63</v>
      </c>
      <c r="AZ72" s="42" t="s">
        <v>63</v>
      </c>
      <c r="BA72" s="42"/>
      <c r="BB72" s="42" t="s">
        <v>63</v>
      </c>
      <c r="BC72" s="42" t="s">
        <v>63</v>
      </c>
      <c r="BD72" s="42" t="s">
        <v>63</v>
      </c>
      <c r="BE72" s="42" t="s">
        <v>63</v>
      </c>
      <c r="BF72" s="42"/>
      <c r="BG72" s="42" t="s">
        <v>63</v>
      </c>
      <c r="BH72" s="42" t="s">
        <v>63</v>
      </c>
      <c r="BI72" s="42" t="s">
        <v>63</v>
      </c>
      <c r="BJ72" s="42" t="s">
        <v>63</v>
      </c>
      <c r="BK72" s="42" t="s">
        <v>63</v>
      </c>
      <c r="BL72" s="42" t="s">
        <v>63</v>
      </c>
    </row>
    <row r="73" spans="1:64" s="36" customFormat="1" ht="15.75">
      <c r="A73" s="33" t="s">
        <v>1177</v>
      </c>
      <c r="B73" s="34" t="s">
        <v>205</v>
      </c>
      <c r="C73" s="34" t="s">
        <v>205</v>
      </c>
      <c r="D73" s="33" t="s">
        <v>1441</v>
      </c>
      <c r="E73" s="34" t="str">
        <f>IF(_xlfn.IFNA(VLOOKUP(B73,Data!B:G,3,FALSE),"")=0, "", _xlfn.IFNA(VLOOKUP(B73,Data!B:G,3,FALSE),""))</f>
        <v/>
      </c>
      <c r="F73" s="33" t="s">
        <v>1175</v>
      </c>
      <c r="G73" s="33"/>
      <c r="H73" s="33" t="str">
        <f>IF(_xlfn.IFNA(VLOOKUP(C73,Data!A:G,5,FALSE),"")=0, "Check course registration information", _xlfn.IFNA(VLOOKUP(C73,Data!A:G,5,FALSE),""))</f>
        <v>Check course registration information</v>
      </c>
      <c r="I73" s="33"/>
      <c r="J73" s="33" t="str">
        <f>IF(_xlfn.IFNA(VLOOKUP(C73,Data!A:G,6,FALSE),"")=0, "Check course registration information", _xlfn.IFNA(VLOOKUP(C73,Data!A:G,6,FALSE),""))</f>
        <v>Check course registration information</v>
      </c>
      <c r="K73" s="33" t="str">
        <f>IF(_xlfn.IFNA(VLOOKUP(C73,Data!A:H,7,FALSE),"")=0, "", _xlfn.IFNA(HYPERLINK(VLOOKUP(C73,Data!A:H,7,FALSE),"Catalog Link"),""))</f>
        <v>Catalog Link</v>
      </c>
      <c r="L73" s="33" t="str">
        <f>IF(_xlfn.IFNA(VLOOKUP(C73,Data!A:I,8,FALSE),"")=0, "", _xlfn.IFNA(HYPERLINK(VLOOKUP(C73,Data!A:I,8,FALSE),"Additional Information"),""))</f>
        <v/>
      </c>
      <c r="M73" s="34">
        <f t="shared" si="2"/>
        <v>3</v>
      </c>
      <c r="N73" s="42" t="s">
        <v>63</v>
      </c>
      <c r="O73" s="42" t="s">
        <v>63</v>
      </c>
      <c r="P73" s="42" t="s">
        <v>63</v>
      </c>
      <c r="Q73" s="42" t="s">
        <v>63</v>
      </c>
      <c r="R73" s="42" t="s">
        <v>63</v>
      </c>
      <c r="S73" s="42" t="s">
        <v>63</v>
      </c>
      <c r="T73" s="42" t="s">
        <v>63</v>
      </c>
      <c r="U73" s="42" t="s">
        <v>63</v>
      </c>
      <c r="V73" s="42" t="s">
        <v>63</v>
      </c>
      <c r="W73" s="42" t="s">
        <v>64</v>
      </c>
      <c r="X73" s="42" t="s">
        <v>63</v>
      </c>
      <c r="Y73" s="42" t="s">
        <v>63</v>
      </c>
      <c r="Z73" s="42" t="s">
        <v>63</v>
      </c>
      <c r="AA73" s="43" t="s">
        <v>63</v>
      </c>
      <c r="AB73" s="42" t="s">
        <v>63</v>
      </c>
      <c r="AC73" s="42"/>
      <c r="AD73" s="42" t="s">
        <v>63</v>
      </c>
      <c r="AE73" s="42" t="s">
        <v>63</v>
      </c>
      <c r="AF73" s="42" t="s">
        <v>63</v>
      </c>
      <c r="AG73" s="42" t="s">
        <v>63</v>
      </c>
      <c r="AH73" s="42" t="s">
        <v>63</v>
      </c>
      <c r="AI73" s="42"/>
      <c r="AJ73" s="42" t="s">
        <v>63</v>
      </c>
      <c r="AK73" s="42"/>
      <c r="AL73" s="42" t="s">
        <v>63</v>
      </c>
      <c r="AM73" s="42"/>
      <c r="AN73" s="42" t="s">
        <v>63</v>
      </c>
      <c r="AO73" s="42" t="s">
        <v>63</v>
      </c>
      <c r="AP73" s="42" t="s">
        <v>63</v>
      </c>
      <c r="AQ73" s="42" t="s">
        <v>63</v>
      </c>
      <c r="AR73" s="42"/>
      <c r="AS73" s="42" t="s">
        <v>64</v>
      </c>
      <c r="AT73" s="42" t="s">
        <v>63</v>
      </c>
      <c r="AU73" s="42"/>
      <c r="AV73" s="42"/>
      <c r="AW73" s="42" t="s">
        <v>63</v>
      </c>
      <c r="AX73" s="42" t="s">
        <v>63</v>
      </c>
      <c r="AY73" s="42" t="s">
        <v>63</v>
      </c>
      <c r="AZ73" s="42" t="s">
        <v>63</v>
      </c>
      <c r="BA73" s="42"/>
      <c r="BB73" s="42" t="s">
        <v>63</v>
      </c>
      <c r="BC73" s="42" t="s">
        <v>63</v>
      </c>
      <c r="BD73" s="42" t="s">
        <v>63</v>
      </c>
      <c r="BE73" s="42" t="s">
        <v>63</v>
      </c>
      <c r="BF73" s="42" t="s">
        <v>64</v>
      </c>
      <c r="BG73" s="42" t="s">
        <v>63</v>
      </c>
      <c r="BH73" s="42" t="s">
        <v>63</v>
      </c>
      <c r="BI73" s="42" t="s">
        <v>63</v>
      </c>
      <c r="BJ73" s="42" t="s">
        <v>63</v>
      </c>
      <c r="BK73" s="42" t="s">
        <v>63</v>
      </c>
      <c r="BL73" s="42" t="s">
        <v>63</v>
      </c>
    </row>
    <row r="74" spans="1:64" s="36" customFormat="1" ht="15.75">
      <c r="A74" s="33" t="s">
        <v>1177</v>
      </c>
      <c r="B74" s="34" t="s">
        <v>205</v>
      </c>
      <c r="C74" s="34" t="s">
        <v>1186</v>
      </c>
      <c r="D74" s="33" t="s">
        <v>1442</v>
      </c>
      <c r="E74" s="34" t="str">
        <f>IF(_xlfn.IFNA(VLOOKUP(B74,Data!B:G,3,FALSE),"")=0, "", _xlfn.IFNA(VLOOKUP(B74,Data!B:G,3,FALSE),""))</f>
        <v/>
      </c>
      <c r="F74" s="33" t="s">
        <v>1175</v>
      </c>
      <c r="G74" s="33"/>
      <c r="H74" s="33" t="str">
        <f>IF(_xlfn.IFNA(VLOOKUP(C74,Data!A:G,5,FALSE),"")=0, "Check course registration information", _xlfn.IFNA(VLOOKUP(C74,Data!A:G,5,FALSE),""))</f>
        <v>Check course registration information</v>
      </c>
      <c r="I74" s="33"/>
      <c r="J74" s="33" t="str">
        <f>IF(_xlfn.IFNA(VLOOKUP(C74,Data!A:G,6,FALSE),"")=0, "Check course registration information", _xlfn.IFNA(VLOOKUP(C74,Data!A:G,6,FALSE),""))</f>
        <v>Check course registration information</v>
      </c>
      <c r="K74" s="33" t="str">
        <f>IF(_xlfn.IFNA(VLOOKUP(C74,Data!A:H,7,FALSE),"")=0, "", _xlfn.IFNA(HYPERLINK(VLOOKUP(C74,Data!A:H,7,FALSE),"Catalog Link"),""))</f>
        <v>Catalog Link</v>
      </c>
      <c r="L74" s="33" t="str">
        <f>IF(_xlfn.IFNA(VLOOKUP(C74,Data!A:I,8,FALSE),"")=0, "", _xlfn.IFNA(HYPERLINK(VLOOKUP(C74,Data!A:I,8,FALSE),"Additional Information"),""))</f>
        <v/>
      </c>
      <c r="M74" s="34">
        <f t="shared" si="2"/>
        <v>3</v>
      </c>
      <c r="N74" s="42" t="s">
        <v>63</v>
      </c>
      <c r="O74" s="42" t="s">
        <v>63</v>
      </c>
      <c r="P74" s="42" t="s">
        <v>63</v>
      </c>
      <c r="Q74" s="42" t="s">
        <v>63</v>
      </c>
      <c r="R74" s="42" t="s">
        <v>63</v>
      </c>
      <c r="S74" s="42" t="s">
        <v>63</v>
      </c>
      <c r="T74" s="42" t="s">
        <v>63</v>
      </c>
      <c r="U74" s="42" t="s">
        <v>63</v>
      </c>
      <c r="V74" s="42" t="s">
        <v>63</v>
      </c>
      <c r="W74" s="42" t="s">
        <v>64</v>
      </c>
      <c r="X74" s="42" t="s">
        <v>63</v>
      </c>
      <c r="Y74" s="42" t="s">
        <v>63</v>
      </c>
      <c r="Z74" s="42" t="s">
        <v>63</v>
      </c>
      <c r="AA74" s="43" t="s">
        <v>63</v>
      </c>
      <c r="AB74" s="42" t="s">
        <v>63</v>
      </c>
      <c r="AC74" s="42"/>
      <c r="AD74" s="42" t="s">
        <v>63</v>
      </c>
      <c r="AE74" s="42" t="s">
        <v>63</v>
      </c>
      <c r="AF74" s="42" t="s">
        <v>63</v>
      </c>
      <c r="AG74" s="42" t="s">
        <v>63</v>
      </c>
      <c r="AH74" s="42" t="s">
        <v>63</v>
      </c>
      <c r="AI74" s="42"/>
      <c r="AJ74" s="42" t="s">
        <v>63</v>
      </c>
      <c r="AK74" s="42"/>
      <c r="AL74" s="42" t="s">
        <v>63</v>
      </c>
      <c r="AM74" s="42"/>
      <c r="AN74" s="42" t="s">
        <v>63</v>
      </c>
      <c r="AO74" s="42" t="s">
        <v>63</v>
      </c>
      <c r="AP74" s="42" t="s">
        <v>63</v>
      </c>
      <c r="AQ74" s="42" t="s">
        <v>63</v>
      </c>
      <c r="AR74" s="42"/>
      <c r="AS74" s="42" t="s">
        <v>64</v>
      </c>
      <c r="AT74" s="42" t="s">
        <v>63</v>
      </c>
      <c r="AU74" s="42"/>
      <c r="AV74" s="42"/>
      <c r="AW74" s="42" t="s">
        <v>63</v>
      </c>
      <c r="AX74" s="42" t="s">
        <v>63</v>
      </c>
      <c r="AY74" s="42" t="s">
        <v>63</v>
      </c>
      <c r="AZ74" s="42" t="s">
        <v>63</v>
      </c>
      <c r="BA74" s="42"/>
      <c r="BB74" s="42" t="s">
        <v>63</v>
      </c>
      <c r="BC74" s="42" t="s">
        <v>63</v>
      </c>
      <c r="BD74" s="42" t="s">
        <v>63</v>
      </c>
      <c r="BE74" s="42" t="s">
        <v>63</v>
      </c>
      <c r="BF74" s="42" t="s">
        <v>64</v>
      </c>
      <c r="BG74" s="42" t="s">
        <v>63</v>
      </c>
      <c r="BH74" s="42" t="s">
        <v>63</v>
      </c>
      <c r="BI74" s="42" t="s">
        <v>63</v>
      </c>
      <c r="BJ74" s="42" t="s">
        <v>63</v>
      </c>
      <c r="BK74" s="42" t="s">
        <v>63</v>
      </c>
      <c r="BL74" s="42" t="s">
        <v>63</v>
      </c>
    </row>
    <row r="75" spans="1:64" s="36" customFormat="1" ht="15.75">
      <c r="A75" s="33" t="s">
        <v>1177</v>
      </c>
      <c r="B75" s="34" t="s">
        <v>208</v>
      </c>
      <c r="C75" s="34" t="s">
        <v>208</v>
      </c>
      <c r="D75" s="33" t="s">
        <v>210</v>
      </c>
      <c r="E75" s="34">
        <f>IF(_xlfn.IFNA(VLOOKUP(B75,Data!B:G,3,FALSE),"")=0, "", _xlfn.IFNA(VLOOKUP(B75,Data!B:G,3,FALSE),""))</f>
        <v>3</v>
      </c>
      <c r="F75" s="33" t="s">
        <v>1175</v>
      </c>
      <c r="G75" s="33"/>
      <c r="H75" s="33" t="str">
        <f>IF(_xlfn.IFNA(VLOOKUP(C75,Data!A:G,5,FALSE),"")=0, "Check course registration information", _xlfn.IFNA(VLOOKUP(C75,Data!A:G,5,FALSE),""))</f>
        <v>ENGR 13000 or ENGR 13100 or ENGR 14100 or ENGR 16100 or ENGR 13300 or ENGR 19600) and ((ENGR 16100 and ENGR 16200) or PHYS 17200 or PHYS 15200) and (MA 16600 or MA 16200 or MATH 16600) and (MA 26100 [concurrent ok] or MA 17400 [concurrent ok] or MA 18200 [concurrent ok] or MA 27101 [concurrent ok]</v>
      </c>
      <c r="I75" s="33"/>
      <c r="J75" s="33" t="str">
        <f>IF(_xlfn.IFNA(VLOOKUP(C75,Data!A:G,6,FALSE),"")=0, "Check course registration information", _xlfn.IFNA(VLOOKUP(C75,Data!A:G,6,FALSE),""))</f>
        <v>This course covers fundamental concepts and applications for electrical and computer engineers as well as for engineers who need to gain a broad understanding of these disciplines. The course starts by the basic concepts of charge, current, and voltage as well as their expressions with regards to resistors and resistive circuits. Essential concepts, devices, theorems, and applications of direct-current (DC), 1st order, and alternating-current (AC) circuits are subsequently discussed. Besides electrical devices and circuits, basic electronic components including diodes and transistors as well as their primary applications are also discussed</v>
      </c>
      <c r="K75" s="33" t="str">
        <f>IF(_xlfn.IFNA(VLOOKUP(C75,Data!A:H,7,FALSE),"")=0, "", _xlfn.IFNA(HYPERLINK(VLOOKUP(C75,Data!A:H,7,FALSE),"Catalog Link"),""))</f>
        <v>Catalog Link</v>
      </c>
      <c r="L75" s="33" t="str">
        <f>IF(_xlfn.IFNA(VLOOKUP(C75,Data!A:I,8,FALSE),"")=0, "", _xlfn.IFNA(HYPERLINK(VLOOKUP(C75,Data!A:I,8,FALSE),"Additional Information"),""))</f>
        <v>Additional Information</v>
      </c>
      <c r="M75" s="34">
        <f t="shared" si="2"/>
        <v>2</v>
      </c>
      <c r="N75" s="42" t="s">
        <v>63</v>
      </c>
      <c r="O75" s="42" t="s">
        <v>63</v>
      </c>
      <c r="P75" s="42" t="s">
        <v>63</v>
      </c>
      <c r="Q75" s="42" t="s">
        <v>63</v>
      </c>
      <c r="R75" s="42" t="s">
        <v>63</v>
      </c>
      <c r="S75" s="42" t="s">
        <v>63</v>
      </c>
      <c r="T75" s="42" t="s">
        <v>63</v>
      </c>
      <c r="U75" s="42" t="s">
        <v>63</v>
      </c>
      <c r="V75" s="42" t="s">
        <v>63</v>
      </c>
      <c r="W75" s="42" t="s">
        <v>63</v>
      </c>
      <c r="X75" s="42" t="s">
        <v>63</v>
      </c>
      <c r="Y75" s="42" t="s">
        <v>64</v>
      </c>
      <c r="Z75" s="42" t="s">
        <v>63</v>
      </c>
      <c r="AA75" s="43" t="s">
        <v>63</v>
      </c>
      <c r="AB75" s="42" t="s">
        <v>63</v>
      </c>
      <c r="AC75" s="42"/>
      <c r="AD75" s="42" t="s">
        <v>63</v>
      </c>
      <c r="AE75" s="42" t="s">
        <v>63</v>
      </c>
      <c r="AF75" s="42" t="s">
        <v>63</v>
      </c>
      <c r="AG75" s="42" t="s">
        <v>63</v>
      </c>
      <c r="AH75" s="42" t="s">
        <v>63</v>
      </c>
      <c r="AI75" s="42"/>
      <c r="AJ75" s="42" t="s">
        <v>63</v>
      </c>
      <c r="AK75" s="42"/>
      <c r="AL75" s="42" t="s">
        <v>63</v>
      </c>
      <c r="AM75" s="42"/>
      <c r="AN75" s="42" t="s">
        <v>63</v>
      </c>
      <c r="AO75" s="42" t="s">
        <v>63</v>
      </c>
      <c r="AP75" s="42" t="s">
        <v>63</v>
      </c>
      <c r="AQ75" s="42" t="s">
        <v>63</v>
      </c>
      <c r="AR75" s="42"/>
      <c r="AS75" s="42" t="s">
        <v>63</v>
      </c>
      <c r="AT75" s="42" t="s">
        <v>63</v>
      </c>
      <c r="AU75" s="42"/>
      <c r="AV75" s="42"/>
      <c r="AW75" s="42" t="s">
        <v>63</v>
      </c>
      <c r="AX75" s="42" t="s">
        <v>63</v>
      </c>
      <c r="AY75" s="42" t="s">
        <v>63</v>
      </c>
      <c r="AZ75" s="42" t="s">
        <v>63</v>
      </c>
      <c r="BA75" s="42"/>
      <c r="BB75" s="42" t="s">
        <v>64</v>
      </c>
      <c r="BC75" s="42" t="s">
        <v>63</v>
      </c>
      <c r="BD75" s="42" t="s">
        <v>63</v>
      </c>
      <c r="BE75" s="42" t="s">
        <v>63</v>
      </c>
      <c r="BF75" s="42" t="s">
        <v>63</v>
      </c>
      <c r="BG75" s="42" t="s">
        <v>63</v>
      </c>
      <c r="BH75" s="42" t="s">
        <v>63</v>
      </c>
      <c r="BI75" s="42" t="s">
        <v>63</v>
      </c>
      <c r="BJ75" s="42" t="s">
        <v>63</v>
      </c>
      <c r="BK75" s="42" t="s">
        <v>63</v>
      </c>
      <c r="BL75" s="42" t="s">
        <v>63</v>
      </c>
    </row>
    <row r="76" spans="1:64">
      <c r="A76" s="33" t="s">
        <v>1177</v>
      </c>
      <c r="B76" s="34" t="s">
        <v>211</v>
      </c>
      <c r="C76" s="34" t="s">
        <v>211</v>
      </c>
      <c r="D76" s="33" t="s">
        <v>212</v>
      </c>
      <c r="E76" s="34">
        <f>IF(_xlfn.IFNA(VLOOKUP(B76,Data!B:G,3,FALSE),"")=0, "", _xlfn.IFNA(VLOOKUP(B76,Data!B:G,3,FALSE),""))</f>
        <v>3</v>
      </c>
      <c r="F76" s="33" t="s">
        <v>1175</v>
      </c>
      <c r="G76" s="33"/>
      <c r="H76" s="33" t="str">
        <f>IF(_xlfn.IFNA(VLOOKUP(C76,Data!A:G,5,FALSE),"")=0, "Check course registration information", _xlfn.IFNA(VLOOKUP(C76,Data!A:G,5,FALSE),""))</f>
        <v>ECE 20001 and (MA 26200 [concurrent ok] or MA 26600 [concurrent ok] or MA 36600 [concurrent ok]</v>
      </c>
      <c r="J76" s="33" t="str">
        <f>IF(_xlfn.IFNA(VLOOKUP(C76,Data!A:G,6,FALSE),"")=0, "Check course registration information", _xlfn.IFNA(VLOOKUP(C76,Data!A:G,6,FALSE),""))</f>
        <v>Continuation of Electrical and Computer Engineering Fundamentals I. The course covers the mathematical and computational foundations of (1) linear circuit analysis and (2) simple nonlinear circuits with a small number of transistors. Topics include: AC and DC analysis of simple MOSFET circuits, especially single-transistor amplifiers; op-amp circuits; mathematical methods for time-domain analysis of linear, time-invariant (LTI) systems (homogeneous and particular solutions, convolution, the Laplace transform, and the transfer function); and frequency-domain analysis and design of LTI systems (especially Bode plots and filter design). Permission of Department required</v>
      </c>
      <c r="K76" s="33" t="str">
        <f>IF(_xlfn.IFNA(VLOOKUP(C76,Data!A:H,7,FALSE),"")=0, "", _xlfn.IFNA(HYPERLINK(VLOOKUP(C76,Data!A:H,7,FALSE),"Catalog Link"),""))</f>
        <v>Catalog Link</v>
      </c>
      <c r="L76" s="33" t="str">
        <f>IF(_xlfn.IFNA(VLOOKUP(C76,Data!A:I,8,FALSE),"")=0, "", _xlfn.IFNA(HYPERLINK(VLOOKUP(C76,Data!A:I,8,FALSE),"Additional Information"),""))</f>
        <v>Additional Information</v>
      </c>
      <c r="M76" s="34">
        <f t="shared" si="2"/>
        <v>2</v>
      </c>
      <c r="N76" s="42" t="s">
        <v>63</v>
      </c>
      <c r="O76" s="42" t="s">
        <v>63</v>
      </c>
      <c r="P76" s="42" t="s">
        <v>63</v>
      </c>
      <c r="Q76" s="42" t="s">
        <v>63</v>
      </c>
      <c r="R76" s="42" t="s">
        <v>63</v>
      </c>
      <c r="S76" s="42" t="s">
        <v>63</v>
      </c>
      <c r="T76" s="42" t="s">
        <v>63</v>
      </c>
      <c r="U76" s="42" t="s">
        <v>63</v>
      </c>
      <c r="V76" s="42" t="s">
        <v>63</v>
      </c>
      <c r="W76" s="42" t="s">
        <v>63</v>
      </c>
      <c r="X76" s="42" t="s">
        <v>63</v>
      </c>
      <c r="Y76" s="42" t="s">
        <v>64</v>
      </c>
      <c r="Z76" s="42" t="s">
        <v>63</v>
      </c>
      <c r="AA76" s="43" t="s">
        <v>63</v>
      </c>
      <c r="AB76" s="42" t="s">
        <v>63</v>
      </c>
      <c r="AC76" s="42"/>
      <c r="AD76" s="42" t="s">
        <v>63</v>
      </c>
      <c r="AE76" s="42" t="s">
        <v>63</v>
      </c>
      <c r="AF76" s="42" t="s">
        <v>63</v>
      </c>
      <c r="AG76" s="42" t="s">
        <v>63</v>
      </c>
      <c r="AH76" s="42" t="s">
        <v>63</v>
      </c>
      <c r="AI76" s="42"/>
      <c r="AJ76" s="42" t="s">
        <v>63</v>
      </c>
      <c r="AK76" s="42"/>
      <c r="AL76" s="42" t="s">
        <v>63</v>
      </c>
      <c r="AM76" s="42"/>
      <c r="AN76" s="42" t="s">
        <v>63</v>
      </c>
      <c r="AO76" s="42" t="s">
        <v>63</v>
      </c>
      <c r="AP76" s="42" t="s">
        <v>63</v>
      </c>
      <c r="AQ76" s="42" t="s">
        <v>63</v>
      </c>
      <c r="AR76" s="42"/>
      <c r="AS76" s="42" t="s">
        <v>63</v>
      </c>
      <c r="AT76" s="42" t="s">
        <v>63</v>
      </c>
      <c r="AU76" s="42"/>
      <c r="AV76" s="42"/>
      <c r="AW76" s="42" t="s">
        <v>63</v>
      </c>
      <c r="AX76" s="42" t="s">
        <v>63</v>
      </c>
      <c r="AY76" s="42" t="s">
        <v>63</v>
      </c>
      <c r="AZ76" s="42" t="s">
        <v>63</v>
      </c>
      <c r="BA76" s="42"/>
      <c r="BB76" s="42" t="s">
        <v>64</v>
      </c>
      <c r="BC76" s="42" t="s">
        <v>63</v>
      </c>
      <c r="BD76" s="42" t="s">
        <v>63</v>
      </c>
      <c r="BE76" s="42" t="s">
        <v>63</v>
      </c>
      <c r="BF76" s="42" t="s">
        <v>63</v>
      </c>
      <c r="BG76" s="42" t="s">
        <v>63</v>
      </c>
      <c r="BH76" s="42" t="s">
        <v>63</v>
      </c>
      <c r="BI76" s="42" t="s">
        <v>63</v>
      </c>
      <c r="BJ76" s="42" t="s">
        <v>63</v>
      </c>
      <c r="BK76" s="42" t="s">
        <v>63</v>
      </c>
      <c r="BL76" s="42" t="s">
        <v>63</v>
      </c>
    </row>
    <row r="77" spans="1:64">
      <c r="A77" s="33" t="s">
        <v>1176</v>
      </c>
      <c r="B77" s="34" t="s">
        <v>242</v>
      </c>
      <c r="C77" s="34" t="s">
        <v>242</v>
      </c>
      <c r="D77" s="33" t="s">
        <v>244</v>
      </c>
      <c r="E77" s="34">
        <f>IF(_xlfn.IFNA(VLOOKUP(B77,Data!B:G,3,FALSE),"")=0, "", _xlfn.IFNA(VLOOKUP(B77,Data!B:G,3,FALSE),""))</f>
        <v>3</v>
      </c>
      <c r="F77" s="66" t="s">
        <v>241</v>
      </c>
      <c r="H77" s="66" t="str">
        <f>IF(_xlfn.IFNA(VLOOKUP(C77,Data!A:G,5,FALSE),"")=0, "Check course registration information", _xlfn.IFNA(VLOOKUP(C77,Data!A:G,5,FALSE),""))</f>
        <v>ECE 20002 or ECE 25500) and (PHYS 27200 or PHYS 24100 or PHYS 26100 or PHYS 25100) and (MA 26600 or MA 26200 or MA 36600</v>
      </c>
      <c r="J77" s="33" t="str">
        <f>IF(_xlfn.IFNA(VLOOKUP(C77,Data!A:G,6,FALSE),"")=0, "Check course registration information", _xlfn.IFNA(VLOOKUP(C77,Data!A:G,6,FALSE),""))</f>
        <v>Introduces and explains terminology, models, properties, and concepts associated with semiconductor devices. Provides detailed insight into the internal workings of the "building-block" device structures such as the pn-junction diode, Schottky diode, BJT, and MOSFET. Presents information about a wide variety of other devices including solar cells, LEDs, HBTs, and modern field-effect devices. Systematically develops the analytical tools needed to solve practical device problems</v>
      </c>
      <c r="K77" s="33" t="str">
        <f>IF(_xlfn.IFNA(VLOOKUP(C77,Data!A:H,7,FALSE),"")=0, "", _xlfn.IFNA(HYPERLINK(VLOOKUP(C77,Data!A:H,7,FALSE),"Catalog Link"),""))</f>
        <v>Catalog Link</v>
      </c>
      <c r="L77" s="33" t="str">
        <f>IF(_xlfn.IFNA(VLOOKUP(C77,Data!A:I,8,FALSE),"")=0, "", _xlfn.IFNA(HYPERLINK(VLOOKUP(C77,Data!A:I,8,FALSE),"Additional Information"),""))</f>
        <v>Additional Information</v>
      </c>
      <c r="M77" s="34">
        <f t="shared" si="2"/>
        <v>2</v>
      </c>
      <c r="N77" s="42" t="s">
        <v>63</v>
      </c>
      <c r="O77" s="42" t="s">
        <v>63</v>
      </c>
      <c r="P77" s="42" t="s">
        <v>63</v>
      </c>
      <c r="Q77" s="42" t="s">
        <v>63</v>
      </c>
      <c r="R77" s="42" t="s">
        <v>63</v>
      </c>
      <c r="S77" s="42" t="s">
        <v>63</v>
      </c>
      <c r="T77" s="42" t="s">
        <v>63</v>
      </c>
      <c r="U77" s="42" t="s">
        <v>63</v>
      </c>
      <c r="V77" s="42" t="s">
        <v>63</v>
      </c>
      <c r="W77" s="42" t="s">
        <v>63</v>
      </c>
      <c r="X77" s="42" t="s">
        <v>63</v>
      </c>
      <c r="Y77" s="42" t="s">
        <v>64</v>
      </c>
      <c r="Z77" s="42" t="s">
        <v>63</v>
      </c>
      <c r="AA77" s="42" t="s">
        <v>63</v>
      </c>
      <c r="AB77" s="42" t="s">
        <v>63</v>
      </c>
      <c r="AC77" s="42"/>
      <c r="AD77" s="42" t="s">
        <v>63</v>
      </c>
      <c r="AE77" s="42" t="s">
        <v>63</v>
      </c>
      <c r="AF77" s="42" t="s">
        <v>63</v>
      </c>
      <c r="AG77" s="42" t="s">
        <v>63</v>
      </c>
      <c r="AH77" s="42" t="s">
        <v>63</v>
      </c>
      <c r="AI77" s="42"/>
      <c r="AJ77" s="42" t="s">
        <v>63</v>
      </c>
      <c r="AK77" s="42"/>
      <c r="AL77" s="42" t="s">
        <v>63</v>
      </c>
      <c r="AM77" s="42"/>
      <c r="AN77" s="42" t="s">
        <v>63</v>
      </c>
      <c r="AO77" s="42" t="s">
        <v>63</v>
      </c>
      <c r="AP77" s="42" t="s">
        <v>63</v>
      </c>
      <c r="AQ77" s="42" t="s">
        <v>63</v>
      </c>
      <c r="AR77" s="42"/>
      <c r="AS77" s="42" t="s">
        <v>63</v>
      </c>
      <c r="AT77" s="42" t="s">
        <v>63</v>
      </c>
      <c r="AU77" s="42"/>
      <c r="AV77" s="42"/>
      <c r="AW77" s="42" t="s">
        <v>63</v>
      </c>
      <c r="AX77" s="42" t="s">
        <v>63</v>
      </c>
      <c r="AY77" s="42" t="s">
        <v>63</v>
      </c>
      <c r="AZ77" s="42" t="s">
        <v>63</v>
      </c>
      <c r="BA77" s="42"/>
      <c r="BB77" s="42" t="s">
        <v>64</v>
      </c>
      <c r="BC77" s="42" t="s">
        <v>63</v>
      </c>
      <c r="BD77" s="42" t="s">
        <v>63</v>
      </c>
      <c r="BE77" s="42" t="s">
        <v>63</v>
      </c>
      <c r="BF77" s="42" t="s">
        <v>63</v>
      </c>
      <c r="BG77" s="42" t="s">
        <v>63</v>
      </c>
      <c r="BH77" s="42" t="s">
        <v>63</v>
      </c>
      <c r="BI77" s="42" t="s">
        <v>63</v>
      </c>
      <c r="BJ77" s="42" t="s">
        <v>63</v>
      </c>
      <c r="BK77" s="42" t="s">
        <v>63</v>
      </c>
      <c r="BL77" s="42" t="s">
        <v>63</v>
      </c>
    </row>
    <row r="78" spans="1:64" s="36" customFormat="1" ht="15.75">
      <c r="A78" s="33" t="s">
        <v>1177</v>
      </c>
      <c r="B78" s="34" t="s">
        <v>215</v>
      </c>
      <c r="C78" s="34" t="s">
        <v>215</v>
      </c>
      <c r="D78" s="33" t="s">
        <v>216</v>
      </c>
      <c r="E78" s="34">
        <f>IF(_xlfn.IFNA(VLOOKUP(B78,Data!B:G,3,FALSE),"")=0, "", _xlfn.IFNA(VLOOKUP(B78,Data!B:G,3,FALSE),""))</f>
        <v>1</v>
      </c>
      <c r="F78" s="33" t="s">
        <v>1175</v>
      </c>
      <c r="G78" s="33"/>
      <c r="H78" s="33" t="str">
        <f>IF(_xlfn.IFNA(VLOOKUP(C78,Data!A:G,5,FALSE),"")=0, "Check course registration information", _xlfn.IFNA(VLOOKUP(C78,Data!A:G,5,FALSE),""))</f>
        <v>ECE 20008 or ECE 20800) and ECE 30100 [concurrent ok] and ECE 30200 [concurrent ok]</v>
      </c>
      <c r="I78" s="33"/>
      <c r="J78" s="33" t="str">
        <f>IF(_xlfn.IFNA(VLOOKUP(C78,Data!A:G,6,FALSE),"")=0, "Check course registration information", _xlfn.IFNA(VLOOKUP(C78,Data!A:G,6,FALSE),""))</f>
        <v>Experiments in electronic circuits and systems, including spectral analysis techniques, sampling, distortion measurements, random signals, signal-to-noise ratio and correlation</v>
      </c>
      <c r="K78" s="33" t="str">
        <f>IF(_xlfn.IFNA(VLOOKUP(C78,Data!A:H,7,FALSE),"")=0, "", _xlfn.IFNA(HYPERLINK(VLOOKUP(C78,Data!A:H,7,FALSE),"Catalog Link"),""))</f>
        <v>Catalog Link</v>
      </c>
      <c r="L78" s="33" t="str">
        <f>IF(_xlfn.IFNA(VLOOKUP(C78,Data!A:I,8,FALSE),"")=0, "", _xlfn.IFNA(HYPERLINK(VLOOKUP(C78,Data!A:I,8,FALSE),"Additional Information"),""))</f>
        <v>Additional Information</v>
      </c>
      <c r="M78" s="34">
        <f t="shared" si="2"/>
        <v>2</v>
      </c>
      <c r="N78" s="42" t="s">
        <v>63</v>
      </c>
      <c r="O78" s="42" t="s">
        <v>63</v>
      </c>
      <c r="P78" s="42" t="s">
        <v>63</v>
      </c>
      <c r="Q78" s="42" t="s">
        <v>63</v>
      </c>
      <c r="R78" s="42" t="s">
        <v>63</v>
      </c>
      <c r="S78" s="42" t="s">
        <v>63</v>
      </c>
      <c r="T78" s="42" t="s">
        <v>63</v>
      </c>
      <c r="U78" s="42" t="s">
        <v>63</v>
      </c>
      <c r="V78" s="42" t="s">
        <v>63</v>
      </c>
      <c r="W78" s="42" t="s">
        <v>63</v>
      </c>
      <c r="X78" s="42" t="s">
        <v>63</v>
      </c>
      <c r="Y78" s="42" t="s">
        <v>64</v>
      </c>
      <c r="Z78" s="42" t="s">
        <v>63</v>
      </c>
      <c r="AA78" s="43" t="s">
        <v>63</v>
      </c>
      <c r="AB78" s="42" t="s">
        <v>63</v>
      </c>
      <c r="AC78" s="42"/>
      <c r="AD78" s="42" t="s">
        <v>63</v>
      </c>
      <c r="AE78" s="42" t="s">
        <v>63</v>
      </c>
      <c r="AF78" s="42" t="s">
        <v>63</v>
      </c>
      <c r="AG78" s="42" t="s">
        <v>63</v>
      </c>
      <c r="AH78" s="42" t="s">
        <v>63</v>
      </c>
      <c r="AI78" s="42"/>
      <c r="AJ78" s="42" t="s">
        <v>63</v>
      </c>
      <c r="AK78" s="42"/>
      <c r="AL78" s="42" t="s">
        <v>63</v>
      </c>
      <c r="AM78" s="42"/>
      <c r="AN78" s="42" t="s">
        <v>63</v>
      </c>
      <c r="AO78" s="42" t="s">
        <v>63</v>
      </c>
      <c r="AP78" s="42" t="s">
        <v>63</v>
      </c>
      <c r="AQ78" s="42" t="s">
        <v>63</v>
      </c>
      <c r="AR78" s="42"/>
      <c r="AS78" s="42" t="s">
        <v>63</v>
      </c>
      <c r="AT78" s="42" t="s">
        <v>63</v>
      </c>
      <c r="AU78" s="42"/>
      <c r="AV78" s="42"/>
      <c r="AW78" s="42" t="s">
        <v>63</v>
      </c>
      <c r="AX78" s="42" t="s">
        <v>63</v>
      </c>
      <c r="AY78" s="42" t="s">
        <v>63</v>
      </c>
      <c r="AZ78" s="42" t="s">
        <v>63</v>
      </c>
      <c r="BA78" s="42"/>
      <c r="BB78" s="42" t="s">
        <v>64</v>
      </c>
      <c r="BC78" s="42" t="s">
        <v>63</v>
      </c>
      <c r="BD78" s="42" t="s">
        <v>63</v>
      </c>
      <c r="BE78" s="42" t="s">
        <v>63</v>
      </c>
      <c r="BF78" s="42" t="s">
        <v>63</v>
      </c>
      <c r="BG78" s="42" t="s">
        <v>63</v>
      </c>
      <c r="BH78" s="42" t="s">
        <v>63</v>
      </c>
      <c r="BI78" s="42" t="s">
        <v>63</v>
      </c>
      <c r="BJ78" s="42" t="s">
        <v>63</v>
      </c>
      <c r="BK78" s="42" t="s">
        <v>63</v>
      </c>
      <c r="BL78" s="42" t="s">
        <v>63</v>
      </c>
    </row>
    <row r="79" spans="1:64" s="36" customFormat="1" ht="15.75">
      <c r="A79" s="33" t="s">
        <v>1177</v>
      </c>
      <c r="B79" s="34" t="s">
        <v>217</v>
      </c>
      <c r="C79" s="34" t="s">
        <v>217</v>
      </c>
      <c r="D79" s="33" t="s">
        <v>218</v>
      </c>
      <c r="E79" s="34">
        <f>IF(_xlfn.IFNA(VLOOKUP(B79,Data!B:G,3,FALSE),"")=0, "", _xlfn.IFNA(VLOOKUP(B79,Data!B:G,3,FALSE),""))</f>
        <v>3</v>
      </c>
      <c r="F79" s="33" t="s">
        <v>1175</v>
      </c>
      <c r="G79" s="33"/>
      <c r="H79" s="33" t="str">
        <f>IF(_xlfn.IFNA(VLOOKUP(C79,Data!A:G,5,FALSE),"")=0, "Check course registration information", _xlfn.IFNA(VLOOKUP(C79,Data!A:G,5,FALSE),""))</f>
        <v>MA 26100 and (MA 26600 or MA 26200) and (PHYS 27200 or PHYS 24100) and (CHM 11500 or (CHM 11100 and CHM 11200</v>
      </c>
      <c r="I79" s="33"/>
      <c r="J79" s="33" t="str">
        <f>IF(_xlfn.IFNA(VLOOKUP(C79,Data!A:G,6,FALSE),"")=0, "Check course registration information", _xlfn.IFNA(VLOOKUP(C79,Data!A:G,6,FALSE),""))</f>
        <v>This interdisciplinary course offers an introduction to nanotechnology and quantum science and technology for undergraduate students in science and engineering. The students will develop understanding of interdisciplinary nature of these fields and utilize concepts in physics, chemistry and mechanics to describe and analyze unique properties of quantum and nanoscale objects. The course will provide the opportunity to get exposed to highly interdisciplinary nature of today's most active and rapidly expanding fields of research and technologies</v>
      </c>
      <c r="K79" s="33" t="str">
        <f>IF(_xlfn.IFNA(VLOOKUP(C79,Data!A:H,7,FALSE),"")=0, "", _xlfn.IFNA(HYPERLINK(VLOOKUP(C79,Data!A:H,7,FALSE),"Catalog Link"),""))</f>
        <v>Catalog Link</v>
      </c>
      <c r="L79" s="33" t="str">
        <f>IF(_xlfn.IFNA(VLOOKUP(C79,Data!A:I,8,FALSE),"")=0, "", _xlfn.IFNA(HYPERLINK(VLOOKUP(C79,Data!A:I,8,FALSE),"Additional Information"),""))</f>
        <v>Additional Information</v>
      </c>
      <c r="M79" s="34">
        <f t="shared" si="2"/>
        <v>1</v>
      </c>
      <c r="N79" s="42" t="s">
        <v>63</v>
      </c>
      <c r="O79" s="42" t="s">
        <v>63</v>
      </c>
      <c r="P79" s="42" t="s">
        <v>63</v>
      </c>
      <c r="Q79" s="42" t="s">
        <v>63</v>
      </c>
      <c r="R79" s="42" t="s">
        <v>63</v>
      </c>
      <c r="S79" s="42" t="s">
        <v>63</v>
      </c>
      <c r="T79" s="42" t="s">
        <v>63</v>
      </c>
      <c r="U79" s="42" t="s">
        <v>63</v>
      </c>
      <c r="V79" s="42" t="s">
        <v>63</v>
      </c>
      <c r="W79" s="42" t="s">
        <v>63</v>
      </c>
      <c r="X79" s="42" t="s">
        <v>63</v>
      </c>
      <c r="Y79" s="42" t="s">
        <v>63</v>
      </c>
      <c r="Z79" s="42" t="s">
        <v>63</v>
      </c>
      <c r="AA79" s="43" t="s">
        <v>63</v>
      </c>
      <c r="AB79" s="42" t="s">
        <v>63</v>
      </c>
      <c r="AC79" s="42"/>
      <c r="AD79" s="42" t="s">
        <v>63</v>
      </c>
      <c r="AE79" s="42" t="s">
        <v>63</v>
      </c>
      <c r="AF79" s="42" t="s">
        <v>63</v>
      </c>
      <c r="AG79" s="42" t="s">
        <v>63</v>
      </c>
      <c r="AH79" s="42" t="s">
        <v>63</v>
      </c>
      <c r="AI79" s="42"/>
      <c r="AJ79" s="42" t="s">
        <v>63</v>
      </c>
      <c r="AK79" s="42"/>
      <c r="AL79" s="42" t="s">
        <v>63</v>
      </c>
      <c r="AM79" s="42"/>
      <c r="AN79" s="42" t="s">
        <v>63</v>
      </c>
      <c r="AO79" s="42" t="s">
        <v>63</v>
      </c>
      <c r="AP79" s="42" t="s">
        <v>63</v>
      </c>
      <c r="AQ79" s="42" t="s">
        <v>63</v>
      </c>
      <c r="AR79" s="42"/>
      <c r="AS79" s="42" t="s">
        <v>63</v>
      </c>
      <c r="AT79" s="42" t="s">
        <v>63</v>
      </c>
      <c r="AU79" s="42"/>
      <c r="AV79" s="42"/>
      <c r="AW79" s="42" t="s">
        <v>64</v>
      </c>
      <c r="AX79" s="42" t="s">
        <v>63</v>
      </c>
      <c r="AY79" s="42" t="s">
        <v>63</v>
      </c>
      <c r="AZ79" s="42" t="s">
        <v>63</v>
      </c>
      <c r="BA79" s="42"/>
      <c r="BB79" s="42" t="s">
        <v>63</v>
      </c>
      <c r="BC79" s="42" t="s">
        <v>63</v>
      </c>
      <c r="BD79" s="42" t="s">
        <v>63</v>
      </c>
      <c r="BE79" s="42" t="s">
        <v>63</v>
      </c>
      <c r="BF79" s="42" t="s">
        <v>63</v>
      </c>
      <c r="BG79" s="42" t="s">
        <v>63</v>
      </c>
      <c r="BH79" s="42" t="s">
        <v>63</v>
      </c>
      <c r="BI79" s="42" t="s">
        <v>63</v>
      </c>
      <c r="BJ79" s="42" t="s">
        <v>63</v>
      </c>
      <c r="BK79" s="42" t="s">
        <v>63</v>
      </c>
      <c r="BL79" s="42" t="s">
        <v>63</v>
      </c>
    </row>
    <row r="80" spans="1:64">
      <c r="A80" s="33" t="s">
        <v>1177</v>
      </c>
      <c r="B80" s="34" t="s">
        <v>219</v>
      </c>
      <c r="C80" s="34" t="s">
        <v>219</v>
      </c>
      <c r="D80" s="33" t="s">
        <v>220</v>
      </c>
      <c r="E80" s="34">
        <f>IF(_xlfn.IFNA(VLOOKUP(B80,Data!B:G,3,FALSE),"")=0, "", _xlfn.IFNA(VLOOKUP(B80,Data!B:G,3,FALSE),""))</f>
        <v>3</v>
      </c>
      <c r="F80" s="33" t="s">
        <v>1175</v>
      </c>
      <c r="G80" s="33"/>
      <c r="H80" s="33" t="str">
        <f>IF(_xlfn.IFNA(VLOOKUP(C80,Data!A:G,5,FALSE),"")=0, "Check course registration information", _xlfn.IFNA(VLOOKUP(C80,Data!A:G,5,FALSE),""))</f>
        <v>ECE 20002 or ECE 25500</v>
      </c>
      <c r="J80" s="33" t="str">
        <f>IF(_xlfn.IFNA(VLOOKUP(C80,Data!A:G,6,FALSE),"")=0, "Check course registration information", _xlfn.IFNA(VLOOKUP(C80,Data!A:G,6,FALSE),""))</f>
        <v>Introduction to the fundamental operating principles of power conditioning circuits that are currently being used to effect power flow from AC to DC and vice versa. Emphasis is on the relationship between form and function of these circuits. Circuits discussed will include AC/DC line-commutated converters, DC/DC converters, DC/variable frequency converters, resonant converters, and AC/AC converters. Computer simulations will be used as a part of the coursework</v>
      </c>
      <c r="K80" s="33" t="str">
        <f>IF(_xlfn.IFNA(VLOOKUP(C80,Data!A:H,7,FALSE),"")=0, "", _xlfn.IFNA(HYPERLINK(VLOOKUP(C80,Data!A:H,7,FALSE),"Catalog Link"),""))</f>
        <v>Catalog Link</v>
      </c>
      <c r="L80" s="33" t="str">
        <f>IF(_xlfn.IFNA(VLOOKUP(C80,Data!A:I,8,FALSE),"")=0, "", _xlfn.IFNA(HYPERLINK(VLOOKUP(C80,Data!A:I,8,FALSE),"Additional Information"),""))</f>
        <v>Additional Information</v>
      </c>
      <c r="M80" s="34">
        <f t="shared" si="2"/>
        <v>2</v>
      </c>
      <c r="N80" s="42" t="s">
        <v>63</v>
      </c>
      <c r="O80" s="42" t="s">
        <v>63</v>
      </c>
      <c r="P80" s="42" t="s">
        <v>63</v>
      </c>
      <c r="Q80" s="42" t="s">
        <v>63</v>
      </c>
      <c r="R80" s="42" t="s">
        <v>63</v>
      </c>
      <c r="S80" s="42" t="s">
        <v>63</v>
      </c>
      <c r="T80" s="42" t="s">
        <v>63</v>
      </c>
      <c r="U80" s="42" t="s">
        <v>63</v>
      </c>
      <c r="V80" s="42" t="s">
        <v>63</v>
      </c>
      <c r="W80" s="42" t="s">
        <v>63</v>
      </c>
      <c r="X80" s="42" t="s">
        <v>63</v>
      </c>
      <c r="Y80" s="42" t="s">
        <v>63</v>
      </c>
      <c r="Z80" s="42" t="s">
        <v>63</v>
      </c>
      <c r="AA80" s="43" t="s">
        <v>63</v>
      </c>
      <c r="AB80" s="42" t="s">
        <v>63</v>
      </c>
      <c r="AC80" s="42"/>
      <c r="AD80" s="42" t="s">
        <v>63</v>
      </c>
      <c r="AE80" s="42" t="s">
        <v>63</v>
      </c>
      <c r="AF80" s="42" t="s">
        <v>63</v>
      </c>
      <c r="AG80" s="42" t="s">
        <v>63</v>
      </c>
      <c r="AH80" s="42" t="s">
        <v>63</v>
      </c>
      <c r="AI80" s="42"/>
      <c r="AJ80" s="42" t="s">
        <v>63</v>
      </c>
      <c r="AK80" s="42"/>
      <c r="AL80" s="42" t="s">
        <v>63</v>
      </c>
      <c r="AM80" s="42"/>
      <c r="AN80" s="42" t="s">
        <v>63</v>
      </c>
      <c r="AO80" s="42" t="s">
        <v>63</v>
      </c>
      <c r="AP80" s="42" t="s">
        <v>63</v>
      </c>
      <c r="AQ80" s="42" t="s">
        <v>64</v>
      </c>
      <c r="AR80" s="42"/>
      <c r="AS80" s="42" t="s">
        <v>63</v>
      </c>
      <c r="AT80" s="42" t="s">
        <v>63</v>
      </c>
      <c r="AU80" s="42"/>
      <c r="AV80" s="42"/>
      <c r="AW80" s="42" t="s">
        <v>63</v>
      </c>
      <c r="AX80" s="42" t="s">
        <v>63</v>
      </c>
      <c r="AY80" s="42" t="s">
        <v>63</v>
      </c>
      <c r="AZ80" s="42" t="s">
        <v>63</v>
      </c>
      <c r="BA80" s="42"/>
      <c r="BB80" s="42" t="s">
        <v>64</v>
      </c>
      <c r="BC80" s="42" t="s">
        <v>63</v>
      </c>
      <c r="BD80" s="42" t="s">
        <v>63</v>
      </c>
      <c r="BE80" s="42" t="s">
        <v>63</v>
      </c>
      <c r="BF80" s="42" t="s">
        <v>63</v>
      </c>
      <c r="BG80" s="42" t="s">
        <v>63</v>
      </c>
      <c r="BH80" s="42" t="s">
        <v>63</v>
      </c>
      <c r="BI80" s="42" t="s">
        <v>63</v>
      </c>
      <c r="BJ80" s="42" t="s">
        <v>63</v>
      </c>
      <c r="BK80" s="42" t="s">
        <v>63</v>
      </c>
      <c r="BL80" s="42" t="s">
        <v>63</v>
      </c>
    </row>
    <row r="81" spans="1:64">
      <c r="A81" s="33" t="s">
        <v>1176</v>
      </c>
      <c r="B81" s="34" t="s">
        <v>117</v>
      </c>
      <c r="C81" s="34" t="s">
        <v>117</v>
      </c>
      <c r="D81" s="33" t="s">
        <v>119</v>
      </c>
      <c r="E81" s="34">
        <f>IF(_xlfn.IFNA(VLOOKUP(B81,Data!B:G,3,FALSE),"")=0, "", _xlfn.IFNA(VLOOKUP(B81,Data!B:G,3,FALSE),""))</f>
        <v>2</v>
      </c>
      <c r="F81" s="66" t="s">
        <v>116</v>
      </c>
      <c r="H81" s="66" t="str">
        <f>IF(_xlfn.IFNA(VLOOKUP(C81,Data!A:G,5,FALSE),"")=0, "Check course registration information", _xlfn.IFNA(VLOOKUP(C81,Data!A:G,5,FALSE),""))</f>
        <v>ECE 27000</v>
      </c>
      <c r="J81" s="33" t="str">
        <f>IF(_xlfn.IFNA(VLOOKUP(C81,Data!A:G,6,FALSE),"")=0, "Check course registration information", _xlfn.IFNA(VLOOKUP(C81,Data!A:G,6,FALSE),""))</f>
        <v>Introduction to standard cell design of Application Specific Integrated Circuits (ASICs) using modern hardware description languages (HDLs). Emphasis on how to write HDL code that will map readily to hardware. Laboratory experiments using commercial grade computer-aided design (CAD) tools for HDL based design, logic simulation, automatic placement and routing, timing analysis and verification</v>
      </c>
      <c r="K81" s="33" t="str">
        <f>IF(_xlfn.IFNA(VLOOKUP(C81,Data!A:H,7,FALSE),"")=0, "", _xlfn.IFNA(HYPERLINK(VLOOKUP(C81,Data!A:H,7,FALSE),"Catalog Link"),""))</f>
        <v>Catalog Link</v>
      </c>
      <c r="L81" s="33" t="str">
        <f>IF(_xlfn.IFNA(VLOOKUP(C81,Data!A:I,8,FALSE),"")=0, "", _xlfn.IFNA(HYPERLINK(VLOOKUP(C81,Data!A:I,8,FALSE),"Additional Information"),""))</f>
        <v>Additional Information</v>
      </c>
      <c r="M81" s="34">
        <f t="shared" si="2"/>
        <v>6</v>
      </c>
      <c r="N81" s="42" t="s">
        <v>64</v>
      </c>
      <c r="O81" s="42" t="s">
        <v>63</v>
      </c>
      <c r="P81" s="42" t="s">
        <v>63</v>
      </c>
      <c r="Q81" s="42" t="s">
        <v>63</v>
      </c>
      <c r="R81" s="42" t="s">
        <v>64</v>
      </c>
      <c r="S81" s="42" t="s">
        <v>63</v>
      </c>
      <c r="T81" s="42" t="s">
        <v>63</v>
      </c>
      <c r="U81" s="42" t="s">
        <v>63</v>
      </c>
      <c r="V81" s="42" t="s">
        <v>63</v>
      </c>
      <c r="W81" s="42" t="s">
        <v>63</v>
      </c>
      <c r="X81" s="42" t="s">
        <v>63</v>
      </c>
      <c r="Y81" s="42" t="s">
        <v>63</v>
      </c>
      <c r="Z81" s="42" t="s">
        <v>63</v>
      </c>
      <c r="AA81" s="42" t="s">
        <v>63</v>
      </c>
      <c r="AB81" s="42" t="s">
        <v>63</v>
      </c>
      <c r="AC81" s="42"/>
      <c r="AD81" s="42" t="s">
        <v>63</v>
      </c>
      <c r="AE81" s="42" t="s">
        <v>64</v>
      </c>
      <c r="AF81" s="42" t="s">
        <v>63</v>
      </c>
      <c r="AG81" s="42" t="s">
        <v>63</v>
      </c>
      <c r="AH81" s="42" t="s">
        <v>63</v>
      </c>
      <c r="AI81" s="42"/>
      <c r="AJ81" s="42" t="s">
        <v>63</v>
      </c>
      <c r="AK81" s="42"/>
      <c r="AL81" s="42" t="s">
        <v>63</v>
      </c>
      <c r="AM81" s="42"/>
      <c r="AN81" s="42" t="s">
        <v>63</v>
      </c>
      <c r="AO81" s="42" t="s">
        <v>63</v>
      </c>
      <c r="AP81" s="42" t="s">
        <v>63</v>
      </c>
      <c r="AQ81" s="42" t="s">
        <v>63</v>
      </c>
      <c r="AR81" s="42"/>
      <c r="AS81" s="42" t="s">
        <v>63</v>
      </c>
      <c r="AT81" s="42" t="s">
        <v>63</v>
      </c>
      <c r="AU81" s="42"/>
      <c r="AV81" s="42"/>
      <c r="AW81" s="42" t="s">
        <v>63</v>
      </c>
      <c r="AX81" s="42" t="s">
        <v>63</v>
      </c>
      <c r="AY81" s="42" t="s">
        <v>63</v>
      </c>
      <c r="AZ81" s="42" t="s">
        <v>63</v>
      </c>
      <c r="BA81" s="42"/>
      <c r="BB81" s="42" t="s">
        <v>64</v>
      </c>
      <c r="BC81" s="42" t="s">
        <v>63</v>
      </c>
      <c r="BD81" s="42" t="s">
        <v>63</v>
      </c>
      <c r="BE81" s="42" t="s">
        <v>63</v>
      </c>
      <c r="BF81" s="42" t="s">
        <v>63</v>
      </c>
      <c r="BG81" s="42" t="s">
        <v>63</v>
      </c>
      <c r="BH81" s="42" t="s">
        <v>64</v>
      </c>
      <c r="BI81" s="42" t="s">
        <v>63</v>
      </c>
      <c r="BJ81" s="42" t="s">
        <v>64</v>
      </c>
      <c r="BK81" s="42" t="s">
        <v>63</v>
      </c>
      <c r="BL81" s="42" t="s">
        <v>63</v>
      </c>
    </row>
    <row r="82" spans="1:64">
      <c r="A82" s="33" t="s">
        <v>1176</v>
      </c>
      <c r="B82" s="34" t="s">
        <v>133</v>
      </c>
      <c r="C82" s="34" t="s">
        <v>133</v>
      </c>
      <c r="D82" s="33" t="s">
        <v>135</v>
      </c>
      <c r="E82" s="34">
        <f>IF(_xlfn.IFNA(VLOOKUP(B82,Data!B:G,3,FALSE),"")=0, "", _xlfn.IFNA(VLOOKUP(B82,Data!B:G,3,FALSE),""))</f>
        <v>4</v>
      </c>
      <c r="F82" s="66" t="s">
        <v>116</v>
      </c>
      <c r="H82" s="66" t="str">
        <f>IF(_xlfn.IFNA(VLOOKUP(C82,Data!A:G,5,FALSE),"")=0, "Check course registration information", _xlfn.IFNA(VLOOKUP(C82,Data!A:G,5,FALSE),""))</f>
        <v>ECE 27000 and (ENGR 11700 or CS 15900</v>
      </c>
      <c r="J82" s="33" t="str">
        <f>IF(_xlfn.IFNA(VLOOKUP(C82,Data!A:G,6,FALSE),"")=0, "Check course registration information", _xlfn.IFNA(VLOOKUP(C82,Data!A:G,6,FALSE),""))</f>
        <v>An introduction to basic computer organization, microprocessor instruction sets, assembly language programming, and microcontroller peripherals</v>
      </c>
      <c r="K82" s="33" t="str">
        <f>IF(_xlfn.IFNA(VLOOKUP(C82,Data!A:H,7,FALSE),"")=0, "", _xlfn.IFNA(HYPERLINK(VLOOKUP(C82,Data!A:H,7,FALSE),"Catalog Link"),""))</f>
        <v>Catalog Link</v>
      </c>
      <c r="L82" s="33" t="str">
        <f>IF(_xlfn.IFNA(VLOOKUP(C82,Data!A:I,8,FALSE),"")=0, "", _xlfn.IFNA(HYPERLINK(VLOOKUP(C82,Data!A:I,8,FALSE),"Additional Information"),""))</f>
        <v>Additional Information</v>
      </c>
      <c r="M82" s="34">
        <f t="shared" si="2"/>
        <v>3</v>
      </c>
      <c r="N82" s="42" t="s">
        <v>64</v>
      </c>
      <c r="O82" s="42" t="s">
        <v>63</v>
      </c>
      <c r="P82" s="42" t="s">
        <v>63</v>
      </c>
      <c r="Q82" s="42" t="s">
        <v>63</v>
      </c>
      <c r="R82" s="42" t="s">
        <v>63</v>
      </c>
      <c r="S82" s="42" t="s">
        <v>63</v>
      </c>
      <c r="T82" s="42" t="s">
        <v>63</v>
      </c>
      <c r="U82" s="42" t="s">
        <v>63</v>
      </c>
      <c r="V82" s="42" t="s">
        <v>63</v>
      </c>
      <c r="W82" s="42" t="s">
        <v>63</v>
      </c>
      <c r="X82" s="42" t="s">
        <v>63</v>
      </c>
      <c r="Y82" s="42" t="s">
        <v>63</v>
      </c>
      <c r="Z82" s="42" t="s">
        <v>63</v>
      </c>
      <c r="AA82" s="42" t="s">
        <v>63</v>
      </c>
      <c r="AB82" s="42" t="s">
        <v>63</v>
      </c>
      <c r="AC82" s="42"/>
      <c r="AD82" s="42" t="s">
        <v>63</v>
      </c>
      <c r="AE82" s="42" t="s">
        <v>63</v>
      </c>
      <c r="AF82" s="42" t="s">
        <v>63</v>
      </c>
      <c r="AG82" s="42" t="s">
        <v>63</v>
      </c>
      <c r="AH82" s="42" t="s">
        <v>63</v>
      </c>
      <c r="AI82" s="42"/>
      <c r="AJ82" s="42" t="s">
        <v>63</v>
      </c>
      <c r="AK82" s="42"/>
      <c r="AL82" s="42" t="s">
        <v>63</v>
      </c>
      <c r="AM82" s="42"/>
      <c r="AN82" s="42" t="s">
        <v>63</v>
      </c>
      <c r="AO82" s="42" t="s">
        <v>63</v>
      </c>
      <c r="AP82" s="42" t="s">
        <v>63</v>
      </c>
      <c r="AQ82" s="42" t="s">
        <v>63</v>
      </c>
      <c r="AR82" s="42"/>
      <c r="AS82" s="42" t="s">
        <v>63</v>
      </c>
      <c r="AT82" s="42" t="s">
        <v>63</v>
      </c>
      <c r="AU82" s="42"/>
      <c r="AV82" s="42"/>
      <c r="AW82" s="42" t="s">
        <v>63</v>
      </c>
      <c r="AX82" s="42" t="s">
        <v>63</v>
      </c>
      <c r="AY82" s="42" t="s">
        <v>63</v>
      </c>
      <c r="AZ82" s="42" t="s">
        <v>63</v>
      </c>
      <c r="BA82" s="42"/>
      <c r="BB82" s="42" t="s">
        <v>64</v>
      </c>
      <c r="BC82" s="42" t="s">
        <v>63</v>
      </c>
      <c r="BD82" s="42" t="s">
        <v>63</v>
      </c>
      <c r="BE82" s="42" t="s">
        <v>63</v>
      </c>
      <c r="BF82" s="42" t="s">
        <v>63</v>
      </c>
      <c r="BG82" s="42" t="s">
        <v>63</v>
      </c>
      <c r="BH82" s="42" t="s">
        <v>64</v>
      </c>
      <c r="BI82" s="42" t="s">
        <v>63</v>
      </c>
      <c r="BJ82" s="42" t="s">
        <v>63</v>
      </c>
      <c r="BK82" s="42" t="s">
        <v>63</v>
      </c>
      <c r="BL82" s="42" t="s">
        <v>63</v>
      </c>
    </row>
    <row r="83" spans="1:64">
      <c r="A83" s="33" t="s">
        <v>1176</v>
      </c>
      <c r="B83" s="34" t="s">
        <v>225</v>
      </c>
      <c r="C83" s="34" t="s">
        <v>1214</v>
      </c>
      <c r="D83" s="33" t="s">
        <v>572</v>
      </c>
      <c r="E83" s="34">
        <v>1</v>
      </c>
      <c r="F83" s="66" t="s">
        <v>106</v>
      </c>
      <c r="H83" s="66" t="str">
        <f>IF(_xlfn.IFNA(VLOOKUP(C83,Data!A:G,5,FALSE),"")=0, "Check course registration information", _xlfn.IFNA(VLOOKUP(C83,Data!A:G,5,FALSE),""))</f>
        <v>Check course registration information</v>
      </c>
      <c r="J83" s="33" t="str">
        <f>IF(_xlfn.IFNA(VLOOKUP(C83,Data!A:G,6,FALSE),"")=0, "Check course registration information", _xlfn.IFNA(VLOOKUP(C83,Data!A:G,6,FALSE),""))</f>
        <v>This course introduces the principles and practices of modern semiconductor manufacturing. The course is organized into three modules covering semiconductor unit processes, process integration, and statistical process control (SPC). In the first module, students learn the fundamentals of key fabrication processes such as oxidation, lithography, etching, deposition, doping, and interconnect formation. Each module is offered as a one-credit course, and students may take individual modules or complete all three modules for a total of three credit hours. The goal of the course is to develop a systems-level understanding of semiconductor fabrication and to provide the background needed for work in semiconductor research and industry.</v>
      </c>
      <c r="K83" s="33" t="str">
        <f>IF(_xlfn.IFNA(VLOOKUP(C83,Data!A:H,7,FALSE),"")=0, "", _xlfn.IFNA(HYPERLINK(VLOOKUP(C83,Data!A:H,7,FALSE),"Catalog Link"),""))</f>
        <v>Catalog Link</v>
      </c>
      <c r="L83" s="33" t="str">
        <f>IF(_xlfn.IFNA(VLOOKUP(C83,Data!A:I,8,FALSE),"")=0, "", _xlfn.IFNA(HYPERLINK(VLOOKUP(C83,Data!A:I,8,FALSE),"Additional Information"),""))</f>
        <v/>
      </c>
      <c r="M83" s="34">
        <f t="shared" si="2"/>
        <v>5</v>
      </c>
      <c r="AA83" s="34" t="s">
        <v>64</v>
      </c>
      <c r="AE83" s="34" t="s">
        <v>64</v>
      </c>
      <c r="AF83" s="34" t="s">
        <v>64</v>
      </c>
      <c r="AG83" s="34" t="s">
        <v>64</v>
      </c>
      <c r="AH83" s="34" t="s">
        <v>64</v>
      </c>
    </row>
    <row r="84" spans="1:64">
      <c r="A84" s="33" t="s">
        <v>1176</v>
      </c>
      <c r="B84" s="34" t="s">
        <v>225</v>
      </c>
      <c r="C84" s="34" t="s">
        <v>1215</v>
      </c>
      <c r="D84" s="33" t="s">
        <v>571</v>
      </c>
      <c r="E84" s="34">
        <v>1</v>
      </c>
      <c r="F84" s="66" t="s">
        <v>106</v>
      </c>
      <c r="H84" s="66" t="str">
        <f>IF(_xlfn.IFNA(VLOOKUP(C84,Data!A:G,5,FALSE),"")=0, "Check course registration information", _xlfn.IFNA(VLOOKUP(C84,Data!A:G,5,FALSE),""))</f>
        <v>ECE 39595 Semiconductor Manufacturing Unit Process</v>
      </c>
      <c r="J84" s="33" t="str">
        <f>IF(_xlfn.IFNA(VLOOKUP(C84,Data!A:G,6,FALSE),"")=0, "Check course registration information", _xlfn.IFNA(VLOOKUP(C84,Data!A:G,6,FALSE),""))</f>
        <v>This course introduces the principles and practices of modern semiconductor manufacturing. The course is organized into three modules covering semiconductor unit processes, process integration, and statistical process control (SPC). In the second module, students examine process integration and learn how individual unit processes are combined to realize a complete CMOS fabrication flow. Each module is offered as a one-credit course, and students may take individual modules or complete all three modules for a total of three credit hours. The goal of the course is to develop a systems-level understanding of semiconductor fabrication and to provide the background needed for work in semiconductor research and industry.</v>
      </c>
      <c r="K84" s="33" t="str">
        <f>IF(_xlfn.IFNA(VLOOKUP(C84,Data!A:H,7,FALSE),"")=0, "", _xlfn.IFNA(HYPERLINK(VLOOKUP(C84,Data!A:H,7,FALSE),"Catalog Link"),""))</f>
        <v>Catalog Link</v>
      </c>
      <c r="L84" s="33" t="str">
        <f>IF(_xlfn.IFNA(VLOOKUP(C84,Data!A:I,8,FALSE),"")=0, "", _xlfn.IFNA(HYPERLINK(VLOOKUP(C84,Data!A:I,8,FALSE),"Additional Information"),""))</f>
        <v/>
      </c>
      <c r="M84" s="34">
        <f t="shared" si="2"/>
        <v>2</v>
      </c>
      <c r="AA84" s="34" t="s">
        <v>64</v>
      </c>
      <c r="AH84" s="34" t="s">
        <v>64</v>
      </c>
    </row>
    <row r="85" spans="1:64">
      <c r="A85" s="33" t="s">
        <v>1176</v>
      </c>
      <c r="B85" s="34" t="s">
        <v>225</v>
      </c>
      <c r="C85" s="34" t="s">
        <v>1216</v>
      </c>
      <c r="D85" s="33" t="s">
        <v>573</v>
      </c>
      <c r="E85" s="34">
        <v>1</v>
      </c>
      <c r="F85" s="66" t="s">
        <v>106</v>
      </c>
      <c r="H85" s="66" t="str">
        <f>IF(_xlfn.IFNA(VLOOKUP(C85,Data!A:G,5,FALSE),"")=0, "Check course registration information", _xlfn.IFNA(VLOOKUP(C85,Data!A:G,5,FALSE),""))</f>
        <v>ECE 39595 Semiconductor Manufacturing Process Integration</v>
      </c>
      <c r="J85" s="33" t="str">
        <f>IF(_xlfn.IFNA(VLOOKUP(C85,Data!A:G,6,FALSE),"")=0, "Check course registration information", _xlfn.IFNA(VLOOKUP(C85,Data!A:G,6,FALSE),""))</f>
        <v>This course introduces the principles and practices of modern semiconductor manufacturing. The course is organized into three modules covering semiconductor unit processes, process integration, and statistical process control (SPC).  In the third module, students are introduced to statistical process control and manufacturing variability, with emphasis on process monitoring, data analysis, and yield improvement. Each module is offered as a one-credit course, and students may take individual modules or complete all three modules for a total of three credit hours. The goal of the course is to develop a systems-level understanding of semiconductor fabrication and to provide the background needed for work in semiconductor research and industry.</v>
      </c>
      <c r="K85" s="33" t="str">
        <f>IF(_xlfn.IFNA(VLOOKUP(C85,Data!A:H,7,FALSE),"")=0, "", _xlfn.IFNA(HYPERLINK(VLOOKUP(C85,Data!A:H,7,FALSE),"Catalog Link"),""))</f>
        <v>Catalog Link</v>
      </c>
      <c r="L85" s="33" t="str">
        <f>IF(_xlfn.IFNA(VLOOKUP(C85,Data!A:I,8,FALSE),"")=0, "", _xlfn.IFNA(HYPERLINK(VLOOKUP(C85,Data!A:I,8,FALSE),"Additional Information"),""))</f>
        <v/>
      </c>
      <c r="M85" s="34">
        <f t="shared" si="2"/>
        <v>2</v>
      </c>
      <c r="BD85" s="34" t="s">
        <v>64</v>
      </c>
      <c r="BE85" s="34" t="s">
        <v>64</v>
      </c>
    </row>
    <row r="86" spans="1:64">
      <c r="A86" s="33" t="s">
        <v>1176</v>
      </c>
      <c r="B86" s="34" t="s">
        <v>136</v>
      </c>
      <c r="C86" s="34" t="s">
        <v>136</v>
      </c>
      <c r="D86" s="33" t="s">
        <v>137</v>
      </c>
      <c r="E86" s="34">
        <f>IF(_xlfn.IFNA(VLOOKUP(B86,Data!B:G,3,FALSE),"")=0, "", _xlfn.IFNA(VLOOKUP(B86,Data!B:G,3,FALSE),""))</f>
        <v>3</v>
      </c>
      <c r="F86" s="66" t="s">
        <v>116</v>
      </c>
      <c r="H86" s="66" t="str">
        <f>IF(_xlfn.IFNA(VLOOKUP(C86,Data!A:G,5,FALSE),"")=0, "Check course registration information", _xlfn.IFNA(VLOOKUP(C86,Data!A:G,5,FALSE),""))</f>
        <v>ECE 20002 and ECE 30500 [concurrent ok]</v>
      </c>
      <c r="J86" s="33" t="str">
        <f>IF(_xlfn.IFNA(VLOOKUP(C86,Data!A:G,6,FALSE),"")=0, "Check course registration information", _xlfn.IFNA(VLOOKUP(C86,Data!A:G,6,FALSE),""))</f>
        <v>As applied to digital integrated circuits, the MDs transistor is studied in depth-from its fabrication to its electrical characteristics. Combinational, sequential, and dynamic logic circuits are considered. While the focus of the course is on CMOS technology, bipolar, nMOS, and BiCMOS circuits are introduced as well. SPICE is used as both an analysis and design tool. Semiconductor memory circuits are also discussed</v>
      </c>
      <c r="K86" s="33" t="str">
        <f>IF(_xlfn.IFNA(VLOOKUP(C86,Data!A:H,7,FALSE),"")=0, "", _xlfn.IFNA(HYPERLINK(VLOOKUP(C86,Data!A:H,7,FALSE),"Catalog Link"),""))</f>
        <v>Catalog Link</v>
      </c>
      <c r="L86" s="33" t="str">
        <f>IF(_xlfn.IFNA(VLOOKUP(C86,Data!A:I,8,FALSE),"")=0, "", _xlfn.IFNA(HYPERLINK(VLOOKUP(C86,Data!A:I,8,FALSE),"Additional Information"),""))</f>
        <v>Additional Information</v>
      </c>
      <c r="M86" s="34">
        <f t="shared" si="2"/>
        <v>3</v>
      </c>
      <c r="N86" s="42" t="s">
        <v>63</v>
      </c>
      <c r="O86" s="42" t="s">
        <v>63</v>
      </c>
      <c r="P86" s="42" t="s">
        <v>63</v>
      </c>
      <c r="Q86" s="42" t="s">
        <v>63</v>
      </c>
      <c r="R86" s="42" t="s">
        <v>63</v>
      </c>
      <c r="S86" s="42" t="s">
        <v>63</v>
      </c>
      <c r="T86" s="42" t="s">
        <v>64</v>
      </c>
      <c r="U86" s="42" t="s">
        <v>63</v>
      </c>
      <c r="V86" s="42" t="s">
        <v>63</v>
      </c>
      <c r="W86" s="42" t="s">
        <v>63</v>
      </c>
      <c r="X86" s="42" t="s">
        <v>63</v>
      </c>
      <c r="Y86" s="42" t="s">
        <v>64</v>
      </c>
      <c r="Z86" s="42" t="s">
        <v>63</v>
      </c>
      <c r="AA86" s="42" t="s">
        <v>63</v>
      </c>
      <c r="AB86" s="42" t="s">
        <v>63</v>
      </c>
      <c r="AC86" s="42"/>
      <c r="AD86" s="42" t="s">
        <v>63</v>
      </c>
      <c r="AE86" s="42" t="s">
        <v>63</v>
      </c>
      <c r="AF86" s="42" t="s">
        <v>63</v>
      </c>
      <c r="AG86" s="42" t="s">
        <v>63</v>
      </c>
      <c r="AH86" s="42" t="s">
        <v>63</v>
      </c>
      <c r="AI86" s="42"/>
      <c r="AJ86" s="42" t="s">
        <v>63</v>
      </c>
      <c r="AK86" s="42"/>
      <c r="AL86" s="42" t="s">
        <v>63</v>
      </c>
      <c r="AM86" s="42"/>
      <c r="AN86" s="42" t="s">
        <v>63</v>
      </c>
      <c r="AO86" s="42" t="s">
        <v>63</v>
      </c>
      <c r="AP86" s="42" t="s">
        <v>63</v>
      </c>
      <c r="AQ86" s="42" t="s">
        <v>63</v>
      </c>
      <c r="AR86" s="42"/>
      <c r="AS86" s="42" t="s">
        <v>63</v>
      </c>
      <c r="AT86" s="42" t="s">
        <v>63</v>
      </c>
      <c r="AU86" s="42"/>
      <c r="AV86" s="42"/>
      <c r="AW86" s="42" t="s">
        <v>63</v>
      </c>
      <c r="AX86" s="42" t="s">
        <v>63</v>
      </c>
      <c r="AY86" s="42" t="s">
        <v>63</v>
      </c>
      <c r="AZ86" s="42" t="s">
        <v>63</v>
      </c>
      <c r="BA86" s="42"/>
      <c r="BB86" s="42" t="s">
        <v>64</v>
      </c>
      <c r="BC86" s="42" t="s">
        <v>63</v>
      </c>
      <c r="BD86" s="42" t="s">
        <v>63</v>
      </c>
      <c r="BE86" s="42" t="s">
        <v>63</v>
      </c>
      <c r="BF86" s="42" t="s">
        <v>63</v>
      </c>
      <c r="BG86" s="42" t="s">
        <v>63</v>
      </c>
      <c r="BH86" s="42" t="s">
        <v>63</v>
      </c>
      <c r="BI86" s="42" t="s">
        <v>63</v>
      </c>
      <c r="BJ86" s="42" t="s">
        <v>63</v>
      </c>
      <c r="BK86" s="42" t="s">
        <v>63</v>
      </c>
      <c r="BL86" s="42" t="s">
        <v>63</v>
      </c>
    </row>
    <row r="87" spans="1:64">
      <c r="A87" s="33" t="s">
        <v>1176</v>
      </c>
      <c r="B87" s="34" t="s">
        <v>149</v>
      </c>
      <c r="C87" s="34" t="s">
        <v>149</v>
      </c>
      <c r="D87" s="33" t="s">
        <v>150</v>
      </c>
      <c r="E87" s="34">
        <f>IF(_xlfn.IFNA(VLOOKUP(B87,Data!B:G,3,FALSE),"")=0, "", _xlfn.IFNA(VLOOKUP(B87,Data!B:G,3,FALSE),""))</f>
        <v>3</v>
      </c>
      <c r="F87" s="66" t="s">
        <v>116</v>
      </c>
      <c r="H87" s="66" t="str">
        <f>IF(_xlfn.IFNA(VLOOKUP(C87,Data!A:G,5,FALSE),"")=0, "Check course registration information", _xlfn.IFNA(VLOOKUP(C87,Data!A:G,5,FALSE),""))</f>
        <v>ECE 20002</v>
      </c>
      <c r="J87" s="33" t="str">
        <f>IF(_xlfn.IFNA(VLOOKUP(C87,Data!A:G,6,FALSE),"")=0, "Check course registration information", _xlfn.IFNA(VLOOKUP(C87,Data!A:G,6,FALSE),""))</f>
        <v>This course is a review of technology and modeling of CMOS transistors; Analysis, and design of CMOS monolithic integrated circuits for analog and mixed-signal applications. Consideration of amplifier circuit design, and fabrication techniques with circuit simulation using Cadence. Simple and advanced CMOS operational amplifiers, comparators, sample and hold circuits, switch capacitor circuits and data converters; Design of analog and mixed-signal circuit building blocks</v>
      </c>
      <c r="K87" s="33" t="str">
        <f>IF(_xlfn.IFNA(VLOOKUP(C87,Data!A:H,7,FALSE),"")=0, "", _xlfn.IFNA(HYPERLINK(VLOOKUP(C87,Data!A:H,7,FALSE),"Catalog Link"),""))</f>
        <v>Catalog Link</v>
      </c>
      <c r="L87" s="33" t="str">
        <f>IF(_xlfn.IFNA(VLOOKUP(C87,Data!A:I,8,FALSE),"")=0, "", _xlfn.IFNA(HYPERLINK(VLOOKUP(C87,Data!A:I,8,FALSE),"Additional Information"),""))</f>
        <v>Additional Information</v>
      </c>
      <c r="M87" s="34">
        <f t="shared" si="2"/>
        <v>3</v>
      </c>
      <c r="N87" s="42" t="s">
        <v>63</v>
      </c>
      <c r="O87" s="42" t="s">
        <v>63</v>
      </c>
      <c r="P87" s="42" t="s">
        <v>63</v>
      </c>
      <c r="Q87" s="42" t="s">
        <v>64</v>
      </c>
      <c r="R87" s="42" t="s">
        <v>63</v>
      </c>
      <c r="S87" s="42" t="s">
        <v>63</v>
      </c>
      <c r="T87" s="42" t="s">
        <v>63</v>
      </c>
      <c r="U87" s="42" t="s">
        <v>63</v>
      </c>
      <c r="V87" s="42" t="s">
        <v>63</v>
      </c>
      <c r="W87" s="42" t="s">
        <v>63</v>
      </c>
      <c r="X87" s="42" t="s">
        <v>63</v>
      </c>
      <c r="Y87" s="42" t="s">
        <v>64</v>
      </c>
      <c r="Z87" s="42" t="s">
        <v>63</v>
      </c>
      <c r="AA87" s="42" t="s">
        <v>63</v>
      </c>
      <c r="AB87" s="42" t="s">
        <v>63</v>
      </c>
      <c r="AC87" s="42"/>
      <c r="AD87" s="42" t="s">
        <v>63</v>
      </c>
      <c r="AE87" s="42" t="s">
        <v>63</v>
      </c>
      <c r="AF87" s="42" t="s">
        <v>63</v>
      </c>
      <c r="AG87" s="42" t="s">
        <v>63</v>
      </c>
      <c r="AH87" s="42" t="s">
        <v>63</v>
      </c>
      <c r="AI87" s="42"/>
      <c r="AJ87" s="42" t="s">
        <v>63</v>
      </c>
      <c r="AK87" s="42"/>
      <c r="AL87" s="42" t="s">
        <v>63</v>
      </c>
      <c r="AM87" s="42"/>
      <c r="AN87" s="42" t="s">
        <v>63</v>
      </c>
      <c r="AO87" s="42" t="s">
        <v>63</v>
      </c>
      <c r="AP87" s="42" t="s">
        <v>63</v>
      </c>
      <c r="AQ87" s="42" t="s">
        <v>63</v>
      </c>
      <c r="AR87" s="42"/>
      <c r="AS87" s="42" t="s">
        <v>63</v>
      </c>
      <c r="AT87" s="42" t="s">
        <v>63</v>
      </c>
      <c r="AU87" s="42"/>
      <c r="AV87" s="42"/>
      <c r="AW87" s="42" t="s">
        <v>63</v>
      </c>
      <c r="AX87" s="42" t="s">
        <v>63</v>
      </c>
      <c r="AY87" s="42" t="s">
        <v>63</v>
      </c>
      <c r="AZ87" s="42" t="s">
        <v>63</v>
      </c>
      <c r="BA87" s="42"/>
      <c r="BB87" s="42" t="s">
        <v>64</v>
      </c>
      <c r="BC87" s="42" t="s">
        <v>63</v>
      </c>
      <c r="BD87" s="42" t="s">
        <v>63</v>
      </c>
      <c r="BE87" s="42" t="s">
        <v>63</v>
      </c>
      <c r="BF87" s="42" t="s">
        <v>63</v>
      </c>
      <c r="BG87" s="42" t="s">
        <v>63</v>
      </c>
      <c r="BH87" s="42" t="s">
        <v>63</v>
      </c>
      <c r="BI87" s="42" t="s">
        <v>63</v>
      </c>
      <c r="BJ87" s="42" t="s">
        <v>63</v>
      </c>
      <c r="BK87" s="42" t="s">
        <v>63</v>
      </c>
      <c r="BL87" s="42" t="s">
        <v>63</v>
      </c>
    </row>
    <row r="88" spans="1:64">
      <c r="A88" s="33" t="s">
        <v>1177</v>
      </c>
      <c r="B88" s="34" t="s">
        <v>228</v>
      </c>
      <c r="C88" s="34" t="s">
        <v>228</v>
      </c>
      <c r="D88" s="33" t="s">
        <v>229</v>
      </c>
      <c r="E88" s="34">
        <f>IF(_xlfn.IFNA(VLOOKUP(B88,Data!B:G,3,FALSE),"")=0, "", _xlfn.IFNA(VLOOKUP(B88,Data!B:G,3,FALSE),""))</f>
        <v>3</v>
      </c>
      <c r="F88" s="33" t="s">
        <v>1175</v>
      </c>
      <c r="G88" s="33"/>
      <c r="H88" s="33" t="str">
        <f>IF(_xlfn.IFNA(VLOOKUP(C88,Data!A:G,5,FALSE),"")=0, "Check course registration information", _xlfn.IFNA(VLOOKUP(C88,Data!A:G,5,FALSE),""))</f>
        <v>ECE 20002 or ECE 25500</v>
      </c>
      <c r="J88" s="33" t="str">
        <f>IF(_xlfn.IFNA(VLOOKUP(C88,Data!A:G,6,FALSE),"")=0, "Check course registration information", _xlfn.IFNA(VLOOKUP(C88,Data!A:G,6,FALSE),""))</f>
        <v>Introduction to the fundamental operating principles of power conditioning circuits that are currently being used to effect power flow from AC to DC and vice versa. Emphasis is on the relationship between form and function of these circuits. Circuits discussed will include AC/DC line-commutated converters, DC/DC converters, DC/variable frequency converters, resonant converters, and AC/AC converters. Computer simulations will be used as a part of the coursework</v>
      </c>
      <c r="K88" s="33" t="str">
        <f>IF(_xlfn.IFNA(VLOOKUP(C88,Data!A:H,7,FALSE),"")=0, "", _xlfn.IFNA(HYPERLINK(VLOOKUP(C88,Data!A:H,7,FALSE),"Catalog Link"),""))</f>
        <v>Catalog Link</v>
      </c>
      <c r="L88" s="33" t="str">
        <f>IF(_xlfn.IFNA(VLOOKUP(C88,Data!A:I,8,FALSE),"")=0, "", _xlfn.IFNA(HYPERLINK(VLOOKUP(C88,Data!A:I,8,FALSE),"Additional Information"),""))</f>
        <v>Additional Information</v>
      </c>
      <c r="M88" s="34">
        <f t="shared" si="2"/>
        <v>2</v>
      </c>
      <c r="N88" s="42" t="s">
        <v>63</v>
      </c>
      <c r="O88" s="42" t="s">
        <v>63</v>
      </c>
      <c r="P88" s="42" t="s">
        <v>63</v>
      </c>
      <c r="Q88" s="42" t="s">
        <v>63</v>
      </c>
      <c r="R88" s="42" t="s">
        <v>63</v>
      </c>
      <c r="S88" s="42" t="s">
        <v>63</v>
      </c>
      <c r="T88" s="42" t="s">
        <v>63</v>
      </c>
      <c r="U88" s="42" t="s">
        <v>63</v>
      </c>
      <c r="V88" s="42" t="s">
        <v>63</v>
      </c>
      <c r="W88" s="42" t="s">
        <v>63</v>
      </c>
      <c r="X88" s="42" t="s">
        <v>63</v>
      </c>
      <c r="Y88" s="42" t="s">
        <v>63</v>
      </c>
      <c r="Z88" s="42" t="s">
        <v>63</v>
      </c>
      <c r="AA88" s="43" t="s">
        <v>63</v>
      </c>
      <c r="AB88" s="42" t="s">
        <v>63</v>
      </c>
      <c r="AC88" s="42"/>
      <c r="AD88" s="42" t="s">
        <v>63</v>
      </c>
      <c r="AE88" s="42" t="s">
        <v>63</v>
      </c>
      <c r="AF88" s="42" t="s">
        <v>63</v>
      </c>
      <c r="AG88" s="42" t="s">
        <v>63</v>
      </c>
      <c r="AH88" s="42" t="s">
        <v>63</v>
      </c>
      <c r="AI88" s="42"/>
      <c r="AJ88" s="42" t="s">
        <v>63</v>
      </c>
      <c r="AK88" s="42"/>
      <c r="AL88" s="42" t="s">
        <v>63</v>
      </c>
      <c r="AM88" s="42"/>
      <c r="AN88" s="42" t="s">
        <v>63</v>
      </c>
      <c r="AO88" s="42" t="s">
        <v>63</v>
      </c>
      <c r="AP88" s="42" t="s">
        <v>63</v>
      </c>
      <c r="AQ88" s="42" t="s">
        <v>64</v>
      </c>
      <c r="AR88" s="42"/>
      <c r="AS88" s="42" t="s">
        <v>63</v>
      </c>
      <c r="AT88" s="42" t="s">
        <v>63</v>
      </c>
      <c r="AU88" s="42"/>
      <c r="AV88" s="42"/>
      <c r="AW88" s="42" t="s">
        <v>63</v>
      </c>
      <c r="AX88" s="42" t="s">
        <v>63</v>
      </c>
      <c r="AY88" s="42" t="s">
        <v>63</v>
      </c>
      <c r="AZ88" s="42" t="s">
        <v>63</v>
      </c>
      <c r="BA88" s="42"/>
      <c r="BB88" s="42" t="s">
        <v>64</v>
      </c>
      <c r="BC88" s="42" t="s">
        <v>63</v>
      </c>
      <c r="BD88" s="42" t="s">
        <v>63</v>
      </c>
      <c r="BE88" s="42" t="s">
        <v>63</v>
      </c>
      <c r="BF88" s="42" t="s">
        <v>63</v>
      </c>
      <c r="BG88" s="42" t="s">
        <v>63</v>
      </c>
      <c r="BH88" s="42" t="s">
        <v>63</v>
      </c>
      <c r="BI88" s="42" t="s">
        <v>63</v>
      </c>
      <c r="BJ88" s="42" t="s">
        <v>63</v>
      </c>
      <c r="BK88" s="42" t="s">
        <v>63</v>
      </c>
      <c r="BL88" s="42" t="s">
        <v>63</v>
      </c>
    </row>
    <row r="89" spans="1:64">
      <c r="A89" s="33" t="s">
        <v>1177</v>
      </c>
      <c r="B89" s="34" t="s">
        <v>230</v>
      </c>
      <c r="C89" s="34" t="s">
        <v>230</v>
      </c>
      <c r="D89" s="33" t="s">
        <v>231</v>
      </c>
      <c r="E89" s="34">
        <f>IF(_xlfn.IFNA(VLOOKUP(B89,Data!B:G,3,FALSE),"")=0, "", _xlfn.IFNA(VLOOKUP(B89,Data!B:G,3,FALSE),""))</f>
        <v>4</v>
      </c>
      <c r="F89" s="33" t="s">
        <v>1175</v>
      </c>
      <c r="G89" s="33"/>
      <c r="H89" s="33" t="str">
        <f>IF(_xlfn.IFNA(VLOOKUP(C89,Data!A:G,5,FALSE),"")=0, "Check course registration information", _xlfn.IFNA(VLOOKUP(C89,Data!A:G,5,FALSE),""))</f>
        <v>ECE 33700 and ECE 36200</v>
      </c>
      <c r="J89" s="33" t="str">
        <f>IF(_xlfn.IFNA(VLOOKUP(C89,Data!A:G,6,FALSE),"")=0, "Check course registration information", _xlfn.IFNA(VLOOKUP(C89,Data!A:G,6,FALSE),""))</f>
        <v>An introduction to computer organization and design, including instruction set selection, arithmetic logic unit design, data path design, control strategies, pipelining, memory hierarchy, and I/O interface design</v>
      </c>
      <c r="K89" s="33" t="str">
        <f>IF(_xlfn.IFNA(VLOOKUP(C89,Data!A:H,7,FALSE),"")=0, "", _xlfn.IFNA(HYPERLINK(VLOOKUP(C89,Data!A:H,7,FALSE),"Catalog Link"),""))</f>
        <v>Catalog Link</v>
      </c>
      <c r="L89" s="33" t="str">
        <f>IF(_xlfn.IFNA(VLOOKUP(C89,Data!A:I,8,FALSE),"")=0, "", _xlfn.IFNA(HYPERLINK(VLOOKUP(C89,Data!A:I,8,FALSE),"Additional Information"),""))</f>
        <v>Additional Information</v>
      </c>
      <c r="M89" s="34">
        <f t="shared" si="2"/>
        <v>5</v>
      </c>
      <c r="N89" s="42" t="s">
        <v>63</v>
      </c>
      <c r="O89" s="42" t="s">
        <v>63</v>
      </c>
      <c r="P89" s="42" t="s">
        <v>63</v>
      </c>
      <c r="Q89" s="42" t="s">
        <v>63</v>
      </c>
      <c r="R89" s="42" t="s">
        <v>64</v>
      </c>
      <c r="S89" s="42" t="s">
        <v>63</v>
      </c>
      <c r="T89" s="42" t="s">
        <v>63</v>
      </c>
      <c r="U89" s="42" t="s">
        <v>63</v>
      </c>
      <c r="V89" s="42" t="s">
        <v>63</v>
      </c>
      <c r="W89" s="42" t="s">
        <v>63</v>
      </c>
      <c r="X89" s="42" t="s">
        <v>63</v>
      </c>
      <c r="Y89" s="42" t="s">
        <v>63</v>
      </c>
      <c r="Z89" s="42" t="s">
        <v>63</v>
      </c>
      <c r="AA89" s="43" t="s">
        <v>63</v>
      </c>
      <c r="AB89" s="42" t="s">
        <v>63</v>
      </c>
      <c r="AC89" s="42"/>
      <c r="AD89" s="42" t="s">
        <v>64</v>
      </c>
      <c r="AE89" s="42" t="s">
        <v>64</v>
      </c>
      <c r="AF89" s="42" t="s">
        <v>63</v>
      </c>
      <c r="AG89" s="42" t="s">
        <v>63</v>
      </c>
      <c r="AH89" s="42" t="s">
        <v>63</v>
      </c>
      <c r="AI89" s="42"/>
      <c r="AJ89" s="42" t="s">
        <v>63</v>
      </c>
      <c r="AK89" s="42"/>
      <c r="AL89" s="42" t="s">
        <v>63</v>
      </c>
      <c r="AM89" s="42"/>
      <c r="AN89" s="42" t="s">
        <v>63</v>
      </c>
      <c r="AO89" s="42" t="s">
        <v>63</v>
      </c>
      <c r="AP89" s="42" t="s">
        <v>63</v>
      </c>
      <c r="AQ89" s="42" t="s">
        <v>63</v>
      </c>
      <c r="AR89" s="42"/>
      <c r="AS89" s="42" t="s">
        <v>63</v>
      </c>
      <c r="AT89" s="42" t="s">
        <v>64</v>
      </c>
      <c r="AU89" s="42"/>
      <c r="AV89" s="42"/>
      <c r="AW89" s="42" t="s">
        <v>63</v>
      </c>
      <c r="AX89" s="42" t="s">
        <v>63</v>
      </c>
      <c r="AY89" s="42" t="s">
        <v>63</v>
      </c>
      <c r="AZ89" s="42" t="s">
        <v>63</v>
      </c>
      <c r="BA89" s="42"/>
      <c r="BB89" s="42" t="s">
        <v>64</v>
      </c>
      <c r="BC89" s="42" t="s">
        <v>63</v>
      </c>
      <c r="BD89" s="42" t="s">
        <v>63</v>
      </c>
      <c r="BE89" s="42" t="s">
        <v>63</v>
      </c>
      <c r="BF89" s="42" t="s">
        <v>63</v>
      </c>
      <c r="BG89" s="42" t="s">
        <v>63</v>
      </c>
      <c r="BH89" s="42" t="s">
        <v>63</v>
      </c>
      <c r="BI89" s="42" t="s">
        <v>63</v>
      </c>
      <c r="BJ89" s="42" t="s">
        <v>63</v>
      </c>
      <c r="BK89" s="42" t="s">
        <v>63</v>
      </c>
      <c r="BL89" s="42" t="s">
        <v>63</v>
      </c>
    </row>
    <row r="90" spans="1:64">
      <c r="A90" s="33" t="s">
        <v>1176</v>
      </c>
      <c r="B90" s="34" t="s">
        <v>245</v>
      </c>
      <c r="C90" s="34" t="s">
        <v>245</v>
      </c>
      <c r="D90" s="33" t="s">
        <v>246</v>
      </c>
      <c r="E90" s="34">
        <f>IF(_xlfn.IFNA(VLOOKUP(B90,Data!B:G,3,FALSE),"")=0, "", _xlfn.IFNA(VLOOKUP(B90,Data!B:G,3,FALSE),""))</f>
        <v>3</v>
      </c>
      <c r="F90" s="66" t="s">
        <v>241</v>
      </c>
      <c r="H90" s="66" t="str">
        <f>IF(_xlfn.IFNA(VLOOKUP(C90,Data!A:G,5,FALSE),"")=0, "Check course registration information", _xlfn.IFNA(VLOOKUP(C90,Data!A:G,5,FALSE),""))</f>
        <v>MA 26600 and MA 26500) or MA 26200</v>
      </c>
      <c r="J90" s="33" t="str">
        <f>IF(_xlfn.IFNA(VLOOKUP(C90,Data!A:G,6,FALSE),"")=0, "Check course registration information", _xlfn.IFNA(VLOOKUP(C90,Data!A:G,6,FALSE),""))</f>
        <v>Nanoelectronic devices are an integral part of our life, including the billion-plus transistors in every smartphone, each of which has an active region that is only a few hundred atoms long. This course is designed to convey the key concepts developed in the last 25 years which constitute the fundamentals of nanoelectronics and mesoscopic physics, assuming a minimal set of prerequisites. Topics covered include the new Ohm's law, conductance quantization, the nanotransistor, spin valves, thermoelectricity, quantum systems and the non-equilibrium Green's function (NEGF) method</v>
      </c>
      <c r="K90" s="33" t="str">
        <f>IF(_xlfn.IFNA(VLOOKUP(C90,Data!A:H,7,FALSE),"")=0, "", _xlfn.IFNA(HYPERLINK(VLOOKUP(C90,Data!A:H,7,FALSE),"Catalog Link"),""))</f>
        <v>Catalog Link</v>
      </c>
      <c r="L90" s="33" t="str">
        <f>IF(_xlfn.IFNA(VLOOKUP(C90,Data!A:I,8,FALSE),"")=0, "", _xlfn.IFNA(HYPERLINK(VLOOKUP(C90,Data!A:I,8,FALSE),"Additional Information"),""))</f>
        <v>Additional Information</v>
      </c>
      <c r="M90" s="34">
        <f t="shared" si="2"/>
        <v>2</v>
      </c>
      <c r="N90" s="42" t="s">
        <v>63</v>
      </c>
      <c r="O90" s="42" t="s">
        <v>63</v>
      </c>
      <c r="P90" s="42" t="s">
        <v>63</v>
      </c>
      <c r="Q90" s="42" t="s">
        <v>63</v>
      </c>
      <c r="R90" s="42" t="s">
        <v>63</v>
      </c>
      <c r="S90" s="42" t="s">
        <v>63</v>
      </c>
      <c r="T90" s="42" t="s">
        <v>63</v>
      </c>
      <c r="U90" s="42" t="s">
        <v>63</v>
      </c>
      <c r="V90" s="42" t="s">
        <v>63</v>
      </c>
      <c r="W90" s="42" t="s">
        <v>63</v>
      </c>
      <c r="X90" s="42" t="s">
        <v>63</v>
      </c>
      <c r="Y90" s="42" t="s">
        <v>63</v>
      </c>
      <c r="Z90" s="42" t="s">
        <v>63</v>
      </c>
      <c r="AA90" s="42" t="s">
        <v>63</v>
      </c>
      <c r="AB90" s="42" t="s">
        <v>63</v>
      </c>
      <c r="AC90" s="42"/>
      <c r="AD90" s="42" t="s">
        <v>63</v>
      </c>
      <c r="AE90" s="42" t="s">
        <v>63</v>
      </c>
      <c r="AF90" s="42" t="s">
        <v>63</v>
      </c>
      <c r="AG90" s="42" t="s">
        <v>63</v>
      </c>
      <c r="AH90" s="42" t="s">
        <v>63</v>
      </c>
      <c r="AI90" s="42"/>
      <c r="AJ90" s="42" t="s">
        <v>63</v>
      </c>
      <c r="AK90" s="42"/>
      <c r="AL90" s="42" t="s">
        <v>63</v>
      </c>
      <c r="AM90" s="42" t="s">
        <v>64</v>
      </c>
      <c r="AN90" s="42" t="s">
        <v>63</v>
      </c>
      <c r="AO90" s="42" t="s">
        <v>63</v>
      </c>
      <c r="AP90" s="42" t="s">
        <v>63</v>
      </c>
      <c r="AQ90" s="42" t="s">
        <v>63</v>
      </c>
      <c r="AR90" s="42"/>
      <c r="AS90" s="42" t="s">
        <v>63</v>
      </c>
      <c r="AT90" s="42" t="s">
        <v>63</v>
      </c>
      <c r="AU90" s="42"/>
      <c r="AV90" s="42"/>
      <c r="AW90" s="42" t="s">
        <v>63</v>
      </c>
      <c r="AX90" s="42" t="s">
        <v>63</v>
      </c>
      <c r="AY90" s="42" t="s">
        <v>63</v>
      </c>
      <c r="AZ90" s="42" t="s">
        <v>63</v>
      </c>
      <c r="BA90" s="42"/>
      <c r="BB90" s="42" t="s">
        <v>64</v>
      </c>
      <c r="BC90" s="42" t="s">
        <v>63</v>
      </c>
      <c r="BD90" s="42" t="s">
        <v>63</v>
      </c>
      <c r="BE90" s="42" t="s">
        <v>63</v>
      </c>
      <c r="BF90" s="42" t="s">
        <v>63</v>
      </c>
      <c r="BG90" s="42" t="s">
        <v>63</v>
      </c>
      <c r="BH90" s="42" t="s">
        <v>63</v>
      </c>
      <c r="BI90" s="42" t="s">
        <v>63</v>
      </c>
      <c r="BJ90" s="42" t="s">
        <v>63</v>
      </c>
      <c r="BK90" s="42" t="s">
        <v>63</v>
      </c>
      <c r="BL90" s="42" t="s">
        <v>63</v>
      </c>
    </row>
    <row r="91" spans="1:64">
      <c r="A91" s="33" t="s">
        <v>1176</v>
      </c>
      <c r="B91" s="34" t="s">
        <v>233</v>
      </c>
      <c r="C91" s="34" t="s">
        <v>233</v>
      </c>
      <c r="D91" s="33" t="s">
        <v>235</v>
      </c>
      <c r="E91" s="34">
        <f>IF(_xlfn.IFNA(VLOOKUP(B91,Data!B:G,3,FALSE),"")=0, "", _xlfn.IFNA(VLOOKUP(B91,Data!B:G,3,FALSE),""))</f>
        <v>3</v>
      </c>
      <c r="F91" s="66" t="s">
        <v>116</v>
      </c>
      <c r="H91" s="66" t="str">
        <f>IF(_xlfn.IFNA(VLOOKUP(C91,Data!A:G,5,FALSE),"")=0, "Check course registration information", _xlfn.IFNA(VLOOKUP(C91,Data!A:G,5,FALSE),""))</f>
        <v>ECE 20002 or (ECE 20200 and ECE 25500) and ECE 30500 [concurrent ok]</v>
      </c>
      <c r="J91" s="33" t="str">
        <f>IF(_xlfn.IFNA(VLOOKUP(C91,Data!A:G,6,FALSE),"")=0, "Check course registration information", _xlfn.IFNA(VLOOKUP(C91,Data!A:G,6,FALSE),""))</f>
        <v>Analysis, design, and fabrication of silicon bipolar and MOSFET monolithic integrated circuits. Consideration of amplifier circuit design and fabrication techniques with circuit simulation using Spice-2. Integrated operational amplifiers with difference amplifiers, current sources, active loads, and voltage references. Design of IC analog circuit building blocks</v>
      </c>
      <c r="K91" s="33" t="str">
        <f>IF(_xlfn.IFNA(VLOOKUP(C91,Data!A:H,7,FALSE),"")=0, "", _xlfn.IFNA(HYPERLINK(VLOOKUP(C91,Data!A:H,7,FALSE),"Catalog Link"),""))</f>
        <v>Catalog Link</v>
      </c>
      <c r="L91" s="33" t="str">
        <f>IF(_xlfn.IFNA(VLOOKUP(C91,Data!A:I,8,FALSE),"")=0, "", _xlfn.IFNA(HYPERLINK(VLOOKUP(C91,Data!A:I,8,FALSE),"Additional Information"),""))</f>
        <v>Additional Information</v>
      </c>
      <c r="M91" s="34">
        <f t="shared" si="2"/>
        <v>3</v>
      </c>
      <c r="N91" s="42" t="s">
        <v>63</v>
      </c>
      <c r="O91" s="42" t="s">
        <v>63</v>
      </c>
      <c r="P91" s="42" t="s">
        <v>63</v>
      </c>
      <c r="Q91" s="42" t="s">
        <v>64</v>
      </c>
      <c r="R91" s="42" t="s">
        <v>63</v>
      </c>
      <c r="S91" s="42" t="s">
        <v>63</v>
      </c>
      <c r="T91" s="42" t="s">
        <v>63</v>
      </c>
      <c r="U91" s="42" t="s">
        <v>63</v>
      </c>
      <c r="V91" s="42" t="s">
        <v>63</v>
      </c>
      <c r="W91" s="42" t="s">
        <v>63</v>
      </c>
      <c r="X91" s="42" t="s">
        <v>63</v>
      </c>
      <c r="Y91" s="42" t="s">
        <v>64</v>
      </c>
      <c r="Z91" s="42" t="s">
        <v>63</v>
      </c>
      <c r="AA91" s="42" t="s">
        <v>63</v>
      </c>
      <c r="AB91" s="42" t="s">
        <v>63</v>
      </c>
      <c r="AC91" s="42"/>
      <c r="AD91" s="42" t="s">
        <v>63</v>
      </c>
      <c r="AE91" s="42" t="s">
        <v>63</v>
      </c>
      <c r="AF91" s="42" t="s">
        <v>63</v>
      </c>
      <c r="AG91" s="42" t="s">
        <v>63</v>
      </c>
      <c r="AH91" s="42" t="s">
        <v>63</v>
      </c>
      <c r="AI91" s="42"/>
      <c r="AJ91" s="42" t="s">
        <v>63</v>
      </c>
      <c r="AK91" s="42"/>
      <c r="AL91" s="42" t="s">
        <v>63</v>
      </c>
      <c r="AM91" s="42"/>
      <c r="AN91" s="42" t="s">
        <v>63</v>
      </c>
      <c r="AO91" s="42" t="s">
        <v>63</v>
      </c>
      <c r="AP91" s="42" t="s">
        <v>63</v>
      </c>
      <c r="AQ91" s="42" t="s">
        <v>63</v>
      </c>
      <c r="AR91" s="42"/>
      <c r="AS91" s="42" t="s">
        <v>63</v>
      </c>
      <c r="AT91" s="42" t="s">
        <v>63</v>
      </c>
      <c r="AU91" s="42"/>
      <c r="AV91" s="42"/>
      <c r="AW91" s="42" t="s">
        <v>63</v>
      </c>
      <c r="AX91" s="42" t="s">
        <v>63</v>
      </c>
      <c r="AY91" s="42" t="s">
        <v>63</v>
      </c>
      <c r="AZ91" s="42" t="s">
        <v>63</v>
      </c>
      <c r="BA91" s="42"/>
      <c r="BB91" s="42" t="s">
        <v>64</v>
      </c>
      <c r="BC91" s="42" t="s">
        <v>63</v>
      </c>
      <c r="BD91" s="42" t="s">
        <v>63</v>
      </c>
      <c r="BE91" s="42" t="s">
        <v>63</v>
      </c>
      <c r="BF91" s="42" t="s">
        <v>63</v>
      </c>
      <c r="BG91" s="42" t="s">
        <v>63</v>
      </c>
      <c r="BH91" s="42" t="s">
        <v>63</v>
      </c>
      <c r="BI91" s="42" t="s">
        <v>63</v>
      </c>
      <c r="BJ91" s="42" t="s">
        <v>63</v>
      </c>
      <c r="BK91" s="42" t="s">
        <v>63</v>
      </c>
      <c r="BL91" s="42" t="s">
        <v>63</v>
      </c>
    </row>
    <row r="92" spans="1:64">
      <c r="A92" s="33" t="s">
        <v>1176</v>
      </c>
      <c r="B92" s="34" t="s">
        <v>236</v>
      </c>
      <c r="C92" s="34" t="s">
        <v>236</v>
      </c>
      <c r="D92" s="33" t="s">
        <v>237</v>
      </c>
      <c r="E92" s="34">
        <f>IF(_xlfn.IFNA(VLOOKUP(B92,Data!B:G,3,FALSE),"")=0, "", _xlfn.IFNA(VLOOKUP(B92,Data!B:G,3,FALSE),""))</f>
        <v>3</v>
      </c>
      <c r="F92" s="66" t="s">
        <v>116</v>
      </c>
      <c r="H92" s="66" t="str">
        <f>IF(_xlfn.IFNA(VLOOKUP(C92,Data!A:G,5,FALSE),"")=0, "Check course registration information", _xlfn.IFNA(VLOOKUP(C92,Data!A:G,5,FALSE),""))</f>
        <v>ECE 20002 or (ECE 20200 and ECE 25500) and ECE 27000 and ECE 30500</v>
      </c>
      <c r="J92" s="33" t="str">
        <f>IF(_xlfn.IFNA(VLOOKUP(C92,Data!A:G,6,FALSE),"")=0, "Check course registration information", _xlfn.IFNA(VLOOKUP(C92,Data!A:G,6,FALSE),""))</f>
        <v>As applied to digital integrated circuits, the MDs transistor is studied in depth-from its fabrication to its electrical characteristics. Combinational, sequential, and dynamic logic circuits are considered. While the focus of the course is on CMOS technology, bipolar, nMOS, and BiCMOS circuits are introduced as well. SPICE is used as both an analysis and design tool. Semiconductor memory circuits are also discussed</v>
      </c>
      <c r="K92" s="33" t="str">
        <f>IF(_xlfn.IFNA(VLOOKUP(C92,Data!A:H,7,FALSE),"")=0, "", _xlfn.IFNA(HYPERLINK(VLOOKUP(C92,Data!A:H,7,FALSE),"Catalog Link"),""))</f>
        <v>Catalog Link</v>
      </c>
      <c r="L92" s="33" t="str">
        <f>IF(_xlfn.IFNA(VLOOKUP(C92,Data!A:I,8,FALSE),"")=0, "", _xlfn.IFNA(HYPERLINK(VLOOKUP(C92,Data!A:I,8,FALSE),"Additional Information"),""))</f>
        <v>Additional Information</v>
      </c>
      <c r="M92" s="34">
        <f t="shared" si="2"/>
        <v>3</v>
      </c>
      <c r="N92" s="42" t="s">
        <v>63</v>
      </c>
      <c r="O92" s="42" t="s">
        <v>63</v>
      </c>
      <c r="P92" s="42" t="s">
        <v>63</v>
      </c>
      <c r="Q92" s="42" t="s">
        <v>63</v>
      </c>
      <c r="R92" s="42" t="s">
        <v>63</v>
      </c>
      <c r="S92" s="42" t="s">
        <v>63</v>
      </c>
      <c r="T92" s="42" t="s">
        <v>64</v>
      </c>
      <c r="U92" s="42" t="s">
        <v>63</v>
      </c>
      <c r="V92" s="42" t="s">
        <v>63</v>
      </c>
      <c r="W92" s="42" t="s">
        <v>63</v>
      </c>
      <c r="X92" s="42" t="s">
        <v>63</v>
      </c>
      <c r="Y92" s="42" t="s">
        <v>64</v>
      </c>
      <c r="Z92" s="42" t="s">
        <v>63</v>
      </c>
      <c r="AA92" s="42" t="s">
        <v>63</v>
      </c>
      <c r="AB92" s="42" t="s">
        <v>63</v>
      </c>
      <c r="AC92" s="42"/>
      <c r="AD92" s="42" t="s">
        <v>63</v>
      </c>
      <c r="AE92" s="42" t="s">
        <v>63</v>
      </c>
      <c r="AF92" s="42" t="s">
        <v>63</v>
      </c>
      <c r="AG92" s="42" t="s">
        <v>63</v>
      </c>
      <c r="AH92" s="42" t="s">
        <v>63</v>
      </c>
      <c r="AI92" s="42"/>
      <c r="AJ92" s="42" t="s">
        <v>63</v>
      </c>
      <c r="AK92" s="42"/>
      <c r="AL92" s="42" t="s">
        <v>63</v>
      </c>
      <c r="AM92" s="42"/>
      <c r="AN92" s="42" t="s">
        <v>63</v>
      </c>
      <c r="AO92" s="42" t="s">
        <v>63</v>
      </c>
      <c r="AP92" s="42" t="s">
        <v>63</v>
      </c>
      <c r="AQ92" s="42" t="s">
        <v>63</v>
      </c>
      <c r="AR92" s="42"/>
      <c r="AS92" s="42" t="s">
        <v>63</v>
      </c>
      <c r="AT92" s="42" t="s">
        <v>63</v>
      </c>
      <c r="AU92" s="42"/>
      <c r="AV92" s="42"/>
      <c r="AW92" s="42" t="s">
        <v>63</v>
      </c>
      <c r="AX92" s="42" t="s">
        <v>63</v>
      </c>
      <c r="AY92" s="42" t="s">
        <v>63</v>
      </c>
      <c r="AZ92" s="42" t="s">
        <v>63</v>
      </c>
      <c r="BA92" s="42"/>
      <c r="BB92" s="42" t="s">
        <v>64</v>
      </c>
      <c r="BC92" s="42" t="s">
        <v>63</v>
      </c>
      <c r="BD92" s="42" t="s">
        <v>63</v>
      </c>
      <c r="BE92" s="42" t="s">
        <v>63</v>
      </c>
      <c r="BF92" s="42" t="s">
        <v>63</v>
      </c>
      <c r="BG92" s="42" t="s">
        <v>63</v>
      </c>
      <c r="BH92" s="42" t="s">
        <v>63</v>
      </c>
      <c r="BI92" s="42" t="s">
        <v>63</v>
      </c>
      <c r="BJ92" s="42" t="s">
        <v>63</v>
      </c>
      <c r="BK92" s="42" t="s">
        <v>63</v>
      </c>
      <c r="BL92" s="42" t="s">
        <v>63</v>
      </c>
    </row>
    <row r="93" spans="1:64">
      <c r="A93" s="33" t="s">
        <v>1176</v>
      </c>
      <c r="B93" s="34" t="s">
        <v>247</v>
      </c>
      <c r="C93" s="34" t="s">
        <v>247</v>
      </c>
      <c r="D93" s="33" t="s">
        <v>248</v>
      </c>
      <c r="E93" s="34">
        <f>IF(_xlfn.IFNA(VLOOKUP(B93,Data!B:G,3,FALSE),"")=0, "", _xlfn.IFNA(VLOOKUP(B93,Data!B:G,3,FALSE),""))</f>
        <v>3</v>
      </c>
      <c r="F93" s="66" t="s">
        <v>241</v>
      </c>
      <c r="H93" s="66" t="str">
        <f>IF(_xlfn.IFNA(VLOOKUP(C93,Data!A:G,5,FALSE),"")=0, "Check course registration information", _xlfn.IFNA(VLOOKUP(C93,Data!A:G,5,FALSE),""))</f>
        <v>ECE 30500 or MSE 37000 or ME 31500 or ME 36300 or CHE 37800 or PHYS 33000 or CHM 37000</v>
      </c>
      <c r="J93" s="33" t="str">
        <f>IF(_xlfn.IFNA(VLOOKUP(C93,Data!A:G,6,FALSE),"")=0, "Check course registration information", _xlfn.IFNA(VLOOKUP(C93,Data!A:G,6,FALSE),""))</f>
        <v>This course introduces the electronic, optical and material properties and the manufacturing of photovoltaic devices. Topics include electronic charge separation, transportation and recombination; optical concentration, trapping and confinement; material preparations in photovoltaic systems; bulk crystal, thin-film and organic photovoltaic device configurations; energy storage; as well as emerging concepts in photovoltaics. Discussions also involve the process and equipment for the manufacturing of various photovoltaic modules, with special emphasis on driving down the cost of photovoltaic systems</v>
      </c>
      <c r="K93" s="33" t="str">
        <f>IF(_xlfn.IFNA(VLOOKUP(C93,Data!A:H,7,FALSE),"")=0, "", _xlfn.IFNA(HYPERLINK(VLOOKUP(C93,Data!A:H,7,FALSE),"Catalog Link"),""))</f>
        <v>Catalog Link</v>
      </c>
      <c r="L93" s="33" t="str">
        <f>IF(_xlfn.IFNA(VLOOKUP(C93,Data!A:I,8,FALSE),"")=0, "", _xlfn.IFNA(HYPERLINK(VLOOKUP(C93,Data!A:I,8,FALSE),"Additional Information"),""))</f>
        <v>Additional Information</v>
      </c>
      <c r="M93" s="34">
        <f t="shared" si="2"/>
        <v>3</v>
      </c>
      <c r="N93" s="42" t="s">
        <v>63</v>
      </c>
      <c r="O93" s="42" t="s">
        <v>63</v>
      </c>
      <c r="P93" s="42" t="s">
        <v>63</v>
      </c>
      <c r="Q93" s="42" t="s">
        <v>63</v>
      </c>
      <c r="R93" s="42" t="s">
        <v>63</v>
      </c>
      <c r="S93" s="42" t="s">
        <v>63</v>
      </c>
      <c r="T93" s="42" t="s">
        <v>63</v>
      </c>
      <c r="U93" s="42" t="s">
        <v>63</v>
      </c>
      <c r="V93" s="42" t="s">
        <v>63</v>
      </c>
      <c r="W93" s="42" t="s">
        <v>63</v>
      </c>
      <c r="X93" s="42" t="s">
        <v>63</v>
      </c>
      <c r="Y93" s="42" t="s">
        <v>64</v>
      </c>
      <c r="Z93" s="42" t="s">
        <v>63</v>
      </c>
      <c r="AA93" s="42" t="s">
        <v>63</v>
      </c>
      <c r="AB93" s="42" t="s">
        <v>64</v>
      </c>
      <c r="AC93" s="42"/>
      <c r="AD93" s="42" t="s">
        <v>63</v>
      </c>
      <c r="AE93" s="42" t="s">
        <v>63</v>
      </c>
      <c r="AF93" s="42" t="s">
        <v>63</v>
      </c>
      <c r="AG93" s="42" t="s">
        <v>63</v>
      </c>
      <c r="AH93" s="42" t="s">
        <v>63</v>
      </c>
      <c r="AI93" s="42"/>
      <c r="AJ93" s="42" t="s">
        <v>63</v>
      </c>
      <c r="AK93" s="42"/>
      <c r="AL93" s="42" t="s">
        <v>63</v>
      </c>
      <c r="AM93" s="42"/>
      <c r="AN93" s="42" t="s">
        <v>63</v>
      </c>
      <c r="AO93" s="42" t="s">
        <v>63</v>
      </c>
      <c r="AP93" s="42" t="s">
        <v>63</v>
      </c>
      <c r="AQ93" s="42" t="s">
        <v>63</v>
      </c>
      <c r="AR93" s="42"/>
      <c r="AS93" s="42" t="s">
        <v>63</v>
      </c>
      <c r="AT93" s="42" t="s">
        <v>63</v>
      </c>
      <c r="AU93" s="42"/>
      <c r="AV93" s="42"/>
      <c r="AW93" s="42" t="s">
        <v>63</v>
      </c>
      <c r="AX93" s="42" t="s">
        <v>63</v>
      </c>
      <c r="AY93" s="42" t="s">
        <v>63</v>
      </c>
      <c r="AZ93" s="42" t="s">
        <v>63</v>
      </c>
      <c r="BA93" s="42"/>
      <c r="BB93" s="42" t="s">
        <v>64</v>
      </c>
      <c r="BC93" s="42" t="s">
        <v>63</v>
      </c>
      <c r="BD93" s="42" t="s">
        <v>63</v>
      </c>
      <c r="BE93" s="42" t="s">
        <v>63</v>
      </c>
      <c r="BF93" s="42" t="s">
        <v>63</v>
      </c>
      <c r="BG93" s="42" t="s">
        <v>63</v>
      </c>
      <c r="BH93" s="42" t="s">
        <v>63</v>
      </c>
      <c r="BI93" s="42" t="s">
        <v>63</v>
      </c>
      <c r="BJ93" s="42" t="s">
        <v>63</v>
      </c>
      <c r="BK93" s="42" t="s">
        <v>63</v>
      </c>
      <c r="BL93" s="42" t="s">
        <v>63</v>
      </c>
    </row>
    <row r="94" spans="1:64">
      <c r="A94" s="33" t="s">
        <v>1176</v>
      </c>
      <c r="B94" s="34" t="s">
        <v>249</v>
      </c>
      <c r="C94" s="34" t="s">
        <v>249</v>
      </c>
      <c r="D94" s="33" t="s">
        <v>250</v>
      </c>
      <c r="E94" s="34">
        <f>IF(_xlfn.IFNA(VLOOKUP(B94,Data!B:G,3,FALSE),"")=0, "", _xlfn.IFNA(VLOOKUP(B94,Data!B:G,3,FALSE),""))</f>
        <v>1</v>
      </c>
      <c r="F94" s="66" t="s">
        <v>241</v>
      </c>
      <c r="H94" s="66" t="str">
        <f>IF(_xlfn.IFNA(VLOOKUP(C94,Data!A:G,5,FALSE),"")=0, "Check course registration information", _xlfn.IFNA(VLOOKUP(C94,Data!A:G,5,FALSE),""))</f>
        <v>Junior status and above</v>
      </c>
      <c r="J94" s="33" t="str">
        <f>IF(_xlfn.IFNA(VLOOKUP(C94,Data!A:G,6,FALSE),"")=0, "Check course registration information", _xlfn.IFNA(VLOOKUP(C94,Data!A:G,6,FALSE),""))</f>
        <v>Traditional description of electronic motion through a solid is based on diffusive transport which means that the electron takes a random walk from the source to the drain. However, modern nanoelectronic devices often have channel lengths comparable to a mean free path so that electrons travel ballistically, or "like a bullet." This course provides a unified conceptual framework for ballistic and diffusive transport of both electrons and phonons, that is very different from what is taught in standard courses, but indispensable to understanding nanolectronic devices</v>
      </c>
      <c r="K94" s="33" t="str">
        <f>IF(_xlfn.IFNA(VLOOKUP(C94,Data!A:H,7,FALSE),"")=0, "", _xlfn.IFNA(HYPERLINK(VLOOKUP(C94,Data!A:H,7,FALSE),"Catalog Link"),""))</f>
        <v>Catalog Link</v>
      </c>
      <c r="L94" s="33" t="str">
        <f>IF(_xlfn.IFNA(VLOOKUP(C94,Data!A:I,8,FALSE),"")=0, "", _xlfn.IFNA(HYPERLINK(VLOOKUP(C94,Data!A:I,8,FALSE),"Additional Information"),""))</f>
        <v>Additional Information</v>
      </c>
      <c r="M94" s="34">
        <f t="shared" si="2"/>
        <v>2</v>
      </c>
      <c r="N94" s="42" t="s">
        <v>63</v>
      </c>
      <c r="O94" s="42" t="s">
        <v>63</v>
      </c>
      <c r="P94" s="42" t="s">
        <v>63</v>
      </c>
      <c r="Q94" s="42" t="s">
        <v>63</v>
      </c>
      <c r="R94" s="42" t="s">
        <v>63</v>
      </c>
      <c r="S94" s="42" t="s">
        <v>63</v>
      </c>
      <c r="T94" s="42" t="s">
        <v>63</v>
      </c>
      <c r="U94" s="42" t="s">
        <v>63</v>
      </c>
      <c r="V94" s="42" t="s">
        <v>63</v>
      </c>
      <c r="W94" s="42" t="s">
        <v>63</v>
      </c>
      <c r="X94" s="42" t="s">
        <v>63</v>
      </c>
      <c r="Y94" s="42" t="s">
        <v>64</v>
      </c>
      <c r="Z94" s="42" t="s">
        <v>63</v>
      </c>
      <c r="AA94" s="42" t="s">
        <v>63</v>
      </c>
      <c r="AB94" s="42" t="s">
        <v>63</v>
      </c>
      <c r="AC94" s="42"/>
      <c r="AD94" s="42" t="s">
        <v>63</v>
      </c>
      <c r="AE94" s="42" t="s">
        <v>63</v>
      </c>
      <c r="AF94" s="42" t="s">
        <v>63</v>
      </c>
      <c r="AG94" s="42" t="s">
        <v>63</v>
      </c>
      <c r="AH94" s="42" t="s">
        <v>63</v>
      </c>
      <c r="AI94" s="42"/>
      <c r="AJ94" s="42" t="s">
        <v>63</v>
      </c>
      <c r="AK94" s="42"/>
      <c r="AL94" s="42" t="s">
        <v>63</v>
      </c>
      <c r="AM94" s="42"/>
      <c r="AN94" s="42" t="s">
        <v>63</v>
      </c>
      <c r="AO94" s="42" t="s">
        <v>63</v>
      </c>
      <c r="AP94" s="42" t="s">
        <v>63</v>
      </c>
      <c r="AQ94" s="42" t="s">
        <v>63</v>
      </c>
      <c r="AR94" s="42"/>
      <c r="AS94" s="42" t="s">
        <v>63</v>
      </c>
      <c r="AT94" s="42" t="s">
        <v>63</v>
      </c>
      <c r="AU94" s="42"/>
      <c r="AV94" s="42"/>
      <c r="AW94" s="42" t="s">
        <v>63</v>
      </c>
      <c r="AX94" s="42" t="s">
        <v>63</v>
      </c>
      <c r="AY94" s="42" t="s">
        <v>63</v>
      </c>
      <c r="AZ94" s="42" t="s">
        <v>63</v>
      </c>
      <c r="BA94" s="42"/>
      <c r="BB94" s="42" t="s">
        <v>64</v>
      </c>
      <c r="BC94" s="42" t="s">
        <v>63</v>
      </c>
      <c r="BD94" s="42" t="s">
        <v>63</v>
      </c>
      <c r="BE94" s="42" t="s">
        <v>63</v>
      </c>
      <c r="BF94" s="42" t="s">
        <v>63</v>
      </c>
      <c r="BG94" s="42" t="s">
        <v>63</v>
      </c>
      <c r="BH94" s="42" t="s">
        <v>63</v>
      </c>
      <c r="BI94" s="42" t="s">
        <v>63</v>
      </c>
      <c r="BJ94" s="42" t="s">
        <v>63</v>
      </c>
      <c r="BK94" s="42" t="s">
        <v>63</v>
      </c>
      <c r="BL94" s="42" t="s">
        <v>63</v>
      </c>
    </row>
    <row r="95" spans="1:64">
      <c r="A95" s="33" t="s">
        <v>1176</v>
      </c>
      <c r="B95" s="34" t="s">
        <v>251</v>
      </c>
      <c r="C95" s="34" t="s">
        <v>251</v>
      </c>
      <c r="D95" s="33" t="s">
        <v>252</v>
      </c>
      <c r="E95" s="34">
        <f>IF(_xlfn.IFNA(VLOOKUP(B95,Data!B:G,3,FALSE),"")=0, "", _xlfn.IFNA(VLOOKUP(B95,Data!B:G,3,FALSE),""))</f>
        <v>1</v>
      </c>
      <c r="F95" s="66" t="s">
        <v>241</v>
      </c>
      <c r="H95" s="66" t="str">
        <f>IF(_xlfn.IFNA(VLOOKUP(C95,Data!A:G,5,FALSE),"")=0, "Check course registration information", _xlfn.IFNA(VLOOKUP(C95,Data!A:G,5,FALSE),""))</f>
        <v>Junior status and above</v>
      </c>
      <c r="J95" s="33" t="str">
        <f>IF(_xlfn.IFNA(VLOOKUP(C95,Data!A:G,6,FALSE),"")=0, "Check course registration information", _xlfn.IFNA(VLOOKUP(C95,Data!A:G,6,FALSE),""))</f>
        <v>This course introduces the Schrodinger equation, uses the tight-binding method to discuss the concept of band structure and E(k) relations, along with simple quantum transport problems. No prior background in quantum mechanics or statistical mechanics is assumed</v>
      </c>
      <c r="K95" s="33" t="str">
        <f>IF(_xlfn.IFNA(VLOOKUP(C95,Data!A:H,7,FALSE),"")=0, "", _xlfn.IFNA(HYPERLINK(VLOOKUP(C95,Data!A:H,7,FALSE),"Catalog Link"),""))</f>
        <v>Catalog Link</v>
      </c>
      <c r="L95" s="33" t="str">
        <f>IF(_xlfn.IFNA(VLOOKUP(C95,Data!A:I,8,FALSE),"")=0, "", _xlfn.IFNA(HYPERLINK(VLOOKUP(C95,Data!A:I,8,FALSE),"Additional Information"),""))</f>
        <v>Additional Information</v>
      </c>
      <c r="M95" s="34">
        <f t="shared" si="2"/>
        <v>2</v>
      </c>
      <c r="N95" s="42" t="s">
        <v>63</v>
      </c>
      <c r="O95" s="42" t="s">
        <v>63</v>
      </c>
      <c r="P95" s="42" t="s">
        <v>63</v>
      </c>
      <c r="Q95" s="42" t="s">
        <v>63</v>
      </c>
      <c r="R95" s="42" t="s">
        <v>63</v>
      </c>
      <c r="S95" s="42" t="s">
        <v>63</v>
      </c>
      <c r="T95" s="42" t="s">
        <v>63</v>
      </c>
      <c r="U95" s="42" t="s">
        <v>63</v>
      </c>
      <c r="V95" s="42" t="s">
        <v>63</v>
      </c>
      <c r="W95" s="42" t="s">
        <v>63</v>
      </c>
      <c r="X95" s="42" t="s">
        <v>63</v>
      </c>
      <c r="Y95" s="42" t="s">
        <v>64</v>
      </c>
      <c r="Z95" s="42" t="s">
        <v>63</v>
      </c>
      <c r="AA95" s="42" t="s">
        <v>63</v>
      </c>
      <c r="AB95" s="42" t="s">
        <v>63</v>
      </c>
      <c r="AC95" s="42"/>
      <c r="AD95" s="42" t="s">
        <v>63</v>
      </c>
      <c r="AE95" s="42" t="s">
        <v>63</v>
      </c>
      <c r="AF95" s="42" t="s">
        <v>63</v>
      </c>
      <c r="AG95" s="42" t="s">
        <v>63</v>
      </c>
      <c r="AH95" s="42" t="s">
        <v>63</v>
      </c>
      <c r="AI95" s="42"/>
      <c r="AJ95" s="42" t="s">
        <v>63</v>
      </c>
      <c r="AK95" s="42"/>
      <c r="AL95" s="42" t="s">
        <v>63</v>
      </c>
      <c r="AM95" s="42"/>
      <c r="AN95" s="42" t="s">
        <v>63</v>
      </c>
      <c r="AO95" s="42" t="s">
        <v>63</v>
      </c>
      <c r="AP95" s="42" t="s">
        <v>63</v>
      </c>
      <c r="AQ95" s="42" t="s">
        <v>63</v>
      </c>
      <c r="AR95" s="42"/>
      <c r="AS95" s="42" t="s">
        <v>63</v>
      </c>
      <c r="AT95" s="42" t="s">
        <v>63</v>
      </c>
      <c r="AU95" s="42"/>
      <c r="AV95" s="42"/>
      <c r="AW95" s="42" t="s">
        <v>64</v>
      </c>
      <c r="AX95" s="42" t="s">
        <v>63</v>
      </c>
      <c r="AY95" s="42" t="s">
        <v>63</v>
      </c>
      <c r="AZ95" s="42" t="s">
        <v>63</v>
      </c>
      <c r="BA95" s="42"/>
      <c r="BB95" s="42" t="s">
        <v>63</v>
      </c>
      <c r="BC95" s="42" t="s">
        <v>63</v>
      </c>
      <c r="BD95" s="42" t="s">
        <v>63</v>
      </c>
      <c r="BE95" s="42" t="s">
        <v>63</v>
      </c>
      <c r="BF95" s="42" t="s">
        <v>63</v>
      </c>
      <c r="BG95" s="42" t="s">
        <v>63</v>
      </c>
      <c r="BH95" s="42" t="s">
        <v>63</v>
      </c>
      <c r="BI95" s="42" t="s">
        <v>63</v>
      </c>
      <c r="BJ95" s="42" t="s">
        <v>63</v>
      </c>
      <c r="BK95" s="42" t="s">
        <v>63</v>
      </c>
      <c r="BL95" s="42" t="s">
        <v>63</v>
      </c>
    </row>
    <row r="96" spans="1:64">
      <c r="A96" s="33" t="s">
        <v>1176</v>
      </c>
      <c r="B96" s="34" t="s">
        <v>253</v>
      </c>
      <c r="C96" s="34" t="s">
        <v>253</v>
      </c>
      <c r="D96" s="33" t="s">
        <v>254</v>
      </c>
      <c r="E96" s="34">
        <f>IF(_xlfn.IFNA(VLOOKUP(B96,Data!B:G,3,FALSE),"")=0, "", _xlfn.IFNA(VLOOKUP(B96,Data!B:G,3,FALSE),""))</f>
        <v>1</v>
      </c>
      <c r="F96" s="66" t="s">
        <v>241</v>
      </c>
      <c r="H96" s="66" t="str">
        <f>IF(_xlfn.IFNA(VLOOKUP(C96,Data!A:G,5,FALSE),"")=0, "Check course registration information", _xlfn.IFNA(VLOOKUP(C96,Data!A:G,5,FALSE),""))</f>
        <v>Junior status and above</v>
      </c>
      <c r="J96" s="33" t="str">
        <f>IF(_xlfn.IFNA(VLOOKUP(C96,Data!A:G,6,FALSE),"")=0, "Check course registration information", _xlfn.IFNA(VLOOKUP(C96,Data!A:G,6,FALSE),""))</f>
        <v>This course introduces the key concepts of equilibrium statistical mechanics leading to the celebrated Boltzmann law and how it leads to Boltzmann machines and related concepts in modern machine learning. No prior background in statistical mechanics is assumed</v>
      </c>
      <c r="K96" s="33" t="str">
        <f>IF(_xlfn.IFNA(VLOOKUP(C96,Data!A:H,7,FALSE),"")=0, "", _xlfn.IFNA(HYPERLINK(VLOOKUP(C96,Data!A:H,7,FALSE),"Catalog Link"),""))</f>
        <v>Catalog Link</v>
      </c>
      <c r="L96" s="33" t="str">
        <f>IF(_xlfn.IFNA(VLOOKUP(C96,Data!A:I,8,FALSE),"")=0, "", _xlfn.IFNA(HYPERLINK(VLOOKUP(C96,Data!A:I,8,FALSE),"Additional Information"),""))</f>
        <v>Additional Information</v>
      </c>
      <c r="M96" s="34">
        <f t="shared" si="2"/>
        <v>5</v>
      </c>
      <c r="N96" s="42" t="s">
        <v>63</v>
      </c>
      <c r="O96" s="42" t="s">
        <v>64</v>
      </c>
      <c r="P96" s="42" t="s">
        <v>63</v>
      </c>
      <c r="Q96" s="42" t="s">
        <v>63</v>
      </c>
      <c r="R96" s="42" t="s">
        <v>63</v>
      </c>
      <c r="S96" s="42" t="s">
        <v>63</v>
      </c>
      <c r="T96" s="42" t="s">
        <v>63</v>
      </c>
      <c r="U96" s="42" t="s">
        <v>63</v>
      </c>
      <c r="V96" s="42" t="s">
        <v>63</v>
      </c>
      <c r="W96" s="42" t="s">
        <v>63</v>
      </c>
      <c r="X96" s="42" t="s">
        <v>63</v>
      </c>
      <c r="Y96" s="42" t="s">
        <v>64</v>
      </c>
      <c r="Z96" s="42" t="s">
        <v>63</v>
      </c>
      <c r="AA96" s="42" t="s">
        <v>63</v>
      </c>
      <c r="AB96" s="42" t="s">
        <v>63</v>
      </c>
      <c r="AC96" s="42"/>
      <c r="AD96" s="42" t="s">
        <v>63</v>
      </c>
      <c r="AE96" s="42" t="s">
        <v>63</v>
      </c>
      <c r="AF96" s="42" t="s">
        <v>63</v>
      </c>
      <c r="AG96" s="42" t="s">
        <v>63</v>
      </c>
      <c r="AH96" s="42" t="s">
        <v>64</v>
      </c>
      <c r="AI96" s="42"/>
      <c r="AJ96" s="42" t="s">
        <v>63</v>
      </c>
      <c r="AK96" s="42"/>
      <c r="AL96" s="42" t="s">
        <v>63</v>
      </c>
      <c r="AM96" s="42" t="s">
        <v>64</v>
      </c>
      <c r="AN96" s="42" t="s">
        <v>63</v>
      </c>
      <c r="AO96" s="42" t="s">
        <v>63</v>
      </c>
      <c r="AP96" s="42" t="s">
        <v>63</v>
      </c>
      <c r="AQ96" s="42" t="s">
        <v>63</v>
      </c>
      <c r="AR96" s="42"/>
      <c r="AS96" s="42" t="s">
        <v>63</v>
      </c>
      <c r="AT96" s="42" t="s">
        <v>63</v>
      </c>
      <c r="AU96" s="42"/>
      <c r="AV96" s="42"/>
      <c r="AW96" s="42" t="s">
        <v>64</v>
      </c>
      <c r="AX96" s="42" t="s">
        <v>63</v>
      </c>
      <c r="AY96" s="42" t="s">
        <v>63</v>
      </c>
      <c r="AZ96" s="42" t="s">
        <v>63</v>
      </c>
      <c r="BA96" s="42"/>
      <c r="BB96" s="42" t="s">
        <v>63</v>
      </c>
      <c r="BC96" s="42" t="s">
        <v>63</v>
      </c>
      <c r="BD96" s="42" t="s">
        <v>63</v>
      </c>
      <c r="BE96" s="42" t="s">
        <v>63</v>
      </c>
      <c r="BF96" s="42" t="s">
        <v>63</v>
      </c>
      <c r="BG96" s="42" t="s">
        <v>63</v>
      </c>
      <c r="BH96" s="42" t="s">
        <v>63</v>
      </c>
      <c r="BI96" s="42" t="s">
        <v>63</v>
      </c>
      <c r="BJ96" s="42" t="s">
        <v>63</v>
      </c>
      <c r="BK96" s="42" t="s">
        <v>63</v>
      </c>
      <c r="BL96" s="42" t="s">
        <v>63</v>
      </c>
    </row>
    <row r="97" spans="1:64">
      <c r="A97" s="33" t="s">
        <v>1176</v>
      </c>
      <c r="B97" s="34" t="s">
        <v>255</v>
      </c>
      <c r="C97" s="34" t="s">
        <v>255</v>
      </c>
      <c r="D97" s="33" t="s">
        <v>256</v>
      </c>
      <c r="E97" s="34">
        <f>IF(_xlfn.IFNA(VLOOKUP(B97,Data!B:G,3,FALSE),"")=0, "", _xlfn.IFNA(VLOOKUP(B97,Data!B:G,3,FALSE),""))</f>
        <v>1</v>
      </c>
      <c r="F97" s="66" t="s">
        <v>241</v>
      </c>
      <c r="H97" s="66" t="str">
        <f>IF(_xlfn.IFNA(VLOOKUP(C97,Data!A:G,5,FALSE),"")=0, "Check course registration information", _xlfn.IFNA(VLOOKUP(C97,Data!A:G,5,FALSE),""))</f>
        <v>CHM 11500 or PHYS 24100 or PHYS 27200 or MA 26200 or MA 26600</v>
      </c>
      <c r="J97" s="33" t="str">
        <f>IF(_xlfn.IFNA(VLOOKUP(C97,Data!A:G,6,FALSE),"")=0, "Check course registration information", _xlfn.IFNA(VLOOKUP(C97,Data!A:G,6,FALSE),""))</f>
        <v>This course about semiconductors is designed to provide a foundation to understand the operation of devices such as transistors, diodes, solar cells, light-emitting devices, etc. The course does not discuss devices - it prepares students to understand the operation of semiconductor devices. The treatment is physical and intuitive, and not heavily mathematical. Technology users will gain an understanding of the semiconductor physics that is the basis for devices. Semiconductor technology developers may find it a useful starting point for diving deeper into condensed matter physics, statistical mechanics, thermodynamics, and materials science. The course presents an electrical engineering perspective on semiconductors, but those in other fields may find it a useful introduction to the approach that has guided the development of semiconductor technology for the past 50+ years. Topics include semiconductor fundamentals such as energy bands, bandgaps, effective masses, electrons and holes, and elements of quantum mechanics. The Fermi function, doping, and carrier densities are then discussed. Carrier transport and generation-recombination are examined along with the important concept of quasi-Fermi levels. The course concludes with the "semiconductor equations," which provide a complete, mathematical description of electrons and holes in semiconductors (subject to some important simplifying assumptions) and ends with a discussion of how energy band diagrams provide a qualitative solution to these equations</v>
      </c>
      <c r="K97" s="33" t="str">
        <f>IF(_xlfn.IFNA(VLOOKUP(C97,Data!A:H,7,FALSE),"")=0, "", _xlfn.IFNA(HYPERLINK(VLOOKUP(C97,Data!A:H,7,FALSE),"Catalog Link"),""))</f>
        <v>Catalog Link</v>
      </c>
      <c r="L97" s="33" t="str">
        <f>IF(_xlfn.IFNA(VLOOKUP(C97,Data!A:I,8,FALSE),"")=0, "", _xlfn.IFNA(HYPERLINK(VLOOKUP(C97,Data!A:I,8,FALSE),"Additional Information"),""))</f>
        <v>Additional Information</v>
      </c>
      <c r="M97" s="34">
        <f t="shared" si="2"/>
        <v>2</v>
      </c>
      <c r="N97" s="42" t="s">
        <v>63</v>
      </c>
      <c r="O97" s="42" t="s">
        <v>63</v>
      </c>
      <c r="P97" s="42" t="s">
        <v>63</v>
      </c>
      <c r="Q97" s="42" t="s">
        <v>63</v>
      </c>
      <c r="R97" s="42" t="s">
        <v>63</v>
      </c>
      <c r="S97" s="42" t="s">
        <v>63</v>
      </c>
      <c r="T97" s="42" t="s">
        <v>63</v>
      </c>
      <c r="U97" s="42" t="s">
        <v>63</v>
      </c>
      <c r="V97" s="42" t="s">
        <v>63</v>
      </c>
      <c r="W97" s="42" t="s">
        <v>63</v>
      </c>
      <c r="X97" s="42" t="s">
        <v>63</v>
      </c>
      <c r="Y97" s="42" t="s">
        <v>64</v>
      </c>
      <c r="Z97" s="42" t="s">
        <v>63</v>
      </c>
      <c r="AA97" s="42" t="s">
        <v>63</v>
      </c>
      <c r="AB97" s="42" t="s">
        <v>63</v>
      </c>
      <c r="AC97" s="42"/>
      <c r="AD97" s="42" t="s">
        <v>63</v>
      </c>
      <c r="AE97" s="42" t="s">
        <v>63</v>
      </c>
      <c r="AF97" s="42" t="s">
        <v>63</v>
      </c>
      <c r="AG97" s="42" t="s">
        <v>63</v>
      </c>
      <c r="AH97" s="42" t="s">
        <v>63</v>
      </c>
      <c r="AI97" s="42"/>
      <c r="AJ97" s="42" t="s">
        <v>63</v>
      </c>
      <c r="AK97" s="42"/>
      <c r="AL97" s="42" t="s">
        <v>63</v>
      </c>
      <c r="AM97" s="42"/>
      <c r="AN97" s="42" t="s">
        <v>63</v>
      </c>
      <c r="AO97" s="42" t="s">
        <v>63</v>
      </c>
      <c r="AP97" s="42" t="s">
        <v>63</v>
      </c>
      <c r="AQ97" s="42" t="s">
        <v>63</v>
      </c>
      <c r="AR97" s="42"/>
      <c r="AS97" s="42" t="s">
        <v>63</v>
      </c>
      <c r="AT97" s="42" t="s">
        <v>63</v>
      </c>
      <c r="AU97" s="42"/>
      <c r="AV97" s="42"/>
      <c r="AW97" s="42" t="s">
        <v>63</v>
      </c>
      <c r="AX97" s="42" t="s">
        <v>63</v>
      </c>
      <c r="AY97" s="42" t="s">
        <v>63</v>
      </c>
      <c r="AZ97" s="42" t="s">
        <v>63</v>
      </c>
      <c r="BA97" s="42"/>
      <c r="BB97" s="42" t="s">
        <v>64</v>
      </c>
      <c r="BC97" s="42" t="s">
        <v>63</v>
      </c>
      <c r="BD97" s="42" t="s">
        <v>63</v>
      </c>
      <c r="BE97" s="42" t="s">
        <v>63</v>
      </c>
      <c r="BF97" s="42" t="s">
        <v>63</v>
      </c>
      <c r="BG97" s="42" t="s">
        <v>63</v>
      </c>
      <c r="BH97" s="42" t="s">
        <v>63</v>
      </c>
      <c r="BI97" s="42" t="s">
        <v>63</v>
      </c>
      <c r="BJ97" s="42" t="s">
        <v>63</v>
      </c>
      <c r="BK97" s="42" t="s">
        <v>63</v>
      </c>
      <c r="BL97" s="42" t="s">
        <v>63</v>
      </c>
    </row>
    <row r="98" spans="1:64">
      <c r="A98" s="33" t="s">
        <v>1176</v>
      </c>
      <c r="B98" s="34" t="s">
        <v>263</v>
      </c>
      <c r="C98" s="34" t="s">
        <v>263</v>
      </c>
      <c r="D98" s="33" t="s">
        <v>264</v>
      </c>
      <c r="E98" s="34">
        <f>IF(_xlfn.IFNA(VLOOKUP(B98,Data!B:G,3,FALSE),"")=0, "", _xlfn.IFNA(VLOOKUP(B98,Data!B:G,3,FALSE),""))</f>
        <v>1</v>
      </c>
      <c r="F98" s="66" t="s">
        <v>241</v>
      </c>
      <c r="H98" s="66" t="str">
        <f>IF(_xlfn.IFNA(VLOOKUP(C98,Data!A:G,5,FALSE),"")=0, "Check course registration information", _xlfn.IFNA(VLOOKUP(C98,Data!A:G,5,FALSE),""))</f>
        <v>ECE 30500 or ECE 50641</v>
      </c>
      <c r="J98" s="33" t="str">
        <f>IF(_xlfn.IFNA(VLOOKUP(C98,Data!A:G,6,FALSE),"")=0, "Check course registration information", _xlfn.IFNA(VLOOKUP(C98,Data!A:G,6,FALSE),""))</f>
        <v>This course is designed for anyone seeking a sound, physical, intuitive understanding of how modern transistors operate. Important technology considerations and applications of transistors are also discussed. The focus is on MOSFETs for digital logic, but other types of transistors are briefly considered. The course is broadly accessible to students with only a very basic knowledge of semiconductor physics and electronic circuits and should be useful for advanced undergraduates, beginning graduate students, as well as practicing engineers and scientists. Topics include device metrics for digital and analog circuits, traditional MOSFET theory, the virtual source model, 1D and 2D electrostatics, Landauer/transmission approach to nanotransistors, the limits of MOSFETs, as well as a quick look at HEMTs, bipolar transistors, and compact circuit models</v>
      </c>
      <c r="K98" s="33" t="str">
        <f>IF(_xlfn.IFNA(VLOOKUP(C98,Data!A:H,7,FALSE),"")=0, "", _xlfn.IFNA(HYPERLINK(VLOOKUP(C98,Data!A:H,7,FALSE),"Catalog Link"),""))</f>
        <v>Catalog Link</v>
      </c>
      <c r="L98" s="33" t="str">
        <f>IF(_xlfn.IFNA(VLOOKUP(C98,Data!A:I,8,FALSE),"")=0, "", _xlfn.IFNA(HYPERLINK(VLOOKUP(C98,Data!A:I,8,FALSE),"Additional Information"),""))</f>
        <v>Additional Information</v>
      </c>
      <c r="M98" s="34">
        <f t="shared" si="2"/>
        <v>2</v>
      </c>
      <c r="N98" s="42" t="s">
        <v>63</v>
      </c>
      <c r="O98" s="42" t="s">
        <v>63</v>
      </c>
      <c r="P98" s="42" t="s">
        <v>63</v>
      </c>
      <c r="Q98" s="42" t="s">
        <v>63</v>
      </c>
      <c r="R98" s="42" t="s">
        <v>63</v>
      </c>
      <c r="S98" s="42" t="s">
        <v>63</v>
      </c>
      <c r="T98" s="42" t="s">
        <v>63</v>
      </c>
      <c r="U98" s="42" t="s">
        <v>63</v>
      </c>
      <c r="V98" s="42" t="s">
        <v>63</v>
      </c>
      <c r="W98" s="42" t="s">
        <v>63</v>
      </c>
      <c r="X98" s="42" t="s">
        <v>63</v>
      </c>
      <c r="Y98" s="42" t="s">
        <v>64</v>
      </c>
      <c r="Z98" s="42" t="s">
        <v>63</v>
      </c>
      <c r="AA98" s="42" t="s">
        <v>63</v>
      </c>
      <c r="AB98" s="42" t="s">
        <v>63</v>
      </c>
      <c r="AC98" s="42"/>
      <c r="AD98" s="42" t="s">
        <v>63</v>
      </c>
      <c r="AE98" s="42" t="s">
        <v>63</v>
      </c>
      <c r="AF98" s="42" t="s">
        <v>63</v>
      </c>
      <c r="AG98" s="42" t="s">
        <v>63</v>
      </c>
      <c r="AH98" s="42" t="s">
        <v>63</v>
      </c>
      <c r="AI98" s="42"/>
      <c r="AJ98" s="42" t="s">
        <v>63</v>
      </c>
      <c r="AK98" s="42"/>
      <c r="AL98" s="42" t="s">
        <v>63</v>
      </c>
      <c r="AM98" s="42"/>
      <c r="AN98" s="42" t="s">
        <v>63</v>
      </c>
      <c r="AO98" s="42" t="s">
        <v>63</v>
      </c>
      <c r="AP98" s="42" t="s">
        <v>63</v>
      </c>
      <c r="AQ98" s="42" t="s">
        <v>63</v>
      </c>
      <c r="AR98" s="42"/>
      <c r="AS98" s="42" t="s">
        <v>63</v>
      </c>
      <c r="AT98" s="42" t="s">
        <v>63</v>
      </c>
      <c r="AU98" s="42"/>
      <c r="AV98" s="42"/>
      <c r="AW98" s="42" t="s">
        <v>63</v>
      </c>
      <c r="AX98" s="42" t="s">
        <v>63</v>
      </c>
      <c r="AY98" s="42" t="s">
        <v>63</v>
      </c>
      <c r="AZ98" s="42" t="s">
        <v>63</v>
      </c>
      <c r="BA98" s="42"/>
      <c r="BB98" s="42" t="s">
        <v>64</v>
      </c>
      <c r="BC98" s="42" t="s">
        <v>63</v>
      </c>
      <c r="BD98" s="42" t="s">
        <v>63</v>
      </c>
      <c r="BE98" s="42" t="s">
        <v>63</v>
      </c>
      <c r="BF98" s="42" t="s">
        <v>63</v>
      </c>
      <c r="BG98" s="42" t="s">
        <v>63</v>
      </c>
      <c r="BH98" s="42" t="s">
        <v>63</v>
      </c>
      <c r="BI98" s="42" t="s">
        <v>63</v>
      </c>
      <c r="BJ98" s="42" t="s">
        <v>63</v>
      </c>
      <c r="BK98" s="42" t="s">
        <v>63</v>
      </c>
      <c r="BL98" s="42" t="s">
        <v>63</v>
      </c>
    </row>
    <row r="99" spans="1:64">
      <c r="A99" s="55" t="s">
        <v>1177</v>
      </c>
      <c r="B99" s="34" t="s">
        <v>265</v>
      </c>
      <c r="C99" s="34" t="s">
        <v>265</v>
      </c>
      <c r="D99" s="33" t="s">
        <v>266</v>
      </c>
      <c r="E99" s="34">
        <f>IF(_xlfn.IFNA(VLOOKUP(B99,Data!B:G,3,FALSE),"")=0, "", _xlfn.IFNA(VLOOKUP(B99,Data!B:G,3,FALSE),""))</f>
        <v>3</v>
      </c>
      <c r="F99" s="44" t="s">
        <v>241</v>
      </c>
      <c r="H99" s="33" t="str">
        <f>IF(_xlfn.IFNA(VLOOKUP(C99,Data!A:G,5,FALSE),"")=0, "Check course registration information", _xlfn.IFNA(VLOOKUP(C99,Data!A:G,5,FALSE),""))</f>
        <v>MA 26200 or MA 26500 or MA 26600</v>
      </c>
      <c r="I99" s="33" t="s">
        <v>1545</v>
      </c>
      <c r="J99" s="33" t="str">
        <f>IF(_xlfn.IFNA(VLOOKUP(C99,Data!A:G,6,FALSE),"")=0, "Check course registration information", _xlfn.IFNA(VLOOKUP(C99,Data!A:G,6,FALSE),""))</f>
        <v>The modern smartphone is enabled by a billion-plus nano-transistors, each having an active region that is barely a few hundred atoms long. Interestingly the same amazing technology has also led to a deeper understanding of the nature of current flow on an atomic scale. The aim of this course is to make the fundamentals of nanoelectronics accessible to anyone in any branch of science or engineering, assuming very little background beyond linear algebra and differential equations, although we will be discussing advanced concepts in non-equilibrium statistical mechanics that should be of interest even to specialists. We first introduce a new perspective connecting the quantized conductance of short ballistic conductors to the familiar Ohm's law of long diffusive conductors, along with a brief description of the modern nano-transistor. We then address fundamental conceptual issues related to the meaning of resistance on an atomic scale, the interconversion of electricity and heat, the second law of thermodynamics and the fuel value of information. Finally we introduce the concepts of quantum transport as applied to modern nanoscale electronic devices</v>
      </c>
      <c r="K99" s="33" t="str">
        <f>IF(_xlfn.IFNA(VLOOKUP(C99,Data!A:H,7,FALSE),"")=0, "", _xlfn.IFNA(HYPERLINK(VLOOKUP(C99,Data!A:H,7,FALSE),"Catalog Link"),""))</f>
        <v>Catalog Link</v>
      </c>
      <c r="L99" s="33" t="str">
        <f>IF(_xlfn.IFNA(VLOOKUP(C99,Data!A:I,8,FALSE),"")=0, "", _xlfn.IFNA(HYPERLINK(VLOOKUP(C99,Data!A:I,8,FALSE),"Additional Information"),""))</f>
        <v>Additional Information</v>
      </c>
      <c r="M99" s="34">
        <f t="shared" si="2"/>
        <v>2</v>
      </c>
      <c r="N99" s="42" t="s">
        <v>63</v>
      </c>
      <c r="O99" s="42" t="s">
        <v>63</v>
      </c>
      <c r="P99" s="42" t="s">
        <v>63</v>
      </c>
      <c r="Q99" s="42" t="s">
        <v>63</v>
      </c>
      <c r="R99" s="42" t="s">
        <v>63</v>
      </c>
      <c r="S99" s="42" t="s">
        <v>63</v>
      </c>
      <c r="T99" s="42" t="s">
        <v>63</v>
      </c>
      <c r="U99" s="42" t="s">
        <v>63</v>
      </c>
      <c r="V99" s="42" t="s">
        <v>63</v>
      </c>
      <c r="W99" s="42" t="s">
        <v>63</v>
      </c>
      <c r="X99" s="42" t="s">
        <v>63</v>
      </c>
      <c r="Y99" s="42" t="s">
        <v>64</v>
      </c>
      <c r="Z99" s="42" t="s">
        <v>63</v>
      </c>
      <c r="AA99" s="43" t="s">
        <v>63</v>
      </c>
      <c r="AB99" s="42" t="s">
        <v>63</v>
      </c>
      <c r="AC99" s="42"/>
      <c r="AD99" s="42" t="s">
        <v>63</v>
      </c>
      <c r="AE99" s="42" t="s">
        <v>63</v>
      </c>
      <c r="AF99" s="42" t="s">
        <v>63</v>
      </c>
      <c r="AG99" s="42" t="s">
        <v>63</v>
      </c>
      <c r="AH99" s="42" t="s">
        <v>63</v>
      </c>
      <c r="AI99" s="42"/>
      <c r="AJ99" s="42" t="s">
        <v>63</v>
      </c>
      <c r="AK99" s="42"/>
      <c r="AL99" s="42" t="s">
        <v>63</v>
      </c>
      <c r="AM99" s="42"/>
      <c r="AN99" s="42" t="s">
        <v>63</v>
      </c>
      <c r="AO99" s="42" t="s">
        <v>63</v>
      </c>
      <c r="AP99" s="42" t="s">
        <v>63</v>
      </c>
      <c r="AQ99" s="42" t="s">
        <v>63</v>
      </c>
      <c r="AR99" s="42"/>
      <c r="AS99" s="42" t="s">
        <v>63</v>
      </c>
      <c r="AT99" s="42" t="s">
        <v>63</v>
      </c>
      <c r="AU99" s="42"/>
      <c r="AV99" s="42"/>
      <c r="AW99" s="42" t="s">
        <v>63</v>
      </c>
      <c r="AX99" s="42" t="s">
        <v>63</v>
      </c>
      <c r="AY99" s="42" t="s">
        <v>63</v>
      </c>
      <c r="AZ99" s="42" t="s">
        <v>63</v>
      </c>
      <c r="BA99" s="42"/>
      <c r="BB99" s="42" t="s">
        <v>64</v>
      </c>
      <c r="BC99" s="42" t="s">
        <v>63</v>
      </c>
      <c r="BD99" s="42" t="s">
        <v>63</v>
      </c>
      <c r="BE99" s="42" t="s">
        <v>63</v>
      </c>
      <c r="BF99" s="42" t="s">
        <v>63</v>
      </c>
      <c r="BG99" s="42" t="s">
        <v>63</v>
      </c>
      <c r="BH99" s="42" t="s">
        <v>63</v>
      </c>
      <c r="BI99" s="42" t="s">
        <v>63</v>
      </c>
      <c r="BJ99" s="42" t="s">
        <v>63</v>
      </c>
      <c r="BK99" s="42" t="s">
        <v>63</v>
      </c>
      <c r="BL99" s="42" t="s">
        <v>63</v>
      </c>
    </row>
    <row r="100" spans="1:64">
      <c r="A100" s="33" t="s">
        <v>1176</v>
      </c>
      <c r="B100" s="34" t="s">
        <v>181</v>
      </c>
      <c r="C100" s="34" t="s">
        <v>181</v>
      </c>
      <c r="D100" s="33" t="s">
        <v>183</v>
      </c>
      <c r="E100" s="34">
        <f>IF(_xlfn.IFNA(VLOOKUP(B100,Data!B:G,3,FALSE),"")=0, "", _xlfn.IFNA(VLOOKUP(B100,Data!B:G,3,FALSE),""))</f>
        <v>3</v>
      </c>
      <c r="F100" s="66" t="s">
        <v>116</v>
      </c>
      <c r="H100" s="66" t="str">
        <f>IF(_xlfn.IFNA(VLOOKUP(C100,Data!A:G,5,FALSE),"")=0, "Check course registration information", _xlfn.IFNA(VLOOKUP(C100,Data!A:G,5,FALSE),""))</f>
        <v>ECE 25500</v>
      </c>
      <c r="J100" s="33" t="str">
        <f>IF(_xlfn.IFNA(VLOOKUP(C100,Data!A:G,6,FALSE),"")=0, "Check course registration information", _xlfn.IFNA(VLOOKUP(C100,Data!A:G,6,FALSE),""))</f>
        <v>The course covers general topics in CMOS analog IC design; biasing, noise, single stage amplifiers, differential amplifiers, OP-Amp, OTA, frequency domain analysis, and active filters. While the focus of the course is on CMOS IC design, design in bipolar andBi CMOS technologies are introduced as well. A design project is a key component of the course. The students conduct group or individual design projects. Process Design Kit and EDA tools are provided for the design projects</v>
      </c>
      <c r="K100" s="33" t="str">
        <f>IF(_xlfn.IFNA(VLOOKUP(C100,Data!A:H,7,FALSE),"")=0, "", _xlfn.IFNA(HYPERLINK(VLOOKUP(C100,Data!A:H,7,FALSE),"Catalog Link"),""))</f>
        <v>Catalog Link</v>
      </c>
      <c r="L100" s="33" t="str">
        <f>IF(_xlfn.IFNA(VLOOKUP(C100,Data!A:I,8,FALSE),"")=0, "", _xlfn.IFNA(HYPERLINK(VLOOKUP(C100,Data!A:I,8,FALSE),"Additional Information"),""))</f>
        <v>Additional Information</v>
      </c>
      <c r="M100" s="34">
        <f t="shared" si="2"/>
        <v>2</v>
      </c>
      <c r="N100" s="42" t="s">
        <v>63</v>
      </c>
      <c r="O100" s="42" t="s">
        <v>63</v>
      </c>
      <c r="P100" s="42" t="s">
        <v>63</v>
      </c>
      <c r="Q100" s="42" t="s">
        <v>64</v>
      </c>
      <c r="R100" s="42" t="s">
        <v>63</v>
      </c>
      <c r="S100" s="42" t="s">
        <v>63</v>
      </c>
      <c r="T100" s="42" t="s">
        <v>63</v>
      </c>
      <c r="U100" s="42" t="s">
        <v>63</v>
      </c>
      <c r="V100" s="42" t="s">
        <v>63</v>
      </c>
      <c r="W100" s="42" t="s">
        <v>63</v>
      </c>
      <c r="X100" s="42" t="s">
        <v>63</v>
      </c>
      <c r="Y100" s="42" t="s">
        <v>63</v>
      </c>
      <c r="Z100" s="42" t="s">
        <v>63</v>
      </c>
      <c r="AA100" s="42" t="s">
        <v>63</v>
      </c>
      <c r="AB100" s="42" t="s">
        <v>63</v>
      </c>
      <c r="AC100" s="42"/>
      <c r="AD100" s="42" t="s">
        <v>63</v>
      </c>
      <c r="AE100" s="42" t="s">
        <v>63</v>
      </c>
      <c r="AF100" s="42" t="s">
        <v>63</v>
      </c>
      <c r="AG100" s="42" t="s">
        <v>63</v>
      </c>
      <c r="AH100" s="42" t="s">
        <v>63</v>
      </c>
      <c r="AI100" s="42"/>
      <c r="AJ100" s="42" t="s">
        <v>63</v>
      </c>
      <c r="AK100" s="42"/>
      <c r="AL100" s="42" t="s">
        <v>63</v>
      </c>
      <c r="AM100" s="42"/>
      <c r="AN100" s="42" t="s">
        <v>63</v>
      </c>
      <c r="AO100" s="42" t="s">
        <v>64</v>
      </c>
      <c r="AP100" s="42" t="s">
        <v>63</v>
      </c>
      <c r="AQ100" s="42" t="s">
        <v>63</v>
      </c>
      <c r="AR100" s="42"/>
      <c r="AS100" s="42" t="s">
        <v>63</v>
      </c>
      <c r="AT100" s="42" t="s">
        <v>63</v>
      </c>
      <c r="AU100" s="42"/>
      <c r="AV100" s="42"/>
      <c r="AW100" s="42" t="s">
        <v>63</v>
      </c>
      <c r="AX100" s="42" t="s">
        <v>63</v>
      </c>
      <c r="AY100" s="42" t="s">
        <v>63</v>
      </c>
      <c r="AZ100" s="42" t="s">
        <v>63</v>
      </c>
      <c r="BA100" s="42"/>
      <c r="BB100" s="42" t="s">
        <v>63</v>
      </c>
      <c r="BC100" s="42" t="s">
        <v>63</v>
      </c>
      <c r="BD100" s="42" t="s">
        <v>63</v>
      </c>
      <c r="BE100" s="42" t="s">
        <v>63</v>
      </c>
      <c r="BF100" s="42" t="s">
        <v>63</v>
      </c>
      <c r="BG100" s="42" t="s">
        <v>63</v>
      </c>
      <c r="BH100" s="42" t="s">
        <v>63</v>
      </c>
      <c r="BI100" s="42" t="s">
        <v>63</v>
      </c>
      <c r="BJ100" s="42" t="s">
        <v>63</v>
      </c>
      <c r="BK100" s="42" t="s">
        <v>63</v>
      </c>
      <c r="BL100" s="42" t="s">
        <v>63</v>
      </c>
    </row>
    <row r="101" spans="1:64">
      <c r="A101" s="33" t="s">
        <v>1176</v>
      </c>
      <c r="B101" s="34" t="s">
        <v>213</v>
      </c>
      <c r="C101" s="34" t="s">
        <v>213</v>
      </c>
      <c r="D101" s="33" t="s">
        <v>214</v>
      </c>
      <c r="E101" s="34">
        <f>IF(_xlfn.IFNA(VLOOKUP(B101,Data!B:G,3,FALSE),"")=0, "", _xlfn.IFNA(VLOOKUP(B101,Data!B:G,3,FALSE),""))</f>
        <v>3</v>
      </c>
      <c r="F101" s="66" t="s">
        <v>116</v>
      </c>
      <c r="H101" s="66" t="str">
        <f>IF(_xlfn.IFNA(VLOOKUP(C101,Data!A:G,5,FALSE),"")=0, "Check course registration information", _xlfn.IFNA(VLOOKUP(C101,Data!A:G,5,FALSE),""))</f>
        <v>ECE 36800</v>
      </c>
      <c r="J101" s="33" t="str">
        <f>IF(_xlfn.IFNA(VLOOKUP(C101,Data!A:G,6,FALSE),"")=0, "Check course registration information", _xlfn.IFNA(VLOOKUP(C101,Data!A:G,6,FALSE),""))</f>
        <v>Solving large-scale problems typically rely on many clever data structures and algorithms. This course aims to cover many such useful algorithms for solving large-scale problems. These algorithms include greedy algorithms, dynamic programming and more advanced graph algorithms. The course also aims to demonstrate how such algorithms can be applied to solve optimization problems encountered in engineering applications. In particular, applications in the design of VLSI (very large scale integration) at circuit, layout, or system level will be used to demonstrate how an engineering problem can be formulated as a tree/graph problem and solved using established tree/graph algorithms</v>
      </c>
      <c r="K101" s="33" t="str">
        <f>IF(_xlfn.IFNA(VLOOKUP(C101,Data!A:H,7,FALSE),"")=0, "", _xlfn.IFNA(HYPERLINK(VLOOKUP(C101,Data!A:H,7,FALSE),"Catalog Link"),""))</f>
        <v>Catalog Link</v>
      </c>
      <c r="L101" s="33" t="str">
        <f>IF(_xlfn.IFNA(VLOOKUP(C101,Data!A:I,8,FALSE),"")=0, "", _xlfn.IFNA(HYPERLINK(VLOOKUP(C101,Data!A:I,8,FALSE),"Additional Information"),""))</f>
        <v>Additional Information</v>
      </c>
      <c r="M101" s="34">
        <f t="shared" si="2"/>
        <v>1</v>
      </c>
      <c r="N101" s="42" t="s">
        <v>63</v>
      </c>
      <c r="O101" s="42" t="s">
        <v>63</v>
      </c>
      <c r="P101" s="42" t="s">
        <v>63</v>
      </c>
      <c r="Q101" s="42" t="s">
        <v>63</v>
      </c>
      <c r="R101" s="42" t="s">
        <v>63</v>
      </c>
      <c r="S101" s="42" t="s">
        <v>63</v>
      </c>
      <c r="T101" s="42" t="s">
        <v>63</v>
      </c>
      <c r="U101" s="42" t="s">
        <v>63</v>
      </c>
      <c r="V101" s="42" t="s">
        <v>63</v>
      </c>
      <c r="W101" s="42" t="s">
        <v>63</v>
      </c>
      <c r="X101" s="42" t="s">
        <v>63</v>
      </c>
      <c r="Y101" s="42" t="s">
        <v>63</v>
      </c>
      <c r="Z101" s="42" t="s">
        <v>63</v>
      </c>
      <c r="AA101" s="42" t="s">
        <v>63</v>
      </c>
      <c r="AB101" s="42" t="s">
        <v>63</v>
      </c>
      <c r="AC101" s="42"/>
      <c r="AD101" s="42" t="s">
        <v>63</v>
      </c>
      <c r="AE101" s="42" t="s">
        <v>63</v>
      </c>
      <c r="AF101" s="42" t="s">
        <v>63</v>
      </c>
      <c r="AG101" s="42" t="s">
        <v>63</v>
      </c>
      <c r="AH101" s="42" t="s">
        <v>63</v>
      </c>
      <c r="AI101" s="42"/>
      <c r="AJ101" s="42" t="s">
        <v>63</v>
      </c>
      <c r="AK101" s="42"/>
      <c r="AL101" s="42" t="s">
        <v>63</v>
      </c>
      <c r="AM101" s="42"/>
      <c r="AN101" s="42" t="s">
        <v>63</v>
      </c>
      <c r="AO101" s="42" t="s">
        <v>63</v>
      </c>
      <c r="AP101" s="42" t="s">
        <v>63</v>
      </c>
      <c r="AQ101" s="42" t="s">
        <v>63</v>
      </c>
      <c r="AR101" s="42"/>
      <c r="AS101" s="42" t="s">
        <v>63</v>
      </c>
      <c r="AT101" s="42" t="s">
        <v>63</v>
      </c>
      <c r="AU101" s="42"/>
      <c r="AV101" s="42"/>
      <c r="AW101" s="42" t="s">
        <v>63</v>
      </c>
      <c r="AX101" s="42" t="s">
        <v>63</v>
      </c>
      <c r="AY101" s="42" t="s">
        <v>63</v>
      </c>
      <c r="AZ101" s="42" t="s">
        <v>63</v>
      </c>
      <c r="BA101" s="42"/>
      <c r="BB101" s="42" t="s">
        <v>63</v>
      </c>
      <c r="BC101" s="42" t="s">
        <v>63</v>
      </c>
      <c r="BD101" s="42" t="s">
        <v>63</v>
      </c>
      <c r="BE101" s="42" t="s">
        <v>63</v>
      </c>
      <c r="BF101" s="42" t="s">
        <v>63</v>
      </c>
      <c r="BG101" s="42" t="s">
        <v>63</v>
      </c>
      <c r="BH101" s="42" t="s">
        <v>63</v>
      </c>
      <c r="BI101" s="42" t="s">
        <v>63</v>
      </c>
      <c r="BJ101" s="42" t="s">
        <v>63</v>
      </c>
      <c r="BK101" s="42" t="s">
        <v>63</v>
      </c>
      <c r="BL101" s="42" t="s">
        <v>64</v>
      </c>
    </row>
    <row r="102" spans="1:64">
      <c r="A102" s="33" t="s">
        <v>1177</v>
      </c>
      <c r="B102" s="34" t="s">
        <v>257</v>
      </c>
      <c r="C102" s="34" t="s">
        <v>257</v>
      </c>
      <c r="D102" s="33" t="s">
        <v>258</v>
      </c>
      <c r="E102" s="34">
        <f>IF(_xlfn.IFNA(VLOOKUP(B102,Data!B:G,3,FALSE),"")=0, "", _xlfn.IFNA(VLOOKUP(B102,Data!B:G,3,FALSE),""))</f>
        <v>3</v>
      </c>
      <c r="F102" s="33" t="s">
        <v>1175</v>
      </c>
      <c r="G102" s="33"/>
      <c r="H102" s="33" t="str">
        <f>IF(_xlfn.IFNA(VLOOKUP(C102,Data!A:G,5,FALSE),"")=0, "Check course registration information", _xlfn.IFNA(VLOOKUP(C102,Data!A:G,5,FALSE),""))</f>
        <v>ECE 30100 or ECE 31100</v>
      </c>
      <c r="J102" s="33" t="str">
        <f>IF(_xlfn.IFNA(VLOOKUP(C102,Data!A:G,6,FALSE),"")=0, "Check course registration information", _xlfn.IFNA(VLOOKUP(C102,Data!A:G,6,FALSE),""))</f>
        <v>Modern theories of diffraction and Fourier optics for imaging, optical communications and networking, mirco/nanotechnologies and related devices and systems. Imaging techniques involving diffraction and/or Fourier analysis such as tomography, magnetic resonance imaging, synthetic aperture radar and confocal microscopy. Topics in optical communications and networking including wave propagation in free space, fiber, and integrated optics, and related design issues. Micro/nanotechnologies involving diffraction and/or Fourier analysis. Simulation studies using MATLAB and other professional software packages for analysis and design</v>
      </c>
      <c r="K102" s="33" t="str">
        <f>IF(_xlfn.IFNA(VLOOKUP(C102,Data!A:H,7,FALSE),"")=0, "", _xlfn.IFNA(HYPERLINK(VLOOKUP(C102,Data!A:H,7,FALSE),"Catalog Link"),""))</f>
        <v>Catalog Link</v>
      </c>
      <c r="L102" s="33" t="str">
        <f>IF(_xlfn.IFNA(VLOOKUP(C102,Data!A:I,8,FALSE),"")=0, "", _xlfn.IFNA(HYPERLINK(VLOOKUP(C102,Data!A:I,8,FALSE),"Additional Information"),""))</f>
        <v>Additional Information</v>
      </c>
      <c r="M102" s="34">
        <f t="shared" si="2"/>
        <v>1</v>
      </c>
      <c r="N102" s="42" t="s">
        <v>63</v>
      </c>
      <c r="O102" s="42" t="s">
        <v>63</v>
      </c>
      <c r="P102" s="42" t="s">
        <v>63</v>
      </c>
      <c r="Q102" s="42" t="s">
        <v>63</v>
      </c>
      <c r="R102" s="42" t="s">
        <v>63</v>
      </c>
      <c r="S102" s="42" t="s">
        <v>63</v>
      </c>
      <c r="T102" s="42" t="s">
        <v>63</v>
      </c>
      <c r="U102" s="42" t="s">
        <v>63</v>
      </c>
      <c r="V102" s="42" t="s">
        <v>63</v>
      </c>
      <c r="W102" s="42" t="s">
        <v>63</v>
      </c>
      <c r="X102" s="42" t="s">
        <v>63</v>
      </c>
      <c r="Y102" s="42" t="s">
        <v>63</v>
      </c>
      <c r="Z102" s="42" t="s">
        <v>63</v>
      </c>
      <c r="AA102" s="43" t="s">
        <v>63</v>
      </c>
      <c r="AB102" s="42" t="s">
        <v>63</v>
      </c>
      <c r="AC102" s="42"/>
      <c r="AD102" s="42" t="s">
        <v>63</v>
      </c>
      <c r="AE102" s="42" t="s">
        <v>63</v>
      </c>
      <c r="AF102" s="42" t="s">
        <v>63</v>
      </c>
      <c r="AG102" s="42" t="s">
        <v>63</v>
      </c>
      <c r="AH102" s="42" t="s">
        <v>63</v>
      </c>
      <c r="AI102" s="42"/>
      <c r="AJ102" s="42" t="s">
        <v>63</v>
      </c>
      <c r="AK102" s="42"/>
      <c r="AL102" s="42" t="s">
        <v>63</v>
      </c>
      <c r="AM102" s="42"/>
      <c r="AN102" s="42" t="s">
        <v>64</v>
      </c>
      <c r="AO102" s="42" t="s">
        <v>63</v>
      </c>
      <c r="AP102" s="42" t="s">
        <v>63</v>
      </c>
      <c r="AQ102" s="42" t="s">
        <v>63</v>
      </c>
      <c r="AR102" s="42"/>
      <c r="AS102" s="42" t="s">
        <v>63</v>
      </c>
      <c r="AT102" s="42" t="s">
        <v>63</v>
      </c>
      <c r="AU102" s="42"/>
      <c r="AV102" s="42"/>
      <c r="AW102" s="42" t="s">
        <v>63</v>
      </c>
      <c r="AX102" s="42" t="s">
        <v>63</v>
      </c>
      <c r="AY102" s="42" t="s">
        <v>63</v>
      </c>
      <c r="AZ102" s="42" t="s">
        <v>63</v>
      </c>
      <c r="BA102" s="42"/>
      <c r="BB102" s="42" t="s">
        <v>63</v>
      </c>
      <c r="BC102" s="42" t="s">
        <v>63</v>
      </c>
      <c r="BD102" s="42" t="s">
        <v>63</v>
      </c>
      <c r="BE102" s="42" t="s">
        <v>63</v>
      </c>
      <c r="BF102" s="42" t="s">
        <v>63</v>
      </c>
      <c r="BG102" s="42" t="s">
        <v>63</v>
      </c>
      <c r="BH102" s="42" t="s">
        <v>63</v>
      </c>
      <c r="BI102" s="42" t="s">
        <v>63</v>
      </c>
      <c r="BJ102" s="42" t="s">
        <v>63</v>
      </c>
      <c r="BK102" s="42" t="s">
        <v>63</v>
      </c>
      <c r="BL102" s="42" t="s">
        <v>63</v>
      </c>
    </row>
    <row r="103" spans="1:64">
      <c r="A103" s="33" t="s">
        <v>1177</v>
      </c>
      <c r="B103" s="34" t="s">
        <v>259</v>
      </c>
      <c r="C103" s="34" t="s">
        <v>259</v>
      </c>
      <c r="D103" s="33" t="s">
        <v>260</v>
      </c>
      <c r="E103" s="34">
        <f>IF(_xlfn.IFNA(VLOOKUP(B103,Data!B:G,3,FALSE),"")=0, "", _xlfn.IFNA(VLOOKUP(B103,Data!B:G,3,FALSE),""))</f>
        <v>3</v>
      </c>
      <c r="F103" s="33" t="s">
        <v>1175</v>
      </c>
      <c r="G103" s="33"/>
      <c r="H103" s="33" t="str">
        <f>IF(_xlfn.IFNA(VLOOKUP(C103,Data!A:G,5,FALSE),"")=0, "Check course registration information", _xlfn.IFNA(VLOOKUP(C103,Data!A:G,5,FALSE),""))</f>
        <v>Senior status and above</v>
      </c>
      <c r="J103" s="33" t="str">
        <f>IF(_xlfn.IFNA(VLOOKUP(C103,Data!A:G,6,FALSE),"")=0, "Check course registration information", _xlfn.IFNA(VLOOKUP(C103,Data!A:G,6,FALSE),""))</f>
        <v>(BME 58100) Key topics in micro-electro-mechanical systems (MEMS) and biological micro-integrated systems; properties of materials for MEMS; microelectronic process modules for design and fabrication. Students will prepare a project report on the design of a biomedical MEMS-based micro-integrated system. Offered in alternate years. Permission of department required</v>
      </c>
      <c r="K103" s="33" t="str">
        <f>IF(_xlfn.IFNA(VLOOKUP(C103,Data!A:H,7,FALSE),"")=0, "", _xlfn.IFNA(HYPERLINK(VLOOKUP(C103,Data!A:H,7,FALSE),"Catalog Link"),""))</f>
        <v>Catalog Link</v>
      </c>
      <c r="L103" s="33" t="str">
        <f>IF(_xlfn.IFNA(VLOOKUP(C103,Data!A:I,8,FALSE),"")=0, "", _xlfn.IFNA(HYPERLINK(VLOOKUP(C103,Data!A:I,8,FALSE),"Additional Information"),""))</f>
        <v>Additional Information</v>
      </c>
      <c r="M103" s="34">
        <f t="shared" si="2"/>
        <v>3</v>
      </c>
      <c r="N103" s="42" t="s">
        <v>63</v>
      </c>
      <c r="O103" s="42" t="s">
        <v>63</v>
      </c>
      <c r="P103" s="42" t="s">
        <v>63</v>
      </c>
      <c r="Q103" s="42" t="s">
        <v>63</v>
      </c>
      <c r="R103" s="42" t="s">
        <v>63</v>
      </c>
      <c r="S103" s="42" t="s">
        <v>63</v>
      </c>
      <c r="T103" s="42" t="s">
        <v>63</v>
      </c>
      <c r="U103" s="42" t="s">
        <v>63</v>
      </c>
      <c r="V103" s="42" t="s">
        <v>63</v>
      </c>
      <c r="W103" s="42" t="s">
        <v>63</v>
      </c>
      <c r="X103" s="42" t="s">
        <v>63</v>
      </c>
      <c r="Y103" s="42" t="s">
        <v>64</v>
      </c>
      <c r="Z103" s="42" t="s">
        <v>63</v>
      </c>
      <c r="AA103" s="43" t="s">
        <v>63</v>
      </c>
      <c r="AB103" s="42" t="s">
        <v>64</v>
      </c>
      <c r="AC103" s="42"/>
      <c r="AD103" s="42" t="s">
        <v>63</v>
      </c>
      <c r="AE103" s="42" t="s">
        <v>63</v>
      </c>
      <c r="AF103" s="42" t="s">
        <v>63</v>
      </c>
      <c r="AG103" s="42" t="s">
        <v>63</v>
      </c>
      <c r="AH103" s="42" t="s">
        <v>63</v>
      </c>
      <c r="AI103" s="42"/>
      <c r="AJ103" s="42" t="s">
        <v>63</v>
      </c>
      <c r="AK103" s="42"/>
      <c r="AL103" s="42" t="s">
        <v>63</v>
      </c>
      <c r="AM103" s="42"/>
      <c r="AN103" s="42" t="s">
        <v>63</v>
      </c>
      <c r="AO103" s="42" t="s">
        <v>63</v>
      </c>
      <c r="AP103" s="42" t="s">
        <v>63</v>
      </c>
      <c r="AQ103" s="42" t="s">
        <v>63</v>
      </c>
      <c r="AR103" s="42"/>
      <c r="AS103" s="42" t="s">
        <v>63</v>
      </c>
      <c r="AT103" s="42" t="s">
        <v>63</v>
      </c>
      <c r="AU103" s="42"/>
      <c r="AV103" s="42"/>
      <c r="AW103" s="42" t="s">
        <v>63</v>
      </c>
      <c r="AX103" s="42" t="s">
        <v>63</v>
      </c>
      <c r="AY103" s="42" t="s">
        <v>63</v>
      </c>
      <c r="AZ103" s="42" t="s">
        <v>63</v>
      </c>
      <c r="BA103" s="42"/>
      <c r="BB103" s="42" t="s">
        <v>64</v>
      </c>
      <c r="BC103" s="42" t="s">
        <v>63</v>
      </c>
      <c r="BD103" s="42" t="s">
        <v>63</v>
      </c>
      <c r="BE103" s="42" t="s">
        <v>63</v>
      </c>
      <c r="BF103" s="42" t="s">
        <v>63</v>
      </c>
      <c r="BG103" s="42" t="s">
        <v>63</v>
      </c>
      <c r="BH103" s="42" t="s">
        <v>63</v>
      </c>
      <c r="BI103" s="42" t="s">
        <v>63</v>
      </c>
      <c r="BJ103" s="42" t="s">
        <v>63</v>
      </c>
      <c r="BK103" s="42" t="s">
        <v>63</v>
      </c>
      <c r="BL103" s="42" t="s">
        <v>63</v>
      </c>
    </row>
    <row r="104" spans="1:64">
      <c r="A104" s="33" t="s">
        <v>1177</v>
      </c>
      <c r="B104" s="34" t="s">
        <v>261</v>
      </c>
      <c r="C104" s="34" t="s">
        <v>261</v>
      </c>
      <c r="D104" s="33" t="s">
        <v>262</v>
      </c>
      <c r="E104" s="34">
        <f>IF(_xlfn.IFNA(VLOOKUP(B104,Data!B:G,3,FALSE),"")=0, "", _xlfn.IFNA(VLOOKUP(B104,Data!B:G,3,FALSE),""))</f>
        <v>3</v>
      </c>
      <c r="F104" s="44" t="s">
        <v>241</v>
      </c>
      <c r="H104" s="33" t="str">
        <f>IF(_xlfn.IFNA(VLOOKUP(C104,Data!A:G,5,FALSE),"")=0, "Check course registration information", _xlfn.IFNA(VLOOKUP(C104,Data!A:G,5,FALSE),""))</f>
        <v>ECE 30500</v>
      </c>
      <c r="I104" s="33" t="s">
        <v>1224</v>
      </c>
      <c r="J104" s="33" t="str">
        <f>IF(_xlfn.IFNA(VLOOKUP(C104,Data!A:G,6,FALSE),"")=0, "Check course registration information", _xlfn.IFNA(VLOOKUP(C104,Data!A:G,6,FALSE),""))</f>
        <v>Laboratory exercises in the fabrication and testing of silicon integrated circuits. Both bipolar and MOS integrated circuit test chips are fabricated and tested. Laboratory technique, the technology of integrated circuit fabrication, and electrical characterization are emphasized. Permission of department required</v>
      </c>
      <c r="K104" s="33" t="str">
        <f>IF(_xlfn.IFNA(VLOOKUP(C104,Data!A:H,7,FALSE),"")=0, "", _xlfn.IFNA(HYPERLINK(VLOOKUP(C104,Data!A:H,7,FALSE),"Catalog Link"),""))</f>
        <v>Catalog Link</v>
      </c>
      <c r="L104" s="33" t="str">
        <f>IF(_xlfn.IFNA(VLOOKUP(C104,Data!A:I,8,FALSE),"")=0, "", _xlfn.IFNA(HYPERLINK(VLOOKUP(C104,Data!A:I,8,FALSE),"Additional Information"),""))</f>
        <v>Additional Information</v>
      </c>
      <c r="M104" s="34">
        <f t="shared" si="2"/>
        <v>3</v>
      </c>
      <c r="N104" s="42" t="s">
        <v>63</v>
      </c>
      <c r="O104" s="42" t="s">
        <v>63</v>
      </c>
      <c r="P104" s="42" t="s">
        <v>63</v>
      </c>
      <c r="Q104" s="42" t="s">
        <v>63</v>
      </c>
      <c r="R104" s="42" t="s">
        <v>63</v>
      </c>
      <c r="S104" s="42" t="s">
        <v>63</v>
      </c>
      <c r="T104" s="42" t="s">
        <v>63</v>
      </c>
      <c r="U104" s="42" t="s">
        <v>63</v>
      </c>
      <c r="V104" s="42" t="s">
        <v>63</v>
      </c>
      <c r="W104" s="42" t="s">
        <v>63</v>
      </c>
      <c r="X104" s="42" t="s">
        <v>63</v>
      </c>
      <c r="Y104" s="42" t="s">
        <v>63</v>
      </c>
      <c r="Z104" s="42" t="s">
        <v>63</v>
      </c>
      <c r="AA104" s="43" t="s">
        <v>63</v>
      </c>
      <c r="AB104" s="42" t="s">
        <v>63</v>
      </c>
      <c r="AC104" s="42"/>
      <c r="AD104" s="42" t="s">
        <v>63</v>
      </c>
      <c r="AE104" s="42" t="s">
        <v>63</v>
      </c>
      <c r="AF104" s="42" t="s">
        <v>63</v>
      </c>
      <c r="AG104" s="42" t="s">
        <v>63</v>
      </c>
      <c r="AH104" s="42" t="s">
        <v>63</v>
      </c>
      <c r="AI104" s="42"/>
      <c r="AJ104" s="42" t="s">
        <v>63</v>
      </c>
      <c r="AK104" s="42"/>
      <c r="AL104" s="42" t="s">
        <v>63</v>
      </c>
      <c r="AM104" s="42"/>
      <c r="AN104" s="42" t="s">
        <v>63</v>
      </c>
      <c r="AO104" s="42" t="s">
        <v>63</v>
      </c>
      <c r="AP104" s="42" t="s">
        <v>63</v>
      </c>
      <c r="AQ104" s="42" t="s">
        <v>63</v>
      </c>
      <c r="AR104" s="42"/>
      <c r="AS104" s="42" t="s">
        <v>64</v>
      </c>
      <c r="AT104" s="42" t="s">
        <v>63</v>
      </c>
      <c r="AU104" s="42"/>
      <c r="AV104" s="42"/>
      <c r="AW104" s="42" t="s">
        <v>63</v>
      </c>
      <c r="AX104" s="42" t="s">
        <v>63</v>
      </c>
      <c r="AY104" s="42" t="s">
        <v>63</v>
      </c>
      <c r="AZ104" s="42" t="s">
        <v>63</v>
      </c>
      <c r="BA104" s="42"/>
      <c r="BB104" s="42" t="s">
        <v>64</v>
      </c>
      <c r="BC104" s="42" t="s">
        <v>63</v>
      </c>
      <c r="BD104" s="42" t="s">
        <v>63</v>
      </c>
      <c r="BE104" s="42" t="s">
        <v>63</v>
      </c>
      <c r="BF104" s="42" t="s">
        <v>64</v>
      </c>
      <c r="BG104" s="42" t="s">
        <v>63</v>
      </c>
      <c r="BH104" s="42" t="s">
        <v>63</v>
      </c>
      <c r="BI104" s="42" t="s">
        <v>63</v>
      </c>
      <c r="BJ104" s="42" t="s">
        <v>63</v>
      </c>
      <c r="BK104" s="42" t="s">
        <v>63</v>
      </c>
      <c r="BL104" s="42" t="s">
        <v>63</v>
      </c>
    </row>
    <row r="105" spans="1:64">
      <c r="A105" s="33" t="s">
        <v>1176</v>
      </c>
      <c r="B105" s="34" t="s">
        <v>221</v>
      </c>
      <c r="C105" s="34" t="s">
        <v>221</v>
      </c>
      <c r="D105" s="33" t="s">
        <v>222</v>
      </c>
      <c r="E105" s="34">
        <f>IF(_xlfn.IFNA(VLOOKUP(B105,Data!B:G,3,FALSE),"")=0, "", _xlfn.IFNA(VLOOKUP(B105,Data!B:G,3,FALSE),""))</f>
        <v>3</v>
      </c>
      <c r="F105" s="66" t="s">
        <v>116</v>
      </c>
      <c r="H105" s="66" t="str">
        <f>IF(_xlfn.IFNA(VLOOKUP(C105,Data!A:G,5,FALSE),"")=0, "Check course registration information", _xlfn.IFNA(VLOOKUP(C105,Data!A:G,5,FALSE),""))</f>
        <v>ECE 30500 or ECE 43700</v>
      </c>
      <c r="J105" s="33" t="str">
        <f>IF(_xlfn.IFNA(VLOOKUP(C105,Data!A:G,6,FALSE),"")=0, "Check course registration information", _xlfn.IFNA(VLOOKUP(C105,Data!A:G,6,FALSE),""))</f>
        <v>An introduction to most aspects of large-scale MOS integrated circuit design including: device fabrication and modeling; inverter characteristics; designing CMOS combinational and sequential circuits; designing arithmetic building blocks and memory structures; interconnect and timing issues; testing and verification; and system design considerations. Term projects involve the complete design of a functional logic block or system using CAD tools</v>
      </c>
      <c r="K105" s="33" t="str">
        <f>IF(_xlfn.IFNA(VLOOKUP(C105,Data!A:H,7,FALSE),"")=0, "", _xlfn.IFNA(HYPERLINK(VLOOKUP(C105,Data!A:H,7,FALSE),"Catalog Link"),""))</f>
        <v>Catalog Link</v>
      </c>
      <c r="L105" s="33" t="str">
        <f>IF(_xlfn.IFNA(VLOOKUP(C105,Data!A:I,8,FALSE),"")=0, "", _xlfn.IFNA(HYPERLINK(VLOOKUP(C105,Data!A:I,8,FALSE),"Additional Information"),""))</f>
        <v>Additional Information</v>
      </c>
      <c r="M105" s="34">
        <f t="shared" si="2"/>
        <v>5</v>
      </c>
      <c r="N105" s="42" t="s">
        <v>63</v>
      </c>
      <c r="O105" s="42" t="s">
        <v>63</v>
      </c>
      <c r="P105" s="42" t="s">
        <v>63</v>
      </c>
      <c r="Q105" s="42" t="s">
        <v>63</v>
      </c>
      <c r="R105" s="42" t="s">
        <v>63</v>
      </c>
      <c r="S105" s="42" t="s">
        <v>63</v>
      </c>
      <c r="T105" s="42" t="s">
        <v>64</v>
      </c>
      <c r="U105" s="42" t="s">
        <v>63</v>
      </c>
      <c r="V105" s="42" t="s">
        <v>63</v>
      </c>
      <c r="W105" s="42" t="s">
        <v>63</v>
      </c>
      <c r="X105" s="42" t="s">
        <v>63</v>
      </c>
      <c r="Y105" s="42" t="s">
        <v>63</v>
      </c>
      <c r="Z105" s="42" t="s">
        <v>63</v>
      </c>
      <c r="AA105" s="42" t="s">
        <v>63</v>
      </c>
      <c r="AB105" s="42" t="s">
        <v>63</v>
      </c>
      <c r="AC105" s="42"/>
      <c r="AD105" s="42" t="s">
        <v>63</v>
      </c>
      <c r="AE105" s="42" t="s">
        <v>63</v>
      </c>
      <c r="AF105" s="42" t="s">
        <v>63</v>
      </c>
      <c r="AG105" s="42" t="s">
        <v>63</v>
      </c>
      <c r="AH105" s="42" t="s">
        <v>63</v>
      </c>
      <c r="AI105" s="42"/>
      <c r="AJ105" s="42" t="s">
        <v>64</v>
      </c>
      <c r="AK105" s="42"/>
      <c r="AL105" s="42" t="s">
        <v>63</v>
      </c>
      <c r="AM105" s="42"/>
      <c r="AN105" s="42" t="s">
        <v>63</v>
      </c>
      <c r="AO105" s="42" t="s">
        <v>64</v>
      </c>
      <c r="AP105" s="42" t="s">
        <v>63</v>
      </c>
      <c r="AQ105" s="42" t="s">
        <v>63</v>
      </c>
      <c r="AR105" s="42"/>
      <c r="AS105" s="42" t="s">
        <v>63</v>
      </c>
      <c r="AT105" s="42" t="s">
        <v>63</v>
      </c>
      <c r="AU105" s="42"/>
      <c r="AV105" s="42"/>
      <c r="AW105" s="42" t="s">
        <v>63</v>
      </c>
      <c r="AX105" s="42" t="s">
        <v>63</v>
      </c>
      <c r="AY105" s="42" t="s">
        <v>63</v>
      </c>
      <c r="AZ105" s="42" t="s">
        <v>63</v>
      </c>
      <c r="BA105" s="42"/>
      <c r="BB105" s="42" t="s">
        <v>64</v>
      </c>
      <c r="BC105" s="42" t="s">
        <v>63</v>
      </c>
      <c r="BD105" s="42" t="s">
        <v>63</v>
      </c>
      <c r="BE105" s="42" t="s">
        <v>63</v>
      </c>
      <c r="BF105" s="42" t="s">
        <v>63</v>
      </c>
      <c r="BG105" s="42" t="s">
        <v>63</v>
      </c>
      <c r="BH105" s="42" t="s">
        <v>63</v>
      </c>
      <c r="BI105" s="42" t="s">
        <v>63</v>
      </c>
      <c r="BJ105" s="42" t="s">
        <v>64</v>
      </c>
      <c r="BK105" s="42" t="s">
        <v>63</v>
      </c>
      <c r="BL105" s="42" t="s">
        <v>63</v>
      </c>
    </row>
    <row r="106" spans="1:64">
      <c r="A106" s="33" t="s">
        <v>1176</v>
      </c>
      <c r="B106" s="34" t="s">
        <v>223</v>
      </c>
      <c r="C106" s="34" t="s">
        <v>223</v>
      </c>
      <c r="D106" s="33" t="s">
        <v>224</v>
      </c>
      <c r="E106" s="34">
        <f>IF(_xlfn.IFNA(VLOOKUP(B106,Data!B:G,3,FALSE),"")=0, "", _xlfn.IFNA(VLOOKUP(B106,Data!B:G,3,FALSE),""))</f>
        <v>3</v>
      </c>
      <c r="F106" s="66" t="s">
        <v>116</v>
      </c>
      <c r="H106" s="66" t="str">
        <f>IF(_xlfn.IFNA(VLOOKUP(C106,Data!A:G,5,FALSE),"")=0, "Check course registration information", _xlfn.IFNA(VLOOKUP(C106,Data!A:G,5,FALSE),""))</f>
        <v>ECE 43700</v>
      </c>
      <c r="J106" s="33" t="str">
        <f>IF(_xlfn.IFNA(VLOOKUP(C106,Data!A:G,6,FALSE),"")=0, "Check course registration information", _xlfn.IFNA(VLOOKUP(C106,Data!A:G,6,FALSE),""))</f>
        <v>This course provides an introduction to the design of embedded and ubiquitous computing systems including their hardware and software architectures, design methodologies and tools, and communication protocols. The lectures are organized into three parts namely, (a) basic design principles including specification and modeling, hardware components and platforms, software organization, embedded and real-time operating systems, interfacing with external environments using sensors and actuators, and communication in distributed embedded systems, (b) advanced topics such as energy management, safety and reliability, and security, and (c) case-studies of real-world systems from a variety of embedded application domains such as biomedical devices, smart cards and RFID, networked sensors, personal computing devices, home appliances and electronics, mobile robotics, etc. In addition to hands-on programming assignments using off-the-shelf embedded system development kits, the course will feature a comprehensive project where students will design, implement, and evaluate a prototype embedded system</v>
      </c>
      <c r="K106" s="33" t="str">
        <f>IF(_xlfn.IFNA(VLOOKUP(C106,Data!A:H,7,FALSE),"")=0, "", _xlfn.IFNA(HYPERLINK(VLOOKUP(C106,Data!A:H,7,FALSE),"Catalog Link"),""))</f>
        <v>Catalog Link</v>
      </c>
      <c r="L106" s="33" t="str">
        <f>IF(_xlfn.IFNA(VLOOKUP(C106,Data!A:I,8,FALSE),"")=0, "", _xlfn.IFNA(HYPERLINK(VLOOKUP(C106,Data!A:I,8,FALSE),"Additional Information"),""))</f>
        <v>Additional Information</v>
      </c>
      <c r="M106" s="34">
        <f t="shared" si="2"/>
        <v>2</v>
      </c>
      <c r="N106" s="42" t="s">
        <v>64</v>
      </c>
      <c r="O106" s="42" t="s">
        <v>63</v>
      </c>
      <c r="P106" s="42" t="s">
        <v>63</v>
      </c>
      <c r="Q106" s="42" t="s">
        <v>63</v>
      </c>
      <c r="R106" s="42" t="s">
        <v>63</v>
      </c>
      <c r="S106" s="42" t="s">
        <v>63</v>
      </c>
      <c r="T106" s="42" t="s">
        <v>63</v>
      </c>
      <c r="U106" s="42" t="s">
        <v>63</v>
      </c>
      <c r="V106" s="42" t="s">
        <v>63</v>
      </c>
      <c r="W106" s="42" t="s">
        <v>63</v>
      </c>
      <c r="X106" s="42" t="s">
        <v>63</v>
      </c>
      <c r="Y106" s="42" t="s">
        <v>63</v>
      </c>
      <c r="Z106" s="42" t="s">
        <v>63</v>
      </c>
      <c r="AA106" s="42" t="s">
        <v>63</v>
      </c>
      <c r="AB106" s="42" t="s">
        <v>63</v>
      </c>
      <c r="AC106" s="42"/>
      <c r="AD106" s="42" t="s">
        <v>63</v>
      </c>
      <c r="AE106" s="42" t="s">
        <v>63</v>
      </c>
      <c r="AF106" s="42" t="s">
        <v>63</v>
      </c>
      <c r="AG106" s="42" t="s">
        <v>63</v>
      </c>
      <c r="AH106" s="42" t="s">
        <v>63</v>
      </c>
      <c r="AI106" s="42"/>
      <c r="AJ106" s="42" t="s">
        <v>63</v>
      </c>
      <c r="AK106" s="42"/>
      <c r="AL106" s="42" t="s">
        <v>63</v>
      </c>
      <c r="AM106" s="42"/>
      <c r="AN106" s="42" t="s">
        <v>63</v>
      </c>
      <c r="AO106" s="42" t="s">
        <v>63</v>
      </c>
      <c r="AP106" s="42" t="s">
        <v>63</v>
      </c>
      <c r="AQ106" s="42" t="s">
        <v>63</v>
      </c>
      <c r="AR106" s="42"/>
      <c r="AS106" s="42" t="s">
        <v>63</v>
      </c>
      <c r="AT106" s="42" t="s">
        <v>63</v>
      </c>
      <c r="AU106" s="42"/>
      <c r="AV106" s="42"/>
      <c r="AW106" s="42" t="s">
        <v>63</v>
      </c>
      <c r="AX106" s="42" t="s">
        <v>63</v>
      </c>
      <c r="AY106" s="42" t="s">
        <v>63</v>
      </c>
      <c r="AZ106" s="42" t="s">
        <v>63</v>
      </c>
      <c r="BA106" s="42"/>
      <c r="BB106" s="42" t="s">
        <v>64</v>
      </c>
      <c r="BC106" s="42" t="s">
        <v>63</v>
      </c>
      <c r="BD106" s="42" t="s">
        <v>63</v>
      </c>
      <c r="BE106" s="42" t="s">
        <v>63</v>
      </c>
      <c r="BF106" s="42" t="s">
        <v>63</v>
      </c>
      <c r="BG106" s="42" t="s">
        <v>63</v>
      </c>
      <c r="BH106" s="42" t="s">
        <v>63</v>
      </c>
      <c r="BI106" s="42" t="s">
        <v>63</v>
      </c>
      <c r="BJ106" s="42" t="s">
        <v>63</v>
      </c>
      <c r="BK106" s="42" t="s">
        <v>63</v>
      </c>
      <c r="BL106" s="42" t="s">
        <v>63</v>
      </c>
    </row>
    <row r="107" spans="1:64">
      <c r="A107" s="55" t="s">
        <v>1574</v>
      </c>
      <c r="B107" s="34" t="s">
        <v>70</v>
      </c>
      <c r="C107" s="34" t="s">
        <v>70</v>
      </c>
      <c r="D107" s="33" t="s">
        <v>565</v>
      </c>
      <c r="E107" s="34">
        <f>IF(_xlfn.IFNA(VLOOKUP(B107,Data!B:G,3,FALSE),"")=0, "", _xlfn.IFNA(VLOOKUP(B107,Data!B:G,3,FALSE),""))</f>
        <v>3</v>
      </c>
      <c r="F107" s="66" t="s">
        <v>69</v>
      </c>
      <c r="H107" s="66" t="str">
        <f>IF(_xlfn.IFNA(VLOOKUP(C107,Data!A:G,5,FALSE),"")=0, "Check course registration information", _xlfn.IFNA(VLOOKUP(C107,Data!A:G,5,FALSE),""))</f>
        <v>Junior-level standing in an ABET accredited engineering curriculum or permission of course instructor</v>
      </c>
      <c r="I107" s="33" t="s">
        <v>1474</v>
      </c>
      <c r="J107" s="33" t="str">
        <f>IF(_xlfn.IFNA(VLOOKUP(C107,Data!A:G,6,FALSE),"")=0, "Check course registration information", _xlfn.IFNA(VLOOKUP(C107,Data!A:G,6,FALSE),""))</f>
        <v xml:space="preserve">This course provides a broad, hands-on introduction to principles and practices of electronics packaging. The course is broadly divided into four major modules as well as other smaller modules. The major modules provide a practical background (as it relates to electronic packaging) electrical, thermal, mechanical and materials characterization. Design considerations as well as materials selection in the above topics will also be addressed. The minor modules include package fabrication and assembly, radiation hardening, and statistical modeling and data analysis. The class will be primarily a lab-oriented with 1 lecture and 4 hours of hands-on lab each week. </v>
      </c>
      <c r="K107" s="33" t="str">
        <f>IF(_xlfn.IFNA(VLOOKUP(C107,Data!A:H,7,FALSE),"")=0, "", _xlfn.IFNA(HYPERLINK(VLOOKUP(C107,Data!A:H,7,FALSE),"Catalog Link"),""))</f>
        <v>Catalog Link</v>
      </c>
      <c r="L107" s="33" t="str">
        <f>IF(_xlfn.IFNA(VLOOKUP(C107,Data!A:I,8,FALSE),"")=0, "", _xlfn.IFNA(HYPERLINK(VLOOKUP(C107,Data!A:I,8,FALSE),"Additional Information"),""))</f>
        <v>Additional Information</v>
      </c>
      <c r="M107" s="34">
        <f t="shared" si="2"/>
        <v>6</v>
      </c>
      <c r="N107" s="42" t="s">
        <v>63</v>
      </c>
      <c r="O107" s="42" t="s">
        <v>63</v>
      </c>
      <c r="P107" s="42" t="s">
        <v>63</v>
      </c>
      <c r="Q107" s="42" t="s">
        <v>63</v>
      </c>
      <c r="R107" s="42" t="s">
        <v>63</v>
      </c>
      <c r="S107" s="42" t="s">
        <v>64</v>
      </c>
      <c r="T107" s="42" t="s">
        <v>63</v>
      </c>
      <c r="U107" s="42" t="s">
        <v>64</v>
      </c>
      <c r="V107" s="42" t="s">
        <v>63</v>
      </c>
      <c r="W107" s="42" t="s">
        <v>63</v>
      </c>
      <c r="X107" s="42" t="s">
        <v>63</v>
      </c>
      <c r="Y107" s="42" t="s">
        <v>63</v>
      </c>
      <c r="Z107" s="42" t="s">
        <v>63</v>
      </c>
      <c r="AA107" s="42" t="s">
        <v>63</v>
      </c>
      <c r="AB107" s="42" t="s">
        <v>63</v>
      </c>
      <c r="AC107" s="42"/>
      <c r="AD107" s="42" t="s">
        <v>63</v>
      </c>
      <c r="AE107" s="42" t="s">
        <v>63</v>
      </c>
      <c r="AF107" s="42" t="s">
        <v>63</v>
      </c>
      <c r="AG107" s="42"/>
      <c r="AH107" s="42" t="s">
        <v>63</v>
      </c>
      <c r="AI107" s="42"/>
      <c r="AJ107" s="42" t="s">
        <v>63</v>
      </c>
      <c r="AK107" s="42"/>
      <c r="AL107" s="42" t="s">
        <v>63</v>
      </c>
      <c r="AM107" s="42"/>
      <c r="AN107" s="42"/>
      <c r="AO107" s="42" t="s">
        <v>63</v>
      </c>
      <c r="AP107" s="42" t="s">
        <v>63</v>
      </c>
      <c r="AQ107" s="42" t="s">
        <v>63</v>
      </c>
      <c r="AR107" s="42"/>
      <c r="AS107" s="42"/>
      <c r="AT107" s="42" t="s">
        <v>63</v>
      </c>
      <c r="AU107" s="42"/>
      <c r="AV107" s="42"/>
      <c r="AW107" s="42" t="s">
        <v>63</v>
      </c>
      <c r="AX107" s="42" t="s">
        <v>64</v>
      </c>
      <c r="AY107" s="42" t="s">
        <v>64</v>
      </c>
      <c r="AZ107" s="42" t="s">
        <v>63</v>
      </c>
      <c r="BA107" s="42"/>
      <c r="BB107" s="42" t="s">
        <v>63</v>
      </c>
      <c r="BC107" s="42" t="s">
        <v>63</v>
      </c>
      <c r="BD107" s="42" t="s">
        <v>63</v>
      </c>
      <c r="BE107" s="42" t="s">
        <v>63</v>
      </c>
      <c r="BF107" s="42" t="s">
        <v>64</v>
      </c>
      <c r="BG107" s="42" t="s">
        <v>63</v>
      </c>
      <c r="BH107" s="42" t="s">
        <v>63</v>
      </c>
      <c r="BI107" s="42" t="s">
        <v>64</v>
      </c>
      <c r="BJ107" s="42" t="s">
        <v>63</v>
      </c>
      <c r="BK107" s="42" t="s">
        <v>63</v>
      </c>
      <c r="BL107" s="42" t="s">
        <v>63</v>
      </c>
    </row>
    <row r="108" spans="1:64">
      <c r="A108" s="55" t="s">
        <v>1176</v>
      </c>
      <c r="B108" s="34" t="s">
        <v>70</v>
      </c>
      <c r="C108" s="34" t="s">
        <v>1187</v>
      </c>
      <c r="D108" s="33" t="s">
        <v>226</v>
      </c>
      <c r="E108" s="34">
        <f>IF(_xlfn.IFNA(VLOOKUP(B108,Data!B:G,3,FALSE),"")=0, "", _xlfn.IFNA(VLOOKUP(B108,Data!B:G,3,FALSE),""))</f>
        <v>3</v>
      </c>
      <c r="F108" s="66" t="s">
        <v>116</v>
      </c>
      <c r="H108" s="66" t="str">
        <f>IF(_xlfn.IFNA(VLOOKUP(C108,Data!A:G,5,FALSE),"")=0, "Check course registration information", _xlfn.IFNA(VLOOKUP(C108,Data!A:G,5,FALSE),""))</f>
        <v>ECE 20875</v>
      </c>
      <c r="J108" s="33" t="str">
        <f>IF(_xlfn.IFNA(VLOOKUP(C108,Data!A:G,6,FALSE),"")=0, "Check course registration information", _xlfn.IFNA(VLOOKUP(C108,Data!A:G,6,FALSE),""))</f>
        <v>This course provides an overview of running computer vision (OpenCV and PyTorch) on an embedded system (Raspberry Pi). The course emphasizes on the resource constraints imposed by embedded systems and examines methods (such as quantization and pruning) to reduce resource requirements. This course will have programming assignments and projects proposed by the students.</v>
      </c>
      <c r="K108" s="33" t="str">
        <f>IF(_xlfn.IFNA(VLOOKUP(C108,Data!A:H,7,FALSE),"")=0, "", _xlfn.IFNA(HYPERLINK(VLOOKUP(C108,Data!A:H,7,FALSE),"Catalog Link"),""))</f>
        <v>Catalog Link</v>
      </c>
      <c r="L108" s="33" t="str">
        <f>IF(_xlfn.IFNA(VLOOKUP(C108,Data!A:I,8,FALSE),"")=0, "", _xlfn.IFNA(HYPERLINK(VLOOKUP(C108,Data!A:I,8,FALSE),"Additional Information"),""))</f>
        <v>Additional Information</v>
      </c>
      <c r="M108" s="34">
        <f t="shared" si="2"/>
        <v>1</v>
      </c>
      <c r="N108" s="42" t="s">
        <v>63</v>
      </c>
      <c r="O108" s="42" t="s">
        <v>63</v>
      </c>
      <c r="P108" s="42" t="s">
        <v>63</v>
      </c>
      <c r="Q108" s="42" t="s">
        <v>63</v>
      </c>
      <c r="R108" s="42" t="s">
        <v>63</v>
      </c>
      <c r="S108" s="42" t="s">
        <v>63</v>
      </c>
      <c r="T108" s="42" t="s">
        <v>63</v>
      </c>
      <c r="U108" s="42" t="s">
        <v>63</v>
      </c>
      <c r="V108" s="42" t="s">
        <v>63</v>
      </c>
      <c r="W108" s="42" t="s">
        <v>63</v>
      </c>
      <c r="X108" s="42" t="s">
        <v>63</v>
      </c>
      <c r="Y108" s="42" t="s">
        <v>63</v>
      </c>
      <c r="Z108" s="42" t="s">
        <v>63</v>
      </c>
      <c r="AA108" s="42" t="s">
        <v>64</v>
      </c>
      <c r="AB108" s="42" t="s">
        <v>63</v>
      </c>
      <c r="AC108" s="42"/>
      <c r="AD108" s="42" t="s">
        <v>63</v>
      </c>
      <c r="AE108" s="42" t="s">
        <v>63</v>
      </c>
      <c r="AF108" s="42" t="s">
        <v>63</v>
      </c>
      <c r="AG108" s="42" t="s">
        <v>63</v>
      </c>
      <c r="AH108" s="42" t="s">
        <v>63</v>
      </c>
      <c r="AI108" s="42"/>
      <c r="AJ108" s="42" t="s">
        <v>63</v>
      </c>
      <c r="AK108" s="42"/>
      <c r="AL108" s="42" t="s">
        <v>63</v>
      </c>
      <c r="AM108" s="42"/>
      <c r="AN108" s="42" t="s">
        <v>63</v>
      </c>
      <c r="AO108" s="42" t="s">
        <v>63</v>
      </c>
      <c r="AP108" s="42" t="s">
        <v>63</v>
      </c>
      <c r="AQ108" s="42" t="s">
        <v>63</v>
      </c>
      <c r="AR108" s="42"/>
      <c r="AS108" s="42" t="s">
        <v>63</v>
      </c>
      <c r="AT108" s="42" t="s">
        <v>63</v>
      </c>
      <c r="AU108" s="42"/>
      <c r="AV108" s="42"/>
      <c r="AW108" s="42" t="s">
        <v>63</v>
      </c>
      <c r="AX108" s="42" t="s">
        <v>63</v>
      </c>
      <c r="AY108" s="42" t="s">
        <v>63</v>
      </c>
      <c r="AZ108" s="42" t="s">
        <v>63</v>
      </c>
      <c r="BA108" s="42"/>
      <c r="BB108" s="42" t="s">
        <v>63</v>
      </c>
      <c r="BC108" s="42" t="s">
        <v>63</v>
      </c>
      <c r="BD108" s="42" t="s">
        <v>63</v>
      </c>
      <c r="BE108" s="42" t="s">
        <v>63</v>
      </c>
      <c r="BF108" s="42" t="s">
        <v>63</v>
      </c>
      <c r="BG108" s="42" t="s">
        <v>63</v>
      </c>
      <c r="BH108" s="42" t="s">
        <v>63</v>
      </c>
      <c r="BI108" s="42" t="s">
        <v>63</v>
      </c>
      <c r="BJ108" s="42" t="s">
        <v>63</v>
      </c>
      <c r="BK108" s="42" t="s">
        <v>63</v>
      </c>
      <c r="BL108" s="42" t="s">
        <v>63</v>
      </c>
    </row>
    <row r="109" spans="1:64">
      <c r="A109" s="55" t="s">
        <v>1176</v>
      </c>
      <c r="B109" s="34" t="s">
        <v>70</v>
      </c>
      <c r="C109" s="34" t="s">
        <v>1196</v>
      </c>
      <c r="D109" s="33" t="s">
        <v>274</v>
      </c>
      <c r="E109" s="34">
        <f>IF(_xlfn.IFNA(VLOOKUP(B109,Data!B:G,3,FALSE),"")=0, "", _xlfn.IFNA(VLOOKUP(B109,Data!B:G,3,FALSE),""))</f>
        <v>3</v>
      </c>
      <c r="F109" s="66" t="s">
        <v>241</v>
      </c>
      <c r="H109" s="66" t="str">
        <f>IF(_xlfn.IFNA(VLOOKUP(C109,Data!A:G,5,FALSE),"")=0, "Check course registration information", _xlfn.IFNA(VLOOKUP(C109,Data!A:G,5,FALSE),""))</f>
        <v>PHYS 27200 or equivalent</v>
      </c>
      <c r="J109" s="33" t="str">
        <f>IF(_xlfn.IFNA(VLOOKUP(C109,Data!A:G,6,FALSE),"")=0, "Check course registration information", _xlfn.IFNA(VLOOKUP(C109,Data!A:G,6,FALSE),""))</f>
        <v>This course is the second 1-credit module in a 3-module series. This module introduces the fundamentals of MEMS design. We begin with the design and analysis of micromechanical springs most commonly used in successful MEMS devices. Next, we investigate popular transduction mechanisms, which allow the needed conversion of energy between electrical signals and mechanical motion (and vice versa). This is a critical component of all MEMS actuators and sensors. The course focuses primarily on electrostatic and piezoelectric transduction. Modeling of MEMS devices is then considered, with focus on linearized models and electromechanical resonance.</v>
      </c>
      <c r="K109" s="33" t="str">
        <f>IF(_xlfn.IFNA(VLOOKUP(C109,Data!A:H,7,FALSE),"")=0, "", _xlfn.IFNA(HYPERLINK(VLOOKUP(C109,Data!A:H,7,FALSE),"Catalog Link"),""))</f>
        <v>Catalog Link</v>
      </c>
      <c r="L109" s="33" t="str">
        <f>IF(_xlfn.IFNA(VLOOKUP(C109,Data!A:I,8,FALSE),"")=0, "", _xlfn.IFNA(HYPERLINK(VLOOKUP(C109,Data!A:I,8,FALSE),"Additional Information"),""))</f>
        <v>Additional Information</v>
      </c>
      <c r="M109" s="34">
        <f t="shared" si="2"/>
        <v>3</v>
      </c>
      <c r="N109" s="42" t="s">
        <v>63</v>
      </c>
      <c r="O109" s="42" t="s">
        <v>63</v>
      </c>
      <c r="P109" s="42" t="s">
        <v>63</v>
      </c>
      <c r="Q109" s="42" t="s">
        <v>63</v>
      </c>
      <c r="R109" s="42" t="s">
        <v>63</v>
      </c>
      <c r="S109" s="42" t="s">
        <v>63</v>
      </c>
      <c r="T109" s="42" t="s">
        <v>63</v>
      </c>
      <c r="U109" s="42" t="s">
        <v>63</v>
      </c>
      <c r="V109" s="42" t="s">
        <v>63</v>
      </c>
      <c r="W109" s="42" t="s">
        <v>63</v>
      </c>
      <c r="X109" s="42" t="s">
        <v>63</v>
      </c>
      <c r="Y109" s="42" t="s">
        <v>64</v>
      </c>
      <c r="Z109" s="42" t="s">
        <v>63</v>
      </c>
      <c r="AA109" s="42" t="s">
        <v>63</v>
      </c>
      <c r="AB109" s="42" t="s">
        <v>63</v>
      </c>
      <c r="AC109" s="42"/>
      <c r="AD109" s="42" t="s">
        <v>63</v>
      </c>
      <c r="AE109" s="42" t="s">
        <v>63</v>
      </c>
      <c r="AF109" s="42" t="s">
        <v>63</v>
      </c>
      <c r="AG109" s="42" t="s">
        <v>63</v>
      </c>
      <c r="AH109" s="42" t="s">
        <v>63</v>
      </c>
      <c r="AI109" s="42"/>
      <c r="AJ109" s="42" t="s">
        <v>63</v>
      </c>
      <c r="AK109" s="42" t="s">
        <v>64</v>
      </c>
      <c r="AL109" s="42" t="s">
        <v>63</v>
      </c>
      <c r="AM109" s="42"/>
      <c r="AN109" s="42" t="s">
        <v>63</v>
      </c>
      <c r="AO109" s="42" t="s">
        <v>63</v>
      </c>
      <c r="AP109" s="42" t="s">
        <v>63</v>
      </c>
      <c r="AQ109" s="42" t="s">
        <v>63</v>
      </c>
      <c r="AR109" s="42"/>
      <c r="AS109" s="42" t="s">
        <v>63</v>
      </c>
      <c r="AT109" s="42" t="s">
        <v>63</v>
      </c>
      <c r="AU109" s="42"/>
      <c r="AV109" s="42"/>
      <c r="AW109" s="42" t="s">
        <v>63</v>
      </c>
      <c r="AX109" s="42" t="s">
        <v>63</v>
      </c>
      <c r="AY109" s="42" t="s">
        <v>63</v>
      </c>
      <c r="AZ109" s="42" t="s">
        <v>63</v>
      </c>
      <c r="BA109" s="42"/>
      <c r="BB109" s="42" t="s">
        <v>63</v>
      </c>
      <c r="BC109" s="42" t="s">
        <v>63</v>
      </c>
      <c r="BD109" s="42" t="s">
        <v>63</v>
      </c>
      <c r="BE109" s="42" t="s">
        <v>63</v>
      </c>
      <c r="BF109" s="42" t="s">
        <v>63</v>
      </c>
      <c r="BG109" s="42" t="s">
        <v>63</v>
      </c>
      <c r="BH109" s="42" t="s">
        <v>63</v>
      </c>
      <c r="BI109" s="42" t="s">
        <v>63</v>
      </c>
      <c r="BJ109" s="42" t="s">
        <v>63</v>
      </c>
      <c r="BK109" s="42" t="s">
        <v>63</v>
      </c>
      <c r="BL109" s="42" t="s">
        <v>64</v>
      </c>
    </row>
    <row r="110" spans="1:64">
      <c r="A110" s="55" t="s">
        <v>1176</v>
      </c>
      <c r="B110" s="34" t="s">
        <v>70</v>
      </c>
      <c r="C110" s="34" t="s">
        <v>1197</v>
      </c>
      <c r="D110" s="33" t="s">
        <v>275</v>
      </c>
      <c r="E110" s="34">
        <f>IF(_xlfn.IFNA(VLOOKUP(B110,Data!B:G,3,FALSE),"")=0, "", _xlfn.IFNA(VLOOKUP(B110,Data!B:G,3,FALSE),""))</f>
        <v>3</v>
      </c>
      <c r="F110" s="66" t="s">
        <v>241</v>
      </c>
      <c r="H110" s="66" t="str">
        <f>IF(_xlfn.IFNA(VLOOKUP(C110,Data!A:G,5,FALSE),"")=0, "Check course registration information", _xlfn.IFNA(VLOOKUP(C110,Data!A:G,5,FALSE),""))</f>
        <v>ECE 59500 MEMS II</v>
      </c>
      <c r="J110" s="33" t="str">
        <f>IF(_xlfn.IFNA(VLOOKUP(C110,Data!A:G,6,FALSE),"")=0, "Check course registration information", _xlfn.IFNA(VLOOKUP(C110,Data!A:G,6,FALSE),""))</f>
        <v>This module surveys both established and emergent applications of MEMS. With the growing demand for cheap, microscale, low power sensors, the first part of this course will cover MEMS sensor applications including inertial, chemical, field, and IR sensor devices. We will discuss limits of sensitivity, design, fabrication, and system-level integration. Other topics will include microrobotics, optical MEMS, BioMEMS and Lab on a Chip, and quantum computing with MEMS/NEMS.</v>
      </c>
      <c r="K110" s="33" t="str">
        <f>IF(_xlfn.IFNA(VLOOKUP(C110,Data!A:H,7,FALSE),"")=0, "", _xlfn.IFNA(HYPERLINK(VLOOKUP(C110,Data!A:H,7,FALSE),"Catalog Link"),""))</f>
        <v>Catalog Link</v>
      </c>
      <c r="L110" s="33" t="str">
        <f>IF(_xlfn.IFNA(VLOOKUP(C110,Data!A:I,8,FALSE),"")=0, "", _xlfn.IFNA(HYPERLINK(VLOOKUP(C110,Data!A:I,8,FALSE),"Additional Information"),""))</f>
        <v>Additional Information</v>
      </c>
      <c r="M110" s="34">
        <f t="shared" si="2"/>
        <v>3</v>
      </c>
      <c r="N110" s="42" t="s">
        <v>63</v>
      </c>
      <c r="O110" s="42" t="s">
        <v>63</v>
      </c>
      <c r="P110" s="42" t="s">
        <v>63</v>
      </c>
      <c r="Q110" s="42" t="s">
        <v>63</v>
      </c>
      <c r="R110" s="42" t="s">
        <v>63</v>
      </c>
      <c r="S110" s="42" t="s">
        <v>63</v>
      </c>
      <c r="T110" s="42" t="s">
        <v>63</v>
      </c>
      <c r="U110" s="42" t="s">
        <v>63</v>
      </c>
      <c r="V110" s="42" t="s">
        <v>63</v>
      </c>
      <c r="W110" s="42" t="s">
        <v>63</v>
      </c>
      <c r="X110" s="42" t="s">
        <v>63</v>
      </c>
      <c r="Y110" s="42" t="s">
        <v>64</v>
      </c>
      <c r="Z110" s="42" t="s">
        <v>63</v>
      </c>
      <c r="AA110" s="42" t="s">
        <v>63</v>
      </c>
      <c r="AB110" s="42" t="s">
        <v>63</v>
      </c>
      <c r="AC110" s="42"/>
      <c r="AD110" s="42" t="s">
        <v>63</v>
      </c>
      <c r="AE110" s="42" t="s">
        <v>63</v>
      </c>
      <c r="AF110" s="42" t="s">
        <v>63</v>
      </c>
      <c r="AG110" s="42" t="s">
        <v>63</v>
      </c>
      <c r="AH110" s="42" t="s">
        <v>63</v>
      </c>
      <c r="AI110" s="42"/>
      <c r="AJ110" s="42" t="s">
        <v>63</v>
      </c>
      <c r="AK110" s="42" t="s">
        <v>64</v>
      </c>
      <c r="AL110" s="42" t="s">
        <v>63</v>
      </c>
      <c r="AM110" s="42"/>
      <c r="AN110" s="42" t="s">
        <v>63</v>
      </c>
      <c r="AO110" s="42" t="s">
        <v>63</v>
      </c>
      <c r="AP110" s="42" t="s">
        <v>63</v>
      </c>
      <c r="AQ110" s="42" t="s">
        <v>63</v>
      </c>
      <c r="AR110" s="42"/>
      <c r="AS110" s="42" t="s">
        <v>63</v>
      </c>
      <c r="AT110" s="42" t="s">
        <v>63</v>
      </c>
      <c r="AU110" s="42"/>
      <c r="AV110" s="42"/>
      <c r="AW110" s="42" t="s">
        <v>63</v>
      </c>
      <c r="AX110" s="42" t="s">
        <v>63</v>
      </c>
      <c r="AY110" s="42" t="s">
        <v>63</v>
      </c>
      <c r="AZ110" s="42" t="s">
        <v>63</v>
      </c>
      <c r="BA110" s="42"/>
      <c r="BB110" s="42" t="s">
        <v>63</v>
      </c>
      <c r="BC110" s="42" t="s">
        <v>63</v>
      </c>
      <c r="BD110" s="42" t="s">
        <v>63</v>
      </c>
      <c r="BE110" s="42" t="s">
        <v>63</v>
      </c>
      <c r="BF110" s="42" t="s">
        <v>63</v>
      </c>
      <c r="BG110" s="42" t="s">
        <v>63</v>
      </c>
      <c r="BH110" s="42" t="s">
        <v>63</v>
      </c>
      <c r="BI110" s="42" t="s">
        <v>63</v>
      </c>
      <c r="BJ110" s="42" t="s">
        <v>63</v>
      </c>
      <c r="BK110" s="42" t="s">
        <v>63</v>
      </c>
      <c r="BL110" s="42" t="s">
        <v>64</v>
      </c>
    </row>
    <row r="111" spans="1:64">
      <c r="A111" s="33" t="s">
        <v>1177</v>
      </c>
      <c r="B111" s="34" t="s">
        <v>70</v>
      </c>
      <c r="C111" s="34" t="s">
        <v>1198</v>
      </c>
      <c r="D111" s="33" t="s">
        <v>276</v>
      </c>
      <c r="E111" s="34">
        <f>IF(_xlfn.IFNA(VLOOKUP(B111,Data!B:G,3,FALSE),"")=0, "", _xlfn.IFNA(VLOOKUP(B111,Data!B:G,3,FALSE),""))</f>
        <v>3</v>
      </c>
      <c r="F111" s="33" t="s">
        <v>1175</v>
      </c>
      <c r="G111" s="33"/>
      <c r="H111" s="33" t="str">
        <f>IF(_xlfn.IFNA(VLOOKUP(C111,Data!A:G,5,FALSE),"")=0, "Check course registration information", _xlfn.IFNA(VLOOKUP(C111,Data!A:G,5,FALSE),""))</f>
        <v>N/A</v>
      </c>
      <c r="I111" s="33" t="s">
        <v>1393</v>
      </c>
      <c r="J111" s="33" t="str">
        <f>IF(_xlfn.IFNA(VLOOKUP(C111,Data!A:G,6,FALSE),"")=0, "Check course registration information", _xlfn.IFNA(VLOOKUP(C111,Data!A:G,6,FALSE),""))</f>
        <v>Replaced with 50631</v>
      </c>
      <c r="K111" s="33" t="str">
        <f>IF(_xlfn.IFNA(VLOOKUP(C111,Data!A:H,7,FALSE),"")=0, "", _xlfn.IFNA(HYPERLINK(VLOOKUP(C111,Data!A:H,7,FALSE),"Catalog Link"),""))</f>
        <v>Catalog Link</v>
      </c>
      <c r="L111" s="33" t="str">
        <f>IF(_xlfn.IFNA(VLOOKUP(C111,Data!A:I,8,FALSE),"")=0, "", _xlfn.IFNA(HYPERLINK(VLOOKUP(C111,Data!A:I,8,FALSE),"Additional Information"),""))</f>
        <v/>
      </c>
      <c r="M111" s="34">
        <f t="shared" si="2"/>
        <v>2</v>
      </c>
      <c r="N111" s="42" t="s">
        <v>63</v>
      </c>
      <c r="O111" s="42" t="s">
        <v>63</v>
      </c>
      <c r="P111" s="42" t="s">
        <v>63</v>
      </c>
      <c r="Q111" s="42" t="s">
        <v>63</v>
      </c>
      <c r="R111" s="42" t="s">
        <v>63</v>
      </c>
      <c r="S111" s="42" t="s">
        <v>63</v>
      </c>
      <c r="T111" s="42" t="s">
        <v>63</v>
      </c>
      <c r="U111" s="42" t="s">
        <v>63</v>
      </c>
      <c r="V111" s="42" t="s">
        <v>63</v>
      </c>
      <c r="W111" s="42" t="s">
        <v>63</v>
      </c>
      <c r="X111" s="42" t="s">
        <v>63</v>
      </c>
      <c r="Y111" s="42" t="s">
        <v>64</v>
      </c>
      <c r="Z111" s="42" t="s">
        <v>63</v>
      </c>
      <c r="AA111" s="43" t="s">
        <v>63</v>
      </c>
      <c r="AB111" s="42" t="s">
        <v>63</v>
      </c>
      <c r="AC111" s="42"/>
      <c r="AD111" s="42" t="s">
        <v>63</v>
      </c>
      <c r="AE111" s="42" t="s">
        <v>63</v>
      </c>
      <c r="AF111" s="42" t="s">
        <v>63</v>
      </c>
      <c r="AG111" s="42" t="s">
        <v>63</v>
      </c>
      <c r="AH111" s="42" t="s">
        <v>63</v>
      </c>
      <c r="AI111" s="42"/>
      <c r="AJ111" s="42" t="s">
        <v>63</v>
      </c>
      <c r="AK111" s="42"/>
      <c r="AL111" s="42" t="s">
        <v>63</v>
      </c>
      <c r="AM111" s="42"/>
      <c r="AN111" s="42" t="s">
        <v>63</v>
      </c>
      <c r="AO111" s="42" t="s">
        <v>63</v>
      </c>
      <c r="AP111" s="42" t="s">
        <v>63</v>
      </c>
      <c r="AQ111" s="42" t="s">
        <v>63</v>
      </c>
      <c r="AR111" s="42"/>
      <c r="AS111" s="42" t="s">
        <v>63</v>
      </c>
      <c r="AT111" s="42" t="s">
        <v>63</v>
      </c>
      <c r="AU111" s="42"/>
      <c r="AV111" s="42"/>
      <c r="AW111" s="42" t="s">
        <v>63</v>
      </c>
      <c r="AX111" s="42" t="s">
        <v>63</v>
      </c>
      <c r="AY111" s="42" t="s">
        <v>63</v>
      </c>
      <c r="AZ111" s="42" t="s">
        <v>63</v>
      </c>
      <c r="BA111" s="42"/>
      <c r="BB111" s="42" t="s">
        <v>64</v>
      </c>
      <c r="BC111" s="42" t="s">
        <v>63</v>
      </c>
      <c r="BD111" s="42" t="s">
        <v>63</v>
      </c>
      <c r="BE111" s="42" t="s">
        <v>63</v>
      </c>
      <c r="BF111" s="42" t="s">
        <v>63</v>
      </c>
      <c r="BG111" s="42" t="s">
        <v>63</v>
      </c>
      <c r="BH111" s="42" t="s">
        <v>63</v>
      </c>
      <c r="BI111" s="42" t="s">
        <v>63</v>
      </c>
      <c r="BJ111" s="42" t="s">
        <v>63</v>
      </c>
      <c r="BK111" s="42" t="s">
        <v>63</v>
      </c>
      <c r="BL111" s="42" t="s">
        <v>63</v>
      </c>
    </row>
    <row r="112" spans="1:64" s="36" customFormat="1" ht="15.75">
      <c r="A112" s="33" t="s">
        <v>1177</v>
      </c>
      <c r="B112" s="34" t="s">
        <v>70</v>
      </c>
      <c r="C112" s="34" t="s">
        <v>1199</v>
      </c>
      <c r="D112" s="33" t="s">
        <v>277</v>
      </c>
      <c r="E112" s="34">
        <f>IF(_xlfn.IFNA(VLOOKUP(B112,Data!B:G,3,FALSE),"")=0, "", _xlfn.IFNA(VLOOKUP(B112,Data!B:G,3,FALSE),""))</f>
        <v>3</v>
      </c>
      <c r="F112" s="33" t="s">
        <v>1175</v>
      </c>
      <c r="G112" s="33"/>
      <c r="H112" s="33" t="str">
        <f>IF(_xlfn.IFNA(VLOOKUP(C112,Data!A:G,5,FALSE),"")=0, "Check course registration information", _xlfn.IFNA(VLOOKUP(C112,Data!A:G,5,FALSE),""))</f>
        <v>N/A</v>
      </c>
      <c r="I112" s="33" t="s">
        <v>1394</v>
      </c>
      <c r="J112" s="33" t="str">
        <f>IF(_xlfn.IFNA(VLOOKUP(C112,Data!A:G,6,FALSE),"")=0, "Check course registration information", _xlfn.IFNA(VLOOKUP(C112,Data!A:G,6,FALSE),""))</f>
        <v>Replaced with 50632</v>
      </c>
      <c r="K112" s="33" t="str">
        <f>IF(_xlfn.IFNA(VLOOKUP(C112,Data!A:H,7,FALSE),"")=0, "", _xlfn.IFNA(HYPERLINK(VLOOKUP(C112,Data!A:H,7,FALSE),"Catalog Link"),""))</f>
        <v>Catalog Link</v>
      </c>
      <c r="L112" s="33" t="str">
        <f>IF(_xlfn.IFNA(VLOOKUP(C112,Data!A:I,8,FALSE),"")=0, "", _xlfn.IFNA(HYPERLINK(VLOOKUP(C112,Data!A:I,8,FALSE),"Additional Information"),""))</f>
        <v/>
      </c>
      <c r="M112" s="34">
        <f t="shared" si="2"/>
        <v>2</v>
      </c>
      <c r="N112" s="42" t="s">
        <v>63</v>
      </c>
      <c r="O112" s="42" t="s">
        <v>63</v>
      </c>
      <c r="P112" s="42" t="s">
        <v>63</v>
      </c>
      <c r="Q112" s="42" t="s">
        <v>63</v>
      </c>
      <c r="R112" s="42" t="s">
        <v>63</v>
      </c>
      <c r="S112" s="42" t="s">
        <v>63</v>
      </c>
      <c r="T112" s="42" t="s">
        <v>63</v>
      </c>
      <c r="U112" s="42" t="s">
        <v>63</v>
      </c>
      <c r="V112" s="42" t="s">
        <v>63</v>
      </c>
      <c r="W112" s="42" t="s">
        <v>63</v>
      </c>
      <c r="X112" s="42" t="s">
        <v>63</v>
      </c>
      <c r="Y112" s="42" t="s">
        <v>64</v>
      </c>
      <c r="Z112" s="42" t="s">
        <v>63</v>
      </c>
      <c r="AA112" s="43" t="s">
        <v>63</v>
      </c>
      <c r="AB112" s="42" t="s">
        <v>63</v>
      </c>
      <c r="AC112" s="42"/>
      <c r="AD112" s="42" t="s">
        <v>63</v>
      </c>
      <c r="AE112" s="42" t="s">
        <v>63</v>
      </c>
      <c r="AF112" s="42" t="s">
        <v>63</v>
      </c>
      <c r="AG112" s="42" t="s">
        <v>63</v>
      </c>
      <c r="AH112" s="42" t="s">
        <v>63</v>
      </c>
      <c r="AI112" s="42"/>
      <c r="AJ112" s="42" t="s">
        <v>63</v>
      </c>
      <c r="AK112" s="42"/>
      <c r="AL112" s="42" t="s">
        <v>63</v>
      </c>
      <c r="AM112" s="42"/>
      <c r="AN112" s="42" t="s">
        <v>63</v>
      </c>
      <c r="AO112" s="42" t="s">
        <v>63</v>
      </c>
      <c r="AP112" s="42" t="s">
        <v>63</v>
      </c>
      <c r="AQ112" s="42" t="s">
        <v>63</v>
      </c>
      <c r="AR112" s="42"/>
      <c r="AS112" s="42" t="s">
        <v>63</v>
      </c>
      <c r="AT112" s="42" t="s">
        <v>63</v>
      </c>
      <c r="AU112" s="42"/>
      <c r="AV112" s="42"/>
      <c r="AW112" s="42" t="s">
        <v>63</v>
      </c>
      <c r="AX112" s="42" t="s">
        <v>63</v>
      </c>
      <c r="AY112" s="42" t="s">
        <v>63</v>
      </c>
      <c r="AZ112" s="42" t="s">
        <v>63</v>
      </c>
      <c r="BA112" s="42"/>
      <c r="BB112" s="42" t="s">
        <v>64</v>
      </c>
      <c r="BC112" s="42" t="s">
        <v>63</v>
      </c>
      <c r="BD112" s="42" t="s">
        <v>63</v>
      </c>
      <c r="BE112" s="42" t="s">
        <v>63</v>
      </c>
      <c r="BF112" s="42" t="s">
        <v>63</v>
      </c>
      <c r="BG112" s="42" t="s">
        <v>63</v>
      </c>
      <c r="BH112" s="42" t="s">
        <v>63</v>
      </c>
      <c r="BI112" s="42" t="s">
        <v>63</v>
      </c>
      <c r="BJ112" s="42" t="s">
        <v>63</v>
      </c>
      <c r="BK112" s="42" t="s">
        <v>63</v>
      </c>
      <c r="BL112" s="42" t="s">
        <v>63</v>
      </c>
    </row>
    <row r="113" spans="1:64">
      <c r="A113" s="55" t="s">
        <v>1176</v>
      </c>
      <c r="B113" s="34" t="s">
        <v>70</v>
      </c>
      <c r="C113" s="34" t="s">
        <v>1200</v>
      </c>
      <c r="D113" s="33" t="s">
        <v>278</v>
      </c>
      <c r="E113" s="34">
        <f>IF(_xlfn.IFNA(VLOOKUP(B113,Data!B:G,3,FALSE),"")=0, "", _xlfn.IFNA(VLOOKUP(B113,Data!B:G,3,FALSE),""))</f>
        <v>3</v>
      </c>
      <c r="F113" s="66" t="s">
        <v>106</v>
      </c>
      <c r="H113" s="66" t="str">
        <f>IF(_xlfn.IFNA(VLOOKUP(C113,Data!A:G,5,FALSE),"")=0, "Check course registration information", _xlfn.IFNA(VLOOKUP(C113,Data!A:G,5,FALSE),""))</f>
        <v>MA 26600 and [PHYS 27200 or PHYS 24100] and CHM 11500</v>
      </c>
      <c r="J113" s="33" t="str">
        <f>IF(_xlfn.IFNA(VLOOKUP(C113,Data!A:G,6,FALSE),"")=0, "Check course registration information", _xlfn.IFNA(VLOOKUP(C113,Data!A:G,6,FALSE),""))</f>
        <v>Introduction to principles of microfabrication, including lithography, deposition, etching and planarization. This course provides a framework for understanding processes used in manufacturing of semiconductor devices, integrated circuits, microphotonic and micro-electromechanical systems (MEMS) components.</v>
      </c>
      <c r="K113" s="33" t="str">
        <f>IF(_xlfn.IFNA(VLOOKUP(C113,Data!A:H,7,FALSE),"")=0, "", _xlfn.IFNA(HYPERLINK(VLOOKUP(C113,Data!A:H,7,FALSE),"Catalog Link"),""))</f>
        <v>Catalog Link</v>
      </c>
      <c r="L113" s="33" t="str">
        <f>IF(_xlfn.IFNA(VLOOKUP(C113,Data!A:I,8,FALSE),"")=0, "", _xlfn.IFNA(HYPERLINK(VLOOKUP(C113,Data!A:I,8,FALSE),"Additional Information"),""))</f>
        <v>Additional Information</v>
      </c>
      <c r="M113" s="34">
        <f t="shared" si="2"/>
        <v>2</v>
      </c>
      <c r="N113" s="42" t="s">
        <v>63</v>
      </c>
      <c r="O113" s="42" t="s">
        <v>63</v>
      </c>
      <c r="P113" s="42" t="s">
        <v>63</v>
      </c>
      <c r="Q113" s="42" t="s">
        <v>63</v>
      </c>
      <c r="R113" s="42" t="s">
        <v>63</v>
      </c>
      <c r="S113" s="42" t="s">
        <v>63</v>
      </c>
      <c r="T113" s="42" t="s">
        <v>63</v>
      </c>
      <c r="U113" s="42" t="s">
        <v>63</v>
      </c>
      <c r="V113" s="42" t="s">
        <v>63</v>
      </c>
      <c r="W113" s="42" t="s">
        <v>63</v>
      </c>
      <c r="X113" s="42" t="s">
        <v>63</v>
      </c>
      <c r="Y113" s="42" t="s">
        <v>63</v>
      </c>
      <c r="Z113" s="42" t="s">
        <v>63</v>
      </c>
      <c r="AA113" s="42" t="s">
        <v>63</v>
      </c>
      <c r="AB113" s="42" t="s">
        <v>64</v>
      </c>
      <c r="AC113" s="42"/>
      <c r="AD113" s="42" t="s">
        <v>63</v>
      </c>
      <c r="AE113" s="42" t="s">
        <v>63</v>
      </c>
      <c r="AF113" s="42" t="s">
        <v>63</v>
      </c>
      <c r="AG113" s="42" t="s">
        <v>63</v>
      </c>
      <c r="AH113" s="42" t="s">
        <v>63</v>
      </c>
      <c r="AI113" s="42"/>
      <c r="AJ113" s="42" t="s">
        <v>63</v>
      </c>
      <c r="AK113" s="42"/>
      <c r="AL113" s="42" t="s">
        <v>63</v>
      </c>
      <c r="AM113" s="42"/>
      <c r="AN113" s="42" t="s">
        <v>63</v>
      </c>
      <c r="AO113" s="42" t="s">
        <v>63</v>
      </c>
      <c r="AP113" s="42" t="s">
        <v>63</v>
      </c>
      <c r="AQ113" s="42" t="s">
        <v>63</v>
      </c>
      <c r="AR113" s="42"/>
      <c r="AS113" s="42" t="s">
        <v>63</v>
      </c>
      <c r="AT113" s="42" t="s">
        <v>63</v>
      </c>
      <c r="AU113" s="42"/>
      <c r="AV113" s="42"/>
      <c r="AW113" s="42" t="s">
        <v>63</v>
      </c>
      <c r="AX113" s="42" t="s">
        <v>63</v>
      </c>
      <c r="AY113" s="42" t="s">
        <v>63</v>
      </c>
      <c r="AZ113" s="42" t="s">
        <v>63</v>
      </c>
      <c r="BA113" s="42"/>
      <c r="BB113" s="42" t="s">
        <v>63</v>
      </c>
      <c r="BC113" s="42" t="s">
        <v>63</v>
      </c>
      <c r="BD113" s="42" t="s">
        <v>63</v>
      </c>
      <c r="BE113" s="42" t="s">
        <v>63</v>
      </c>
      <c r="BF113" s="42" t="s">
        <v>63</v>
      </c>
      <c r="BG113" s="42" t="s">
        <v>63</v>
      </c>
      <c r="BH113" s="42" t="s">
        <v>63</v>
      </c>
      <c r="BI113" s="42" t="s">
        <v>63</v>
      </c>
      <c r="BJ113" s="42" t="s">
        <v>63</v>
      </c>
      <c r="BK113" s="42" t="s">
        <v>63</v>
      </c>
      <c r="BL113" s="42" t="s">
        <v>64</v>
      </c>
    </row>
    <row r="114" spans="1:64">
      <c r="A114" s="55" t="s">
        <v>1176</v>
      </c>
      <c r="B114" s="34" t="s">
        <v>70</v>
      </c>
      <c r="C114" s="34" t="s">
        <v>1201</v>
      </c>
      <c r="D114" s="33" t="s">
        <v>279</v>
      </c>
      <c r="E114" s="34">
        <f>IF(_xlfn.IFNA(VLOOKUP(B114,Data!B:G,3,FALSE),"")=0, "", _xlfn.IFNA(VLOOKUP(B114,Data!B:G,3,FALSE),""))</f>
        <v>3</v>
      </c>
      <c r="F114" s="66" t="s">
        <v>241</v>
      </c>
      <c r="H114" s="66" t="str">
        <f>IF(_xlfn.IFNA(VLOOKUP(C114,Data!A:G,5,FALSE),"")=0, "Check course registration information", _xlfn.IFNA(VLOOKUP(C114,Data!A:G,5,FALSE),""))</f>
        <v>(ECE 20002 or ECE 25500) and (PHYS 27200 or PHYS 24100 or PHYS 26100 or PHYS 25100) and (MA 26600 or MA 26200 or MA 3660)</v>
      </c>
      <c r="J114" s="33" t="str">
        <f>IF(_xlfn.IFNA(VLOOKUP(C114,Data!A:G,6,FALSE),"")=0, "Check course registration information", _xlfn.IFNA(VLOOKUP(C114,Data!A:G,6,FALSE),""))</f>
        <v>This course about semiconductors is designed to provide a foundation to understand the operation of devices such as transistors, diodes, solar cells, light-emitting devices, etc. The course does not discuss devices ??? it prepares students to understand the operation of semiconductor devices. The treatment is physical and intuitive, and not heavily mathematical. Technology users will gain an understanding of the semiconductor physics that is the basis for devices. Semiconductor technology developers may find it a useful starting point for diving deeper into condensed matter physics, statistical mechanics, thermodynamics, and materials science. The course presents an electrical engineering perspective on semiconductors, but those in other fields may find it a useful introduction to the approach that has guided the development of semiconductor technology for the past 50+ years. Topics include semiconductor fundamentals such as energy bands, bandgaps, effective masses, electrons and holes, and elements of quantum mechanics. The Fermi function, doping, and carrier densities are then discussed. Carrier transport and generation-recombination are examined along with the important concept of quasi-Fermi levels. The course concludes with the ???semiconductor equations,??? which provide a complete, mathematical description of electrons and holes in semiconductors (subject to some important simplifying assumptions) and ends with a discussion of how energy band diagrams provide a qualitative solution to these equations.</v>
      </c>
      <c r="K114" s="33" t="str">
        <f>IF(_xlfn.IFNA(VLOOKUP(C114,Data!A:H,7,FALSE),"")=0, "", _xlfn.IFNA(HYPERLINK(VLOOKUP(C114,Data!A:H,7,FALSE),"Catalog Link"),""))</f>
        <v>Catalog Link</v>
      </c>
      <c r="L114" s="33" t="str">
        <f>IF(_xlfn.IFNA(VLOOKUP(C114,Data!A:I,8,FALSE),"")=0, "", _xlfn.IFNA(HYPERLINK(VLOOKUP(C114,Data!A:I,8,FALSE),"Additional Information"),""))</f>
        <v>Additional Information</v>
      </c>
      <c r="M114" s="34">
        <f t="shared" si="2"/>
        <v>2</v>
      </c>
      <c r="N114" s="42" t="s">
        <v>63</v>
      </c>
      <c r="O114" s="42" t="s">
        <v>63</v>
      </c>
      <c r="P114" s="42" t="s">
        <v>63</v>
      </c>
      <c r="Q114" s="42" t="s">
        <v>63</v>
      </c>
      <c r="R114" s="42" t="s">
        <v>63</v>
      </c>
      <c r="S114" s="42" t="s">
        <v>63</v>
      </c>
      <c r="T114" s="42" t="s">
        <v>63</v>
      </c>
      <c r="U114" s="42" t="s">
        <v>63</v>
      </c>
      <c r="V114" s="42" t="s">
        <v>63</v>
      </c>
      <c r="W114" s="42" t="s">
        <v>63</v>
      </c>
      <c r="X114" s="42" t="s">
        <v>63</v>
      </c>
      <c r="Y114" s="42" t="s">
        <v>64</v>
      </c>
      <c r="Z114" s="42" t="s">
        <v>63</v>
      </c>
      <c r="AA114" s="42" t="s">
        <v>63</v>
      </c>
      <c r="AB114" s="42" t="s">
        <v>63</v>
      </c>
      <c r="AC114" s="42"/>
      <c r="AD114" s="42" t="s">
        <v>63</v>
      </c>
      <c r="AE114" s="42" t="s">
        <v>63</v>
      </c>
      <c r="AF114" s="42" t="s">
        <v>63</v>
      </c>
      <c r="AG114" s="42" t="s">
        <v>63</v>
      </c>
      <c r="AH114" s="42" t="s">
        <v>63</v>
      </c>
      <c r="AI114" s="42"/>
      <c r="AJ114" s="42" t="s">
        <v>63</v>
      </c>
      <c r="AK114" s="42"/>
      <c r="AL114" s="42" t="s">
        <v>63</v>
      </c>
      <c r="AM114" s="42"/>
      <c r="AN114" s="42" t="s">
        <v>63</v>
      </c>
      <c r="AO114" s="42" t="s">
        <v>63</v>
      </c>
      <c r="AP114" s="42" t="s">
        <v>63</v>
      </c>
      <c r="AQ114" s="42" t="s">
        <v>63</v>
      </c>
      <c r="AR114" s="42"/>
      <c r="AS114" s="42" t="s">
        <v>63</v>
      </c>
      <c r="AT114" s="42" t="s">
        <v>63</v>
      </c>
      <c r="AU114" s="42"/>
      <c r="AV114" s="42"/>
      <c r="AW114" s="42" t="s">
        <v>63</v>
      </c>
      <c r="AX114" s="42" t="s">
        <v>63</v>
      </c>
      <c r="AY114" s="42" t="s">
        <v>63</v>
      </c>
      <c r="AZ114" s="42" t="s">
        <v>63</v>
      </c>
      <c r="BA114" s="42"/>
      <c r="BB114" s="42" t="s">
        <v>64</v>
      </c>
      <c r="BC114" s="42" t="s">
        <v>63</v>
      </c>
      <c r="BD114" s="42" t="s">
        <v>63</v>
      </c>
      <c r="BE114" s="42" t="s">
        <v>63</v>
      </c>
      <c r="BF114" s="42" t="s">
        <v>63</v>
      </c>
      <c r="BG114" s="42" t="s">
        <v>63</v>
      </c>
      <c r="BH114" s="42" t="s">
        <v>63</v>
      </c>
      <c r="BI114" s="42" t="s">
        <v>63</v>
      </c>
      <c r="BJ114" s="42" t="s">
        <v>63</v>
      </c>
      <c r="BK114" s="42" t="s">
        <v>63</v>
      </c>
      <c r="BL114" s="42" t="s">
        <v>63</v>
      </c>
    </row>
    <row r="115" spans="1:64">
      <c r="A115" s="55" t="s">
        <v>1176</v>
      </c>
      <c r="B115" s="34" t="s">
        <v>70</v>
      </c>
      <c r="C115" s="34" t="s">
        <v>1202</v>
      </c>
      <c r="D115" s="33" t="s">
        <v>280</v>
      </c>
      <c r="E115" s="34">
        <f>IF(_xlfn.IFNA(VLOOKUP(B115,Data!B:G,3,FALSE),"")=0, "", _xlfn.IFNA(VLOOKUP(B115,Data!B:G,3,FALSE),""))</f>
        <v>3</v>
      </c>
      <c r="F115" s="66" t="s">
        <v>241</v>
      </c>
      <c r="H115" s="66" t="str">
        <f>IF(_xlfn.IFNA(VLOOKUP(C115,Data!A:G,5,FALSE),"")=0, "Check course registration information", _xlfn.IFNA(VLOOKUP(C115,Data!A:G,5,FALSE),""))</f>
        <v>Check course registration information</v>
      </c>
      <c r="J115" s="33" t="str">
        <f>IF(_xlfn.IFNA(VLOOKUP(C115,Data!A:G,6,FALSE),"")=0, "Check course registration information", _xlfn.IFNA(VLOOKUP(C115,Data!A:G,6,FALSE),""))</f>
        <v>Check course registration information</v>
      </c>
      <c r="K115" s="33" t="str">
        <f>IF(_xlfn.IFNA(VLOOKUP(C115,Data!A:H,7,FALSE),"")=0, "", _xlfn.IFNA(HYPERLINK(VLOOKUP(C115,Data!A:H,7,FALSE),"Catalog Link"),""))</f>
        <v>Catalog Link</v>
      </c>
      <c r="L115" s="33" t="str">
        <f>IF(_xlfn.IFNA(VLOOKUP(C115,Data!A:I,8,FALSE),"")=0, "", _xlfn.IFNA(HYPERLINK(VLOOKUP(C115,Data!A:I,8,FALSE),"Additional Information"),""))</f>
        <v/>
      </c>
      <c r="M115" s="34">
        <f t="shared" si="2"/>
        <v>2</v>
      </c>
      <c r="N115" s="42" t="s">
        <v>63</v>
      </c>
      <c r="O115" s="42" t="s">
        <v>63</v>
      </c>
      <c r="P115" s="42" t="s">
        <v>63</v>
      </c>
      <c r="Q115" s="42" t="s">
        <v>63</v>
      </c>
      <c r="R115" s="42" t="s">
        <v>63</v>
      </c>
      <c r="S115" s="42" t="s">
        <v>63</v>
      </c>
      <c r="T115" s="42" t="s">
        <v>63</v>
      </c>
      <c r="U115" s="42" t="s">
        <v>63</v>
      </c>
      <c r="V115" s="42" t="s">
        <v>63</v>
      </c>
      <c r="W115" s="42" t="s">
        <v>63</v>
      </c>
      <c r="X115" s="42" t="s">
        <v>63</v>
      </c>
      <c r="Y115" s="42" t="s">
        <v>64</v>
      </c>
      <c r="Z115" s="42" t="s">
        <v>63</v>
      </c>
      <c r="AA115" s="42" t="s">
        <v>63</v>
      </c>
      <c r="AB115" s="42" t="s">
        <v>63</v>
      </c>
      <c r="AC115" s="42"/>
      <c r="AD115" s="42" t="s">
        <v>63</v>
      </c>
      <c r="AE115" s="42" t="s">
        <v>63</v>
      </c>
      <c r="AF115" s="42" t="s">
        <v>63</v>
      </c>
      <c r="AG115" s="42" t="s">
        <v>63</v>
      </c>
      <c r="AH115" s="42" t="s">
        <v>63</v>
      </c>
      <c r="AI115" s="42"/>
      <c r="AJ115" s="42" t="s">
        <v>63</v>
      </c>
      <c r="AK115" s="42"/>
      <c r="AL115" s="42" t="s">
        <v>63</v>
      </c>
      <c r="AM115" s="42"/>
      <c r="AN115" s="42" t="s">
        <v>63</v>
      </c>
      <c r="AO115" s="42" t="s">
        <v>63</v>
      </c>
      <c r="AP115" s="42" t="s">
        <v>63</v>
      </c>
      <c r="AQ115" s="42" t="s">
        <v>63</v>
      </c>
      <c r="AR115" s="42"/>
      <c r="AS115" s="42" t="s">
        <v>63</v>
      </c>
      <c r="AT115" s="42" t="s">
        <v>63</v>
      </c>
      <c r="AU115" s="42"/>
      <c r="AV115" s="42"/>
      <c r="AW115" s="42" t="s">
        <v>63</v>
      </c>
      <c r="AX115" s="42" t="s">
        <v>63</v>
      </c>
      <c r="AY115" s="42" t="s">
        <v>63</v>
      </c>
      <c r="AZ115" s="42" t="s">
        <v>63</v>
      </c>
      <c r="BA115" s="42"/>
      <c r="BB115" s="42" t="s">
        <v>64</v>
      </c>
      <c r="BC115" s="42" t="s">
        <v>63</v>
      </c>
      <c r="BD115" s="42" t="s">
        <v>63</v>
      </c>
      <c r="BE115" s="42" t="s">
        <v>63</v>
      </c>
      <c r="BF115" s="42" t="s">
        <v>63</v>
      </c>
      <c r="BG115" s="42" t="s">
        <v>63</v>
      </c>
      <c r="BH115" s="42" t="s">
        <v>63</v>
      </c>
      <c r="BI115" s="42" t="s">
        <v>63</v>
      </c>
      <c r="BJ115" s="42" t="s">
        <v>63</v>
      </c>
      <c r="BK115" s="42" t="s">
        <v>63</v>
      </c>
      <c r="BL115" s="42" t="s">
        <v>63</v>
      </c>
    </row>
    <row r="116" spans="1:64">
      <c r="A116" s="55" t="s">
        <v>1176</v>
      </c>
      <c r="B116" s="34" t="s">
        <v>70</v>
      </c>
      <c r="C116" s="34" t="s">
        <v>1203</v>
      </c>
      <c r="D116" s="33" t="s">
        <v>281</v>
      </c>
      <c r="E116" s="34">
        <f>IF(_xlfn.IFNA(VLOOKUP(B116,Data!B:G,3,FALSE),"")=0, "", _xlfn.IFNA(VLOOKUP(B116,Data!B:G,3,FALSE),""))</f>
        <v>3</v>
      </c>
      <c r="F116" s="66" t="s">
        <v>241</v>
      </c>
      <c r="H116" s="66" t="str">
        <f>IF(_xlfn.IFNA(VLOOKUP(C116,Data!A:G,5,FALSE),"")=0, "Check course registration information", _xlfn.IFNA(VLOOKUP(C116,Data!A:G,5,FALSE),""))</f>
        <v>[MA 26200 or MA 26600] and [PHYS 27200 or PHYS 24100] and CHM 11500 and [ECE 59500 Microfabrication Fundamentals or (ECE 59500 MEMS I: Microfabrication and Materials for MEMS)</v>
      </c>
      <c r="J116" s="33" t="str">
        <f>IF(_xlfn.IFNA(VLOOKUP(C116,Data!A:G,6,FALSE),"")=0, "Check course registration information", _xlfn.IFNA(VLOOKUP(C116,Data!A:G,6,FALSE),""))</f>
        <v>Introduction to manufacturing processes suitable for CMOS and CMOS-compatible integrated devices. Unit processes for multi-level metal interconnects, including physical deposition, plasma enhanced chemical vapor deposition, copper plating, chemical mechanical polishing of dielectrics and metals. Process development of Si/Ge, low-k dielectrics, metal gates, 3D NANDs and photonic devices, etc.</v>
      </c>
      <c r="K116" s="33" t="str">
        <f>IF(_xlfn.IFNA(VLOOKUP(C116,Data!A:H,7,FALSE),"")=0, "", _xlfn.IFNA(HYPERLINK(VLOOKUP(C116,Data!A:H,7,FALSE),"Catalog Link"),""))</f>
        <v>Catalog Link</v>
      </c>
      <c r="L116" s="33" t="str">
        <f>IF(_xlfn.IFNA(VLOOKUP(C116,Data!A:I,8,FALSE),"")=0, "", _xlfn.IFNA(HYPERLINK(VLOOKUP(C116,Data!A:I,8,FALSE),"Additional Information"),""))</f>
        <v>Additional Information</v>
      </c>
      <c r="M116" s="34">
        <f t="shared" si="2"/>
        <v>2</v>
      </c>
      <c r="N116" s="42" t="s">
        <v>63</v>
      </c>
      <c r="O116" s="42" t="s">
        <v>63</v>
      </c>
      <c r="P116" s="42" t="s">
        <v>63</v>
      </c>
      <c r="Q116" s="42" t="s">
        <v>63</v>
      </c>
      <c r="R116" s="42" t="s">
        <v>63</v>
      </c>
      <c r="S116" s="42" t="s">
        <v>63</v>
      </c>
      <c r="T116" s="42" t="s">
        <v>63</v>
      </c>
      <c r="U116" s="42" t="s">
        <v>63</v>
      </c>
      <c r="V116" s="42" t="s">
        <v>63</v>
      </c>
      <c r="W116" s="42" t="s">
        <v>63</v>
      </c>
      <c r="X116" s="42" t="s">
        <v>63</v>
      </c>
      <c r="Y116" s="42" t="s">
        <v>64</v>
      </c>
      <c r="Z116" s="42" t="s">
        <v>63</v>
      </c>
      <c r="AA116" s="42" t="s">
        <v>63</v>
      </c>
      <c r="AB116" s="42" t="s">
        <v>64</v>
      </c>
      <c r="AC116" s="42"/>
      <c r="AD116" s="42" t="s">
        <v>63</v>
      </c>
      <c r="AE116" s="42" t="s">
        <v>63</v>
      </c>
      <c r="AF116" s="42" t="s">
        <v>63</v>
      </c>
      <c r="AG116" s="42" t="s">
        <v>63</v>
      </c>
      <c r="AH116" s="42" t="s">
        <v>63</v>
      </c>
      <c r="AI116" s="42"/>
      <c r="AJ116" s="42" t="s">
        <v>63</v>
      </c>
      <c r="AK116" s="42"/>
      <c r="AL116" s="42" t="s">
        <v>63</v>
      </c>
      <c r="AM116" s="42"/>
      <c r="AN116" s="42" t="s">
        <v>63</v>
      </c>
      <c r="AO116" s="42" t="s">
        <v>63</v>
      </c>
      <c r="AP116" s="42" t="s">
        <v>63</v>
      </c>
      <c r="AQ116" s="42" t="s">
        <v>63</v>
      </c>
      <c r="AR116" s="42"/>
      <c r="AS116" s="42" t="s">
        <v>63</v>
      </c>
      <c r="AT116" s="42" t="s">
        <v>63</v>
      </c>
      <c r="AU116" s="42"/>
      <c r="AV116" s="42"/>
      <c r="AW116" s="42" t="s">
        <v>63</v>
      </c>
      <c r="AX116" s="42" t="s">
        <v>63</v>
      </c>
      <c r="AY116" s="42" t="s">
        <v>63</v>
      </c>
      <c r="AZ116" s="42" t="s">
        <v>63</v>
      </c>
      <c r="BA116" s="42"/>
      <c r="BB116" s="42" t="s">
        <v>63</v>
      </c>
      <c r="BC116" s="42" t="s">
        <v>63</v>
      </c>
      <c r="BD116" s="42" t="s">
        <v>63</v>
      </c>
      <c r="BE116" s="42" t="s">
        <v>63</v>
      </c>
      <c r="BF116" s="42" t="s">
        <v>63</v>
      </c>
      <c r="BG116" s="42" t="s">
        <v>63</v>
      </c>
      <c r="BH116" s="42" t="s">
        <v>63</v>
      </c>
      <c r="BI116" s="42" t="s">
        <v>63</v>
      </c>
      <c r="BJ116" s="42" t="s">
        <v>63</v>
      </c>
      <c r="BK116" s="42" t="s">
        <v>63</v>
      </c>
      <c r="BL116" s="42" t="s">
        <v>63</v>
      </c>
    </row>
    <row r="117" spans="1:64">
      <c r="A117" s="55" t="s">
        <v>1176</v>
      </c>
      <c r="B117" s="34" t="s">
        <v>70</v>
      </c>
      <c r="C117" s="34" t="s">
        <v>1204</v>
      </c>
      <c r="D117" s="33" t="s">
        <v>282</v>
      </c>
      <c r="E117" s="34">
        <f>IF(_xlfn.IFNA(VLOOKUP(B117,Data!B:G,3,FALSE),"")=0, "", _xlfn.IFNA(VLOOKUP(B117,Data!B:G,3,FALSE),""))</f>
        <v>3</v>
      </c>
      <c r="F117" s="66" t="s">
        <v>241</v>
      </c>
      <c r="H117" s="66" t="str">
        <f>IF(_xlfn.IFNA(VLOOKUP(C117,Data!A:G,5,FALSE),"")=0, "Check course registration information", _xlfn.IFNA(VLOOKUP(C117,Data!A:G,5,FALSE),""))</f>
        <v>ECE 30500 or ECE 60600 or ECE 69500A (Primer on Semiconductor Fundamentals) or equivalent</v>
      </c>
      <c r="J117" s="33" t="str">
        <f>IF(_xlfn.IFNA(VLOOKUP(C117,Data!A:G,6,FALSE),"")=0, "Check course registration information", _xlfn.IFNA(VLOOKUP(C117,Data!A:G,6,FALSE),""))</f>
        <v>This course is designed for students from all disciplines in engineering and science seeking to learn about how solar cells function, how they are connected into modules, how modules are assembled into panels, and how panels are fielded in solar farms. The basics of solar farms are covered as well as the reliability of solar cells. The course is at the advanced undergraduate / beginning graduate student level.</v>
      </c>
      <c r="K117" s="33" t="str">
        <f>IF(_xlfn.IFNA(VLOOKUP(C117,Data!A:H,7,FALSE),"")=0, "", _xlfn.IFNA(HYPERLINK(VLOOKUP(C117,Data!A:H,7,FALSE),"Catalog Link"),""))</f>
        <v>Catalog Link</v>
      </c>
      <c r="L117" s="33" t="str">
        <f>IF(_xlfn.IFNA(VLOOKUP(C117,Data!A:I,8,FALSE),"")=0, "", _xlfn.IFNA(HYPERLINK(VLOOKUP(C117,Data!A:I,8,FALSE),"Additional Information"),""))</f>
        <v>Additional Information</v>
      </c>
      <c r="M117" s="34">
        <f t="shared" si="2"/>
        <v>4</v>
      </c>
      <c r="N117" s="42" t="s">
        <v>64</v>
      </c>
      <c r="O117" s="42" t="s">
        <v>63</v>
      </c>
      <c r="P117" s="42" t="s">
        <v>63</v>
      </c>
      <c r="Q117" s="42" t="s">
        <v>63</v>
      </c>
      <c r="R117" s="42" t="s">
        <v>63</v>
      </c>
      <c r="S117" s="42" t="s">
        <v>63</v>
      </c>
      <c r="T117" s="42" t="s">
        <v>63</v>
      </c>
      <c r="U117" s="42" t="s">
        <v>63</v>
      </c>
      <c r="V117" s="42" t="s">
        <v>63</v>
      </c>
      <c r="W117" s="42" t="s">
        <v>63</v>
      </c>
      <c r="X117" s="42" t="s">
        <v>63</v>
      </c>
      <c r="Y117" s="42" t="s">
        <v>64</v>
      </c>
      <c r="Z117" s="42" t="s">
        <v>63</v>
      </c>
      <c r="AA117" s="42" t="s">
        <v>63</v>
      </c>
      <c r="AB117" s="42" t="s">
        <v>64</v>
      </c>
      <c r="AC117" s="42"/>
      <c r="AD117" s="42" t="s">
        <v>63</v>
      </c>
      <c r="AE117" s="42" t="s">
        <v>63</v>
      </c>
      <c r="AF117" s="42" t="s">
        <v>63</v>
      </c>
      <c r="AG117" s="42" t="s">
        <v>63</v>
      </c>
      <c r="AH117" s="42" t="s">
        <v>63</v>
      </c>
      <c r="AI117" s="42"/>
      <c r="AJ117" s="42" t="s">
        <v>63</v>
      </c>
      <c r="AK117" s="42"/>
      <c r="AL117" s="42" t="s">
        <v>63</v>
      </c>
      <c r="AM117" s="42"/>
      <c r="AN117" s="42" t="s">
        <v>63</v>
      </c>
      <c r="AO117" s="42" t="s">
        <v>63</v>
      </c>
      <c r="AP117" s="42" t="s">
        <v>63</v>
      </c>
      <c r="AQ117" s="42" t="s">
        <v>63</v>
      </c>
      <c r="AR117" s="42"/>
      <c r="AS117" s="42" t="s">
        <v>63</v>
      </c>
      <c r="AT117" s="42" t="s">
        <v>63</v>
      </c>
      <c r="AU117" s="42"/>
      <c r="AV117" s="42"/>
      <c r="AW117" s="42" t="s">
        <v>63</v>
      </c>
      <c r="AX117" s="42" t="s">
        <v>63</v>
      </c>
      <c r="AY117" s="42" t="s">
        <v>63</v>
      </c>
      <c r="AZ117" s="42" t="s">
        <v>63</v>
      </c>
      <c r="BA117" s="42"/>
      <c r="BB117" s="42" t="s">
        <v>63</v>
      </c>
      <c r="BC117" s="42" t="s">
        <v>63</v>
      </c>
      <c r="BD117" s="42" t="s">
        <v>63</v>
      </c>
      <c r="BE117" s="42" t="s">
        <v>63</v>
      </c>
      <c r="BF117" s="42" t="s">
        <v>63</v>
      </c>
      <c r="BG117" s="42" t="s">
        <v>63</v>
      </c>
      <c r="BH117" s="42" t="s">
        <v>64</v>
      </c>
      <c r="BI117" s="42" t="s">
        <v>63</v>
      </c>
      <c r="BJ117" s="42" t="s">
        <v>63</v>
      </c>
      <c r="BK117" s="42" t="s">
        <v>63</v>
      </c>
      <c r="BL117" s="42" t="s">
        <v>63</v>
      </c>
    </row>
    <row r="118" spans="1:64">
      <c r="A118" s="55" t="s">
        <v>1176</v>
      </c>
      <c r="B118" s="34" t="s">
        <v>70</v>
      </c>
      <c r="C118" s="34" t="s">
        <v>1221</v>
      </c>
      <c r="D118" s="33" t="s">
        <v>1222</v>
      </c>
      <c r="E118" s="34">
        <f>IF(_xlfn.IFNA(VLOOKUP(B118,Data!B:G,3,FALSE),"")=0, "", _xlfn.IFNA(VLOOKUP(B118,Data!B:G,3,FALSE),""))</f>
        <v>3</v>
      </c>
      <c r="F118" s="66" t="s">
        <v>241</v>
      </c>
      <c r="H118" s="66" t="str">
        <f>IF(_xlfn.IFNA(VLOOKUP(C118,Data!A:G,5,FALSE),"")=0, "Check course registration information", _xlfn.IFNA(VLOOKUP(C118,Data!A:G,5,FALSE),""))</f>
        <v>ECE 30500</v>
      </c>
      <c r="J118" s="33" t="str">
        <f>IF(_xlfn.IFNA(VLOOKUP(C118,Data!A:G,6,FALSE),"")=0, "Check course registration information", _xlfn.IFNA(VLOOKUP(C118,Data!A:G,6,FALSE),""))</f>
        <v>This course is an updated version of ECE 55700 and will provide students state-of-the-art knowledge in the area of Micro and Nanofabrication Technology. Course topics include substrate, oxidation, lithography, etching (dry and wet), thin film deposition (physical vapor deposition, chemical vapor deposition, atomic layer deposition, epitaxy), diffusion and ion implantation, chemical mechanical polishing, metallization, packaging and integration. The course will include both lectures and hands-on training through VFabLab.</v>
      </c>
      <c r="K118" s="33" t="str">
        <f>IF(_xlfn.IFNA(VLOOKUP(C118,Data!A:H,7,FALSE),"")=0, "", _xlfn.IFNA(HYPERLINK(VLOOKUP(C118,Data!A:H,7,FALSE),"Catalog Link"),""))</f>
        <v>Catalog Link</v>
      </c>
      <c r="L118" s="33" t="str">
        <f>IF(_xlfn.IFNA(VLOOKUP(C118,Data!A:I,8,FALSE),"")=0, "", _xlfn.IFNA(HYPERLINK(VLOOKUP(C118,Data!A:I,8,FALSE),"Additional Information"),""))</f>
        <v>Additional Information</v>
      </c>
      <c r="M118" s="34">
        <f t="shared" si="2"/>
        <v>3</v>
      </c>
      <c r="N118" s="42" t="s">
        <v>63</v>
      </c>
      <c r="O118" s="42" t="s">
        <v>63</v>
      </c>
      <c r="P118" s="42" t="s">
        <v>63</v>
      </c>
      <c r="Q118" s="42" t="s">
        <v>63</v>
      </c>
      <c r="R118" s="42" t="s">
        <v>63</v>
      </c>
      <c r="S118" s="42" t="s">
        <v>63</v>
      </c>
      <c r="T118" s="42" t="s">
        <v>63</v>
      </c>
      <c r="U118" s="42" t="s">
        <v>63</v>
      </c>
      <c r="V118" s="42" t="s">
        <v>63</v>
      </c>
      <c r="W118" s="42" t="s">
        <v>63</v>
      </c>
      <c r="X118" s="42" t="s">
        <v>63</v>
      </c>
      <c r="Y118" s="42" t="s">
        <v>63</v>
      </c>
      <c r="Z118" s="42" t="s">
        <v>63</v>
      </c>
      <c r="AA118" s="42" t="s">
        <v>63</v>
      </c>
      <c r="AB118" s="42" t="s">
        <v>64</v>
      </c>
      <c r="AC118" s="42"/>
      <c r="AD118" s="42" t="s">
        <v>63</v>
      </c>
      <c r="AE118" s="42" t="s">
        <v>63</v>
      </c>
      <c r="AF118" s="42" t="s">
        <v>63</v>
      </c>
      <c r="AG118" s="42" t="s">
        <v>63</v>
      </c>
      <c r="AH118" s="42" t="s">
        <v>63</v>
      </c>
      <c r="AI118" s="42"/>
      <c r="AJ118" s="42" t="s">
        <v>63</v>
      </c>
      <c r="AK118" s="42" t="s">
        <v>64</v>
      </c>
      <c r="AL118" s="42" t="s">
        <v>63</v>
      </c>
      <c r="AM118" s="42"/>
      <c r="AN118" s="42" t="s">
        <v>63</v>
      </c>
      <c r="AO118" s="42" t="s">
        <v>63</v>
      </c>
      <c r="AP118" s="42" t="s">
        <v>63</v>
      </c>
      <c r="AQ118" s="42" t="s">
        <v>63</v>
      </c>
      <c r="AR118" s="42"/>
      <c r="AS118" s="42" t="s">
        <v>63</v>
      </c>
      <c r="AT118" s="42" t="s">
        <v>63</v>
      </c>
      <c r="AU118" s="42"/>
      <c r="AV118" s="42"/>
      <c r="AW118" s="42" t="s">
        <v>63</v>
      </c>
      <c r="AX118" s="42" t="s">
        <v>63</v>
      </c>
      <c r="AY118" s="42" t="s">
        <v>63</v>
      </c>
      <c r="AZ118" s="42" t="s">
        <v>63</v>
      </c>
      <c r="BA118" s="42"/>
      <c r="BB118" s="42" t="s">
        <v>64</v>
      </c>
      <c r="BC118" s="42" t="s">
        <v>63</v>
      </c>
      <c r="BD118" s="42" t="s">
        <v>63</v>
      </c>
      <c r="BE118" s="42" t="s">
        <v>63</v>
      </c>
      <c r="BF118" s="42" t="s">
        <v>63</v>
      </c>
      <c r="BG118" s="42" t="s">
        <v>63</v>
      </c>
      <c r="BH118" s="42" t="s">
        <v>63</v>
      </c>
      <c r="BI118" s="42" t="s">
        <v>63</v>
      </c>
      <c r="BJ118" s="42" t="s">
        <v>63</v>
      </c>
      <c r="BK118" s="42" t="s">
        <v>63</v>
      </c>
      <c r="BL118" s="42" t="s">
        <v>63</v>
      </c>
    </row>
    <row r="119" spans="1:64">
      <c r="A119" s="55" t="s">
        <v>1176</v>
      </c>
      <c r="B119" s="34" t="s">
        <v>70</v>
      </c>
      <c r="C119" s="34" t="s">
        <v>1188</v>
      </c>
      <c r="D119" s="33" t="s">
        <v>227</v>
      </c>
      <c r="E119" s="34">
        <f>IF(_xlfn.IFNA(VLOOKUP(B119,Data!B:G,3,FALSE),"")=0, "", _xlfn.IFNA(VLOOKUP(B119,Data!B:G,3,FALSE),""))</f>
        <v>3</v>
      </c>
      <c r="F119" s="66" t="s">
        <v>116</v>
      </c>
      <c r="H119" s="66" t="str">
        <f>IF(_xlfn.IFNA(VLOOKUP(C119,Data!A:G,5,FALSE),"")=0, "Check course registration information", _xlfn.IFNA(VLOOKUP(C119,Data!A:G,5,FALSE),""))</f>
        <v>None Listed</v>
      </c>
      <c r="J119" s="33" t="str">
        <f>IF(_xlfn.IFNA(VLOOKUP(C119,Data!A:G,6,FALSE),"")=0, "Check course registration information", _xlfn.IFNA(VLOOKUP(C119,Data!A:G,6,FALSE),""))</f>
        <v>A significant portion of a modern signal processing system handles digital signals. But front- and back-end interfaces have to involve analog signal conditioning. Typically the front- and back- end analog conditioning circuits handle the highest frequency signal in the system and are key blocks affecting the overall system performance. RF IC for wireless digital communications, high-speed clock and data recovery for wireline serial interface, and high sensitivity sensor interface are a few of them. The advance and prosperity of CMOS technology enabled high-speed/performance analog IC design. The course will discuss the broad topics in CMOS analog IC design including current/voltage biasing, noise analysis, OP-Amp design and compensation, integrated active filter, PLL, and ADC/DAC. State- of-the-art designs and current research topics will be introduced. A design project will be a key component of the course. The students will conduct group design project, and obtain practical design knowledge and skills. Process Design Kit (PDK) and EDA tools like Cadence Schematic Editor, Layout Editor, and Simulator (Hspice or SpectreRF) will be provided for the design project.</v>
      </c>
      <c r="K119" s="33" t="str">
        <f>IF(_xlfn.IFNA(VLOOKUP(C119,Data!A:H,7,FALSE),"")=0, "", _xlfn.IFNA(HYPERLINK(VLOOKUP(C119,Data!A:H,7,FALSE),"Catalog Link"),""))</f>
        <v>Catalog Link</v>
      </c>
      <c r="L119" s="33" t="str">
        <f>IF(_xlfn.IFNA(VLOOKUP(C119,Data!A:I,8,FALSE),"")=0, "", _xlfn.IFNA(HYPERLINK(VLOOKUP(C119,Data!A:I,8,FALSE),"Additional Information"),""))</f>
        <v>Additional Information</v>
      </c>
      <c r="M119" s="34">
        <f t="shared" si="2"/>
        <v>2</v>
      </c>
      <c r="N119" s="42" t="s">
        <v>63</v>
      </c>
      <c r="O119" s="42" t="s">
        <v>63</v>
      </c>
      <c r="P119" s="42" t="s">
        <v>63</v>
      </c>
      <c r="Q119" s="42" t="s">
        <v>63</v>
      </c>
      <c r="R119" s="42" t="s">
        <v>63</v>
      </c>
      <c r="S119" s="42" t="s">
        <v>63</v>
      </c>
      <c r="T119" s="42" t="s">
        <v>63</v>
      </c>
      <c r="U119" s="42" t="s">
        <v>63</v>
      </c>
      <c r="V119" s="42" t="s">
        <v>63</v>
      </c>
      <c r="W119" s="42" t="s">
        <v>63</v>
      </c>
      <c r="X119" s="42" t="s">
        <v>63</v>
      </c>
      <c r="Y119" s="42" t="s">
        <v>64</v>
      </c>
      <c r="Z119" s="42" t="s">
        <v>63</v>
      </c>
      <c r="AA119" s="42" t="s">
        <v>63</v>
      </c>
      <c r="AB119" s="42" t="s">
        <v>63</v>
      </c>
      <c r="AC119" s="42"/>
      <c r="AD119" s="42" t="s">
        <v>63</v>
      </c>
      <c r="AE119" s="42" t="s">
        <v>63</v>
      </c>
      <c r="AF119" s="42" t="s">
        <v>63</v>
      </c>
      <c r="AG119" s="42" t="s">
        <v>63</v>
      </c>
      <c r="AH119" s="42" t="s">
        <v>63</v>
      </c>
      <c r="AI119" s="42"/>
      <c r="AJ119" s="42" t="s">
        <v>63</v>
      </c>
      <c r="AK119" s="42"/>
      <c r="AL119" s="42" t="s">
        <v>63</v>
      </c>
      <c r="AM119" s="42"/>
      <c r="AN119" s="42" t="s">
        <v>63</v>
      </c>
      <c r="AO119" s="42" t="s">
        <v>63</v>
      </c>
      <c r="AP119" s="42" t="s">
        <v>63</v>
      </c>
      <c r="AQ119" s="42" t="s">
        <v>63</v>
      </c>
      <c r="AR119" s="42"/>
      <c r="AS119" s="42" t="s">
        <v>63</v>
      </c>
      <c r="AT119" s="42" t="s">
        <v>63</v>
      </c>
      <c r="AU119" s="42"/>
      <c r="AV119" s="42"/>
      <c r="AW119" s="42" t="s">
        <v>63</v>
      </c>
      <c r="AX119" s="42" t="s">
        <v>63</v>
      </c>
      <c r="AY119" s="42" t="s">
        <v>63</v>
      </c>
      <c r="AZ119" s="42" t="s">
        <v>63</v>
      </c>
      <c r="BA119" s="42"/>
      <c r="BB119" s="42" t="s">
        <v>64</v>
      </c>
      <c r="BC119" s="42" t="s">
        <v>63</v>
      </c>
      <c r="BD119" s="42" t="s">
        <v>63</v>
      </c>
      <c r="BE119" s="42" t="s">
        <v>63</v>
      </c>
      <c r="BF119" s="42" t="s">
        <v>63</v>
      </c>
      <c r="BG119" s="42" t="s">
        <v>63</v>
      </c>
      <c r="BH119" s="42" t="s">
        <v>63</v>
      </c>
      <c r="BI119" s="42" t="s">
        <v>63</v>
      </c>
      <c r="BJ119" s="42" t="s">
        <v>63</v>
      </c>
      <c r="BK119" s="42" t="s">
        <v>63</v>
      </c>
      <c r="BL119" s="42" t="s">
        <v>63</v>
      </c>
    </row>
    <row r="120" spans="1:64">
      <c r="A120" s="55" t="s">
        <v>1176</v>
      </c>
      <c r="B120" s="34" t="s">
        <v>70</v>
      </c>
      <c r="C120" s="34" t="s">
        <v>1189</v>
      </c>
      <c r="D120" s="33" t="s">
        <v>1468</v>
      </c>
      <c r="E120" s="34">
        <f>IF(_xlfn.IFNA(VLOOKUP(B120,Data!B:G,3,FALSE),"")=0, "", _xlfn.IFNA(VLOOKUP(B120,Data!B:G,3,FALSE),""))</f>
        <v>3</v>
      </c>
      <c r="F120" s="66" t="s">
        <v>116</v>
      </c>
      <c r="H120" s="66" t="str">
        <f>IF(_xlfn.IFNA(VLOOKUP(C120,Data!A:G,5,FALSE),"")=0, "Check course registration information", _xlfn.IFNA(VLOOKUP(C120,Data!A:G,5,FALSE),""))</f>
        <v>None Listed</v>
      </c>
      <c r="J120" s="33" t="str">
        <f>IF(_xlfn.IFNA(VLOOKUP(C120,Data!A:G,6,FALSE),"")=0, "Check course registration information", _xlfn.IFNA(VLOOKUP(C120,Data!A:G,6,FALSE),""))</f>
        <v>This course will provide an introduction to the tools used to design and analyze circuits at the logic level of abstraction (where circuits are composed of gates and flip-flops). Most digital chips used in computing and electronic systems (including microprocessors, graphics processors, chips used in network routers, cell phones, digital audio/video appliances, automotive electronics) are entirely or largely designed using EDA tools. ECE595Z will focus on the foundations of logic-level EDA tools, including the design of exact and heuristic algorithms that form the basis for VLSI Computer-Aided Design. Topics covered include an overview of the IC design flow and levels of abstraction, synthesis of two-level (AND-OR / PLA) circuits, multi-level logic synthesis and technology mapping, sequential circuit synthesis, Logic-level verification using Boolean Satisfiability and BDDs, Timing Analysis, Power analysis and Reduction, and design techniques for emerging nanoscale technologies.</v>
      </c>
      <c r="K120" s="33" t="str">
        <f>IF(_xlfn.IFNA(VLOOKUP(C120,Data!A:H,7,FALSE),"")=0, "", _xlfn.IFNA(HYPERLINK(VLOOKUP(C120,Data!A:H,7,FALSE),"Catalog Link"),""))</f>
        <v>Catalog Link</v>
      </c>
      <c r="L120" s="33" t="str">
        <f>IF(_xlfn.IFNA(VLOOKUP(C120,Data!A:I,8,FALSE),"")=0, "", _xlfn.IFNA(HYPERLINK(VLOOKUP(C120,Data!A:I,8,FALSE),"Additional Information"),""))</f>
        <v>Additional Information</v>
      </c>
      <c r="M120" s="34">
        <f t="shared" si="2"/>
        <v>2</v>
      </c>
      <c r="N120" s="42" t="s">
        <v>63</v>
      </c>
      <c r="O120" s="42" t="s">
        <v>63</v>
      </c>
      <c r="P120" s="42" t="s">
        <v>63</v>
      </c>
      <c r="Q120" s="42" t="s">
        <v>63</v>
      </c>
      <c r="R120" s="42" t="s">
        <v>63</v>
      </c>
      <c r="S120" s="42" t="s">
        <v>63</v>
      </c>
      <c r="T120" s="42" t="s">
        <v>63</v>
      </c>
      <c r="U120" s="42" t="s">
        <v>63</v>
      </c>
      <c r="V120" s="42" t="s">
        <v>63</v>
      </c>
      <c r="W120" s="42" t="s">
        <v>63</v>
      </c>
      <c r="X120" s="42" t="s">
        <v>63</v>
      </c>
      <c r="Y120" s="42" t="s">
        <v>64</v>
      </c>
      <c r="Z120" s="42" t="s">
        <v>63</v>
      </c>
      <c r="AA120" s="42" t="s">
        <v>63</v>
      </c>
      <c r="AB120" s="42" t="s">
        <v>63</v>
      </c>
      <c r="AC120" s="42"/>
      <c r="AD120" s="42" t="s">
        <v>63</v>
      </c>
      <c r="AE120" s="42" t="s">
        <v>63</v>
      </c>
      <c r="AF120" s="42" t="s">
        <v>63</v>
      </c>
      <c r="AG120" s="42" t="s">
        <v>63</v>
      </c>
      <c r="AH120" s="42" t="s">
        <v>63</v>
      </c>
      <c r="AI120" s="42"/>
      <c r="AJ120" s="42" t="s">
        <v>63</v>
      </c>
      <c r="AK120" s="42"/>
      <c r="AL120" s="42" t="s">
        <v>63</v>
      </c>
      <c r="AM120" s="42"/>
      <c r="AN120" s="42" t="s">
        <v>63</v>
      </c>
      <c r="AO120" s="42" t="s">
        <v>63</v>
      </c>
      <c r="AP120" s="42" t="s">
        <v>63</v>
      </c>
      <c r="AQ120" s="42" t="s">
        <v>63</v>
      </c>
      <c r="AR120" s="42"/>
      <c r="AS120" s="42" t="s">
        <v>63</v>
      </c>
      <c r="AT120" s="42" t="s">
        <v>63</v>
      </c>
      <c r="AU120" s="42"/>
      <c r="AV120" s="42"/>
      <c r="AW120" s="42" t="s">
        <v>63</v>
      </c>
      <c r="AX120" s="42" t="s">
        <v>63</v>
      </c>
      <c r="AY120" s="42" t="s">
        <v>63</v>
      </c>
      <c r="AZ120" s="42" t="s">
        <v>63</v>
      </c>
      <c r="BA120" s="42"/>
      <c r="BB120" s="42" t="s">
        <v>64</v>
      </c>
      <c r="BC120" s="42" t="s">
        <v>63</v>
      </c>
      <c r="BD120" s="42" t="s">
        <v>63</v>
      </c>
      <c r="BE120" s="42" t="s">
        <v>63</v>
      </c>
      <c r="BF120" s="42" t="s">
        <v>63</v>
      </c>
      <c r="BG120" s="42" t="s">
        <v>63</v>
      </c>
      <c r="BH120" s="42" t="s">
        <v>63</v>
      </c>
      <c r="BI120" s="42" t="s">
        <v>63</v>
      </c>
      <c r="BJ120" s="42" t="s">
        <v>63</v>
      </c>
      <c r="BK120" s="42" t="s">
        <v>63</v>
      </c>
      <c r="BL120" s="42" t="s">
        <v>63</v>
      </c>
    </row>
    <row r="121" spans="1:64">
      <c r="A121" s="55" t="s">
        <v>1176</v>
      </c>
      <c r="B121" s="34" t="s">
        <v>70</v>
      </c>
      <c r="C121" s="34" t="s">
        <v>1190</v>
      </c>
      <c r="D121" s="33" t="s">
        <v>267</v>
      </c>
      <c r="E121" s="34">
        <f>IF(_xlfn.IFNA(VLOOKUP(B121,Data!B:G,3,FALSE),"")=0, "", _xlfn.IFNA(VLOOKUP(B121,Data!B:G,3,FALSE),""))</f>
        <v>3</v>
      </c>
      <c r="F121" s="66" t="s">
        <v>106</v>
      </c>
      <c r="H121" s="66" t="str">
        <f>IF(_xlfn.IFNA(VLOOKUP(C121,Data!A:G,5,FALSE),"")=0, "Check course registration information", _xlfn.IFNA(VLOOKUP(C121,Data!A:G,5,FALSE),""))</f>
        <v>[MA 26200 or MA 26600] and [PHYS 27200 or PHYS 24100] and CHM 11500 and [ECE 59500 Microfabrication Fundamentals or (ECE 59500 MEMS I: Microfabrication and Materials for MEMS)</v>
      </c>
      <c r="J121" s="33" t="str">
        <f>IF(_xlfn.IFNA(VLOOKUP(C121,Data!A:G,6,FALSE),"")=0, "Check course registration information", _xlfn.IFNA(VLOOKUP(C121,Data!A:G,6,FALSE),""))</f>
        <v>Principles and methods of lithographic techniques used in semiconductor manufacturing as well as prototyping and production of nanometer-scale devices. Fundamental aspects of optical resolution, proximity effect, and resolution enhancement techniques.</v>
      </c>
      <c r="K121" s="33" t="str">
        <f>IF(_xlfn.IFNA(VLOOKUP(C121,Data!A:H,7,FALSE),"")=0, "", _xlfn.IFNA(HYPERLINK(VLOOKUP(C121,Data!A:H,7,FALSE),"Catalog Link"),""))</f>
        <v>Catalog Link</v>
      </c>
      <c r="L121" s="33" t="str">
        <f>IF(_xlfn.IFNA(VLOOKUP(C121,Data!A:I,8,FALSE),"")=0, "", _xlfn.IFNA(HYPERLINK(VLOOKUP(C121,Data!A:I,8,FALSE),"Additional Information"),""))</f>
        <v>Additional Information</v>
      </c>
      <c r="M121" s="34">
        <f t="shared" si="2"/>
        <v>5</v>
      </c>
      <c r="N121" s="42" t="s">
        <v>64</v>
      </c>
      <c r="O121" s="42" t="s">
        <v>63</v>
      </c>
      <c r="P121" s="42" t="s">
        <v>63</v>
      </c>
      <c r="Q121" s="42" t="s">
        <v>63</v>
      </c>
      <c r="R121" s="42" t="s">
        <v>63</v>
      </c>
      <c r="S121" s="42" t="s">
        <v>63</v>
      </c>
      <c r="T121" s="42" t="s">
        <v>63</v>
      </c>
      <c r="U121" s="42" t="s">
        <v>63</v>
      </c>
      <c r="V121" s="42" t="s">
        <v>63</v>
      </c>
      <c r="W121" s="42" t="s">
        <v>63</v>
      </c>
      <c r="X121" s="42" t="s">
        <v>63</v>
      </c>
      <c r="Y121" s="42" t="s">
        <v>63</v>
      </c>
      <c r="Z121" s="42" t="s">
        <v>63</v>
      </c>
      <c r="AA121" s="42" t="s">
        <v>63</v>
      </c>
      <c r="AB121" s="42" t="s">
        <v>64</v>
      </c>
      <c r="AC121" s="42"/>
      <c r="AD121" s="42" t="s">
        <v>63</v>
      </c>
      <c r="AE121" s="42" t="s">
        <v>63</v>
      </c>
      <c r="AF121" s="42" t="s">
        <v>63</v>
      </c>
      <c r="AG121" s="42" t="s">
        <v>64</v>
      </c>
      <c r="AH121" s="42" t="s">
        <v>63</v>
      </c>
      <c r="AI121" s="42"/>
      <c r="AJ121" s="42" t="s">
        <v>63</v>
      </c>
      <c r="AK121" s="42"/>
      <c r="AL121" s="42" t="s">
        <v>63</v>
      </c>
      <c r="AM121" s="42"/>
      <c r="AN121" s="42" t="s">
        <v>63</v>
      </c>
      <c r="AO121" s="42" t="s">
        <v>63</v>
      </c>
      <c r="AP121" s="42" t="s">
        <v>63</v>
      </c>
      <c r="AQ121" s="42" t="s">
        <v>63</v>
      </c>
      <c r="AR121" s="42"/>
      <c r="AS121" s="42" t="s">
        <v>63</v>
      </c>
      <c r="AT121" s="42" t="s">
        <v>63</v>
      </c>
      <c r="AU121" s="42"/>
      <c r="AV121" s="42"/>
      <c r="AW121" s="42" t="s">
        <v>63</v>
      </c>
      <c r="AX121" s="42" t="s">
        <v>63</v>
      </c>
      <c r="AY121" s="42" t="s">
        <v>268</v>
      </c>
      <c r="AZ121" s="42" t="s">
        <v>63</v>
      </c>
      <c r="BA121" s="42"/>
      <c r="BB121" s="42" t="s">
        <v>63</v>
      </c>
      <c r="BC121" s="42" t="s">
        <v>63</v>
      </c>
      <c r="BD121" s="42" t="s">
        <v>63</v>
      </c>
      <c r="BE121" s="42" t="s">
        <v>63</v>
      </c>
      <c r="BF121" s="42" t="s">
        <v>63</v>
      </c>
      <c r="BG121" s="42" t="s">
        <v>63</v>
      </c>
      <c r="BH121" s="42" t="s">
        <v>64</v>
      </c>
      <c r="BI121" s="42" t="s">
        <v>63</v>
      </c>
      <c r="BJ121" s="42" t="s">
        <v>63</v>
      </c>
      <c r="BK121" s="42" t="s">
        <v>63</v>
      </c>
      <c r="BL121" s="42" t="s">
        <v>64</v>
      </c>
    </row>
    <row r="122" spans="1:64">
      <c r="A122" s="55" t="s">
        <v>1176</v>
      </c>
      <c r="B122" s="34" t="s">
        <v>70</v>
      </c>
      <c r="C122" s="34" t="s">
        <v>1191</v>
      </c>
      <c r="D122" s="33" t="s">
        <v>269</v>
      </c>
      <c r="E122" s="34">
        <f>IF(_xlfn.IFNA(VLOOKUP(B122,Data!B:G,3,FALSE),"")=0, "", _xlfn.IFNA(VLOOKUP(B122,Data!B:G,3,FALSE),""))</f>
        <v>3</v>
      </c>
      <c r="F122" s="66" t="s">
        <v>241</v>
      </c>
      <c r="H122" s="66" t="str">
        <f>IF(_xlfn.IFNA(VLOOKUP(C122,Data!A:G,5,FALSE),"")=0, "Check course registration information", _xlfn.IFNA(VLOOKUP(C122,Data!A:G,5,FALSE),""))</f>
        <v>ECE 30500 (grade of B or better) or ECE 60600 or ECE 59500 Semiconductor Fundamentals</v>
      </c>
      <c r="J122" s="33" t="str">
        <f>IF(_xlfn.IFNA(VLOOKUP(C122,Data!A:G,6,FALSE),"")=0, "Check course registration information", _xlfn.IFNA(VLOOKUP(C122,Data!A:G,6,FALSE),""))</f>
        <v>This course is designed for anyone seeking a sound, physical, intuitive understanding of how modern transistors operate. Important technology considerations and applications of transistors are also discussed. The focus is on MOSFETs for digital logic, but other types of transistors are briefly considered. The course is broadly accessible to students with only a very basic knowledge of semiconductor physics and electronic circuits and should be useful for advanced undergraduates, beginning graduate students, as well as practicing engineers and scientists.</v>
      </c>
      <c r="K122" s="33" t="str">
        <f>IF(_xlfn.IFNA(VLOOKUP(C122,Data!A:H,7,FALSE),"")=0, "", _xlfn.IFNA(HYPERLINK(VLOOKUP(C122,Data!A:H,7,FALSE),"Catalog Link"),""))</f>
        <v>Catalog Link</v>
      </c>
      <c r="L122" s="33" t="str">
        <f>IF(_xlfn.IFNA(VLOOKUP(C122,Data!A:I,8,FALSE),"")=0, "", _xlfn.IFNA(HYPERLINK(VLOOKUP(C122,Data!A:I,8,FALSE),"Additional Information"),""))</f>
        <v>Additional Information</v>
      </c>
      <c r="M122" s="34">
        <f t="shared" si="2"/>
        <v>2</v>
      </c>
      <c r="N122" s="42" t="s">
        <v>63</v>
      </c>
      <c r="O122" s="42" t="s">
        <v>63</v>
      </c>
      <c r="P122" s="42" t="s">
        <v>63</v>
      </c>
      <c r="Q122" s="42" t="s">
        <v>63</v>
      </c>
      <c r="R122" s="42" t="s">
        <v>63</v>
      </c>
      <c r="S122" s="42" t="s">
        <v>63</v>
      </c>
      <c r="T122" s="42" t="s">
        <v>63</v>
      </c>
      <c r="U122" s="42" t="s">
        <v>63</v>
      </c>
      <c r="V122" s="42" t="s">
        <v>63</v>
      </c>
      <c r="W122" s="42" t="s">
        <v>63</v>
      </c>
      <c r="X122" s="42" t="s">
        <v>63</v>
      </c>
      <c r="Y122" s="42" t="s">
        <v>64</v>
      </c>
      <c r="Z122" s="42" t="s">
        <v>63</v>
      </c>
      <c r="AA122" s="42" t="s">
        <v>63</v>
      </c>
      <c r="AB122" s="42" t="s">
        <v>63</v>
      </c>
      <c r="AC122" s="42"/>
      <c r="AD122" s="42" t="s">
        <v>63</v>
      </c>
      <c r="AE122" s="42" t="s">
        <v>63</v>
      </c>
      <c r="AF122" s="42" t="s">
        <v>63</v>
      </c>
      <c r="AG122" s="42" t="s">
        <v>63</v>
      </c>
      <c r="AH122" s="42" t="s">
        <v>63</v>
      </c>
      <c r="AI122" s="42"/>
      <c r="AJ122" s="42" t="s">
        <v>63</v>
      </c>
      <c r="AK122" s="42"/>
      <c r="AL122" s="42" t="s">
        <v>63</v>
      </c>
      <c r="AM122" s="42"/>
      <c r="AN122" s="42" t="s">
        <v>63</v>
      </c>
      <c r="AO122" s="42" t="s">
        <v>63</v>
      </c>
      <c r="AP122" s="42" t="s">
        <v>63</v>
      </c>
      <c r="AQ122" s="42" t="s">
        <v>63</v>
      </c>
      <c r="AR122" s="42"/>
      <c r="AS122" s="42" t="s">
        <v>63</v>
      </c>
      <c r="AT122" s="42" t="s">
        <v>63</v>
      </c>
      <c r="AU122" s="42"/>
      <c r="AV122" s="42"/>
      <c r="AW122" s="42" t="s">
        <v>63</v>
      </c>
      <c r="AX122" s="42" t="s">
        <v>63</v>
      </c>
      <c r="AY122" s="42" t="s">
        <v>63</v>
      </c>
      <c r="AZ122" s="42" t="s">
        <v>63</v>
      </c>
      <c r="BA122" s="42"/>
      <c r="BB122" s="42" t="s">
        <v>64</v>
      </c>
      <c r="BC122" s="42" t="s">
        <v>63</v>
      </c>
      <c r="BD122" s="42" t="s">
        <v>63</v>
      </c>
      <c r="BE122" s="42" t="s">
        <v>63</v>
      </c>
      <c r="BF122" s="42" t="s">
        <v>63</v>
      </c>
      <c r="BG122" s="42" t="s">
        <v>63</v>
      </c>
      <c r="BH122" s="42" t="s">
        <v>63</v>
      </c>
      <c r="BI122" s="42" t="s">
        <v>63</v>
      </c>
      <c r="BJ122" s="42" t="s">
        <v>63</v>
      </c>
      <c r="BK122" s="42" t="s">
        <v>63</v>
      </c>
      <c r="BL122" s="42" t="s">
        <v>63</v>
      </c>
    </row>
    <row r="123" spans="1:64" s="36" customFormat="1" ht="15.75">
      <c r="A123" s="33" t="s">
        <v>1176</v>
      </c>
      <c r="B123" s="34" t="s">
        <v>70</v>
      </c>
      <c r="C123" s="34" t="s">
        <v>1192</v>
      </c>
      <c r="D123" s="33" t="s">
        <v>270</v>
      </c>
      <c r="E123" s="34">
        <f>IF(_xlfn.IFNA(VLOOKUP(B123,Data!B:G,3,FALSE),"")=0, "", _xlfn.IFNA(VLOOKUP(B123,Data!B:G,3,FALSE),""))</f>
        <v>3</v>
      </c>
      <c r="F123" s="66" t="s">
        <v>116</v>
      </c>
      <c r="G123" s="33"/>
      <c r="H123" s="66" t="str">
        <f>IF(_xlfn.IFNA(VLOOKUP(C123,Data!A:G,5,FALSE),"")=0, "Check course registration information", _xlfn.IFNA(VLOOKUP(C123,Data!A:G,5,FALSE),""))</f>
        <v>ECE 20002 and ECE 20875 and (PHYS 27200 or (PHYS 24100 and PHYS 25200)) and (MA 26600 or MA 26200 or MA 36600); Recommended: ECE 50631, 50632, 50633</v>
      </c>
      <c r="I123" s="33"/>
      <c r="J123" s="33" t="str">
        <f>IF(_xlfn.IFNA(VLOOKUP(C123,Data!A:G,6,FALSE),"")=0, "Check course registration information", _xlfn.IFNA(VLOOKUP(C123,Data!A:G,6,FALSE),""))</f>
        <v>The application oriented computational nanotechnology course sequence aims to train semiconductor engineers in how to model nanodevices with state-of-the-art quantum transport simulation tools. The emphasis lies here on acquiring the understanding which of the commonly available electronic models is appropriate for which device type, how to interpret typically available simulation results and how to reliably distinguish numerical artifacts from physically meaning device features. With the downscaling of modern semiconductor devices to the nanometer and atomistic lengthscales, semiconductor engineers have to interpret device behavior in a regime often considered unintuitive. Simulations are the most important tools to help them understand the device performance and identify ways to improve it in that nanoscale regime. Usage of those tools requires, however, sufficient understanding of their control parameters, their underlying methods and most importantly common pitfalls that open when the tools are used with the wrong settings. This class sequence trains students by guiding them to implement their own quantum transport simulation tool and connect it to Purdue's quantum code library. This way the students get hands-on experience in how to validate quantum transport tools, how to interpret simulation results and how to run state-of-the-art professional simulation engines. Part 1 of the class sequence covers basic concepts such as how to utilize transmission and density of states to validate simulation setups, how to ensure reliable convergence and numerical efficiency for nanodevices with few or many resonant states (such as nanosheets and nanowire transistors, FinFETs, quantum dots and quantum sensors).</v>
      </c>
      <c r="K123" s="33" t="str">
        <f>IF(_xlfn.IFNA(VLOOKUP(C123,Data!A:H,7,FALSE),"")=0, "", _xlfn.IFNA(HYPERLINK(VLOOKUP(C123,Data!A:H,7,FALSE),"Catalog Link"),""))</f>
        <v>Catalog Link</v>
      </c>
      <c r="L123" s="33" t="str">
        <f>IF(_xlfn.IFNA(VLOOKUP(C123,Data!A:I,8,FALSE),"")=0, "", _xlfn.IFNA(HYPERLINK(VLOOKUP(C123,Data!A:I,8,FALSE),"Additional Information"),""))</f>
        <v>Additional Information</v>
      </c>
      <c r="M123" s="34">
        <f t="shared" si="2"/>
        <v>4</v>
      </c>
      <c r="N123" s="42" t="s">
        <v>63</v>
      </c>
      <c r="O123" s="42" t="s">
        <v>63</v>
      </c>
      <c r="P123" s="42" t="s">
        <v>63</v>
      </c>
      <c r="Q123" s="42" t="s">
        <v>63</v>
      </c>
      <c r="R123" s="42" t="s">
        <v>63</v>
      </c>
      <c r="S123" s="42" t="s">
        <v>63</v>
      </c>
      <c r="T123" s="42" t="s">
        <v>63</v>
      </c>
      <c r="U123" s="42" t="s">
        <v>63</v>
      </c>
      <c r="V123" s="42" t="s">
        <v>63</v>
      </c>
      <c r="W123" s="42" t="s">
        <v>64</v>
      </c>
      <c r="X123" s="42" t="s">
        <v>63</v>
      </c>
      <c r="Y123" s="42" t="s">
        <v>64</v>
      </c>
      <c r="Z123" s="42" t="s">
        <v>63</v>
      </c>
      <c r="AA123" s="42" t="s">
        <v>63</v>
      </c>
      <c r="AB123" s="42" t="s">
        <v>63</v>
      </c>
      <c r="AC123" s="42"/>
      <c r="AD123" s="42" t="s">
        <v>63</v>
      </c>
      <c r="AE123" s="42" t="s">
        <v>63</v>
      </c>
      <c r="AF123" s="42" t="s">
        <v>63</v>
      </c>
      <c r="AG123" s="42" t="s">
        <v>63</v>
      </c>
      <c r="AH123" s="42" t="s">
        <v>63</v>
      </c>
      <c r="AI123" s="42"/>
      <c r="AJ123" s="42" t="s">
        <v>63</v>
      </c>
      <c r="AK123" s="42"/>
      <c r="AL123" s="42" t="s">
        <v>63</v>
      </c>
      <c r="AM123" s="42" t="s">
        <v>64</v>
      </c>
      <c r="AN123" s="42" t="s">
        <v>63</v>
      </c>
      <c r="AO123" s="42" t="s">
        <v>63</v>
      </c>
      <c r="AP123" s="42" t="s">
        <v>63</v>
      </c>
      <c r="AQ123" s="42" t="s">
        <v>63</v>
      </c>
      <c r="AR123" s="42"/>
      <c r="AS123" s="42" t="s">
        <v>63</v>
      </c>
      <c r="AT123" s="42" t="s">
        <v>63</v>
      </c>
      <c r="AU123" s="42"/>
      <c r="AV123" s="42"/>
      <c r="AW123" s="42" t="s">
        <v>64</v>
      </c>
      <c r="AX123" s="42" t="s">
        <v>63</v>
      </c>
      <c r="AY123" s="42" t="s">
        <v>63</v>
      </c>
      <c r="AZ123" s="42" t="s">
        <v>63</v>
      </c>
      <c r="BA123" s="42"/>
      <c r="BB123" s="42" t="s">
        <v>63</v>
      </c>
      <c r="BC123" s="42" t="s">
        <v>63</v>
      </c>
      <c r="BD123" s="42" t="s">
        <v>63</v>
      </c>
      <c r="BE123" s="42" t="s">
        <v>63</v>
      </c>
      <c r="BF123" s="42" t="s">
        <v>63</v>
      </c>
      <c r="BG123" s="42" t="s">
        <v>63</v>
      </c>
      <c r="BH123" s="42" t="s">
        <v>63</v>
      </c>
      <c r="BI123" s="42" t="s">
        <v>63</v>
      </c>
      <c r="BJ123" s="42" t="s">
        <v>63</v>
      </c>
      <c r="BK123" s="42" t="s">
        <v>63</v>
      </c>
      <c r="BL123" s="42" t="s">
        <v>63</v>
      </c>
    </row>
    <row r="124" spans="1:64" s="36" customFormat="1" ht="15.75">
      <c r="A124" s="33" t="s">
        <v>1177</v>
      </c>
      <c r="B124" s="34" t="s">
        <v>70</v>
      </c>
      <c r="C124" s="34" t="s">
        <v>1193</v>
      </c>
      <c r="D124" s="33" t="s">
        <v>271</v>
      </c>
      <c r="E124" s="34">
        <f>IF(_xlfn.IFNA(VLOOKUP(B124,Data!B:G,3,FALSE),"")=0, "", _xlfn.IFNA(VLOOKUP(B124,Data!B:G,3,FALSE),""))</f>
        <v>3</v>
      </c>
      <c r="F124" s="33" t="s">
        <v>1175</v>
      </c>
      <c r="G124" s="33"/>
      <c r="H124" s="33" t="str">
        <f>IF(_xlfn.IFNA(VLOOKUP(C124,Data!A:G,5,FALSE),"")=0, "Check course registration information", _xlfn.IFNA(VLOOKUP(C124,Data!A:G,5,FALSE),""))</f>
        <v>MA 26200 or (MA 26500 and MA 26600)</v>
      </c>
      <c r="I124" s="33"/>
      <c r="J124" s="33" t="str">
        <f>IF(_xlfn.IFNA(VLOOKUP(C124,Data!A:G,6,FALSE),"")=0, "Check course registration information", _xlfn.IFNA(VLOOKUP(C124,Data!A:G,6,FALSE),""))</f>
        <v>This course introduces the key concepts of equilibrium statistical mechanics leading to the celebrated Boltzmann law and how it leads to Boltzmann machines and related concepts in modern machine learning. No prior background in statistical mechanics is assumed.</v>
      </c>
      <c r="K124" s="33" t="str">
        <f>IF(_xlfn.IFNA(VLOOKUP(C124,Data!A:H,7,FALSE),"")=0, "", _xlfn.IFNA(HYPERLINK(VLOOKUP(C124,Data!A:H,7,FALSE),"Catalog Link"),""))</f>
        <v>Catalog Link</v>
      </c>
      <c r="L124" s="33" t="str">
        <f>IF(_xlfn.IFNA(VLOOKUP(C124,Data!A:I,8,FALSE),"")=0, "", _xlfn.IFNA(HYPERLINK(VLOOKUP(C124,Data!A:I,8,FALSE),"Additional Information"),""))</f>
        <v>Additional Information</v>
      </c>
      <c r="M124" s="34">
        <f t="shared" si="2"/>
        <v>2</v>
      </c>
      <c r="N124" s="42" t="s">
        <v>63</v>
      </c>
      <c r="O124" s="42" t="s">
        <v>63</v>
      </c>
      <c r="P124" s="42" t="s">
        <v>63</v>
      </c>
      <c r="Q124" s="42" t="s">
        <v>63</v>
      </c>
      <c r="R124" s="42" t="s">
        <v>63</v>
      </c>
      <c r="S124" s="42" t="s">
        <v>63</v>
      </c>
      <c r="T124" s="42" t="s">
        <v>63</v>
      </c>
      <c r="U124" s="42" t="s">
        <v>63</v>
      </c>
      <c r="V124" s="42" t="s">
        <v>63</v>
      </c>
      <c r="W124" s="42" t="s">
        <v>63</v>
      </c>
      <c r="X124" s="42" t="s">
        <v>63</v>
      </c>
      <c r="Y124" s="42" t="s">
        <v>64</v>
      </c>
      <c r="Z124" s="42" t="s">
        <v>63</v>
      </c>
      <c r="AA124" s="43" t="s">
        <v>63</v>
      </c>
      <c r="AB124" s="42" t="s">
        <v>63</v>
      </c>
      <c r="AC124" s="42"/>
      <c r="AD124" s="42" t="s">
        <v>63</v>
      </c>
      <c r="AE124" s="42" t="s">
        <v>63</v>
      </c>
      <c r="AF124" s="42" t="s">
        <v>63</v>
      </c>
      <c r="AG124" s="42" t="s">
        <v>63</v>
      </c>
      <c r="AH124" s="42" t="s">
        <v>63</v>
      </c>
      <c r="AI124" s="42"/>
      <c r="AJ124" s="42" t="s">
        <v>63</v>
      </c>
      <c r="AK124" s="42"/>
      <c r="AL124" s="42" t="s">
        <v>63</v>
      </c>
      <c r="AM124" s="42"/>
      <c r="AN124" s="42" t="s">
        <v>63</v>
      </c>
      <c r="AO124" s="42" t="s">
        <v>63</v>
      </c>
      <c r="AP124" s="42" t="s">
        <v>63</v>
      </c>
      <c r="AQ124" s="42" t="s">
        <v>63</v>
      </c>
      <c r="AR124" s="42"/>
      <c r="AS124" s="42" t="s">
        <v>63</v>
      </c>
      <c r="AT124" s="42" t="s">
        <v>63</v>
      </c>
      <c r="AU124" s="42"/>
      <c r="AV124" s="42"/>
      <c r="AW124" s="42" t="s">
        <v>64</v>
      </c>
      <c r="AX124" s="42" t="s">
        <v>63</v>
      </c>
      <c r="AY124" s="42" t="s">
        <v>63</v>
      </c>
      <c r="AZ124" s="42" t="s">
        <v>63</v>
      </c>
      <c r="BA124" s="42"/>
      <c r="BB124" s="42" t="s">
        <v>63</v>
      </c>
      <c r="BC124" s="42" t="s">
        <v>63</v>
      </c>
      <c r="BD124" s="42" t="s">
        <v>63</v>
      </c>
      <c r="BE124" s="42" t="s">
        <v>63</v>
      </c>
      <c r="BF124" s="42" t="s">
        <v>63</v>
      </c>
      <c r="BG124" s="42" t="s">
        <v>63</v>
      </c>
      <c r="BH124" s="42" t="s">
        <v>63</v>
      </c>
      <c r="BI124" s="42" t="s">
        <v>63</v>
      </c>
      <c r="BJ124" s="42" t="s">
        <v>63</v>
      </c>
      <c r="BK124" s="42" t="s">
        <v>63</v>
      </c>
      <c r="BL124" s="42" t="s">
        <v>63</v>
      </c>
    </row>
    <row r="125" spans="1:64">
      <c r="A125" s="55" t="s">
        <v>1176</v>
      </c>
      <c r="B125" s="34" t="s">
        <v>70</v>
      </c>
      <c r="C125" s="34" t="s">
        <v>1194</v>
      </c>
      <c r="D125" s="33" t="s">
        <v>272</v>
      </c>
      <c r="E125" s="34">
        <f>IF(_xlfn.IFNA(VLOOKUP(B125,Data!B:G,3,FALSE),"")=0, "", _xlfn.IFNA(VLOOKUP(B125,Data!B:G,3,FALSE),""))</f>
        <v>3</v>
      </c>
      <c r="F125" s="66" t="s">
        <v>106</v>
      </c>
      <c r="H125" s="66" t="str">
        <f>IF(_xlfn.IFNA(VLOOKUP(C125,Data!A:G,5,FALSE),"")=0, "Check course registration information", _xlfn.IFNA(VLOOKUP(C125,Data!A:G,5,FALSE),""))</f>
        <v>(ECE 20002 or ECE 25500) and (PHYS 27200 or PHYS 24100 or PHYS 26100 or PHYS 25100) and (MA 26600 or MA 26200 or MA 36600)</v>
      </c>
      <c r="J125" s="33" t="str">
        <f>IF(_xlfn.IFNA(VLOOKUP(C125,Data!A:G,6,FALSE),"")=0, "Check course registration information", _xlfn.IFNA(VLOOKUP(C125,Data!A:G,6,FALSE),""))</f>
        <v>This course introduces the fundamentals of microfabrication used for wafer-scale manufacturing of Microelectromechanical Systems (MEMS). Borrowing some techniques from the integrated circuit (IC) fabrication and engineering new techniques to solve MEMS-specific challenges, MEMS microfabrication boasts an extensive toolbox employed both in research-level prototyping and in mass production in MEMS industry. The course reviews key methods for deposition, patterning, release, and packaging of MEMS devices. Considerations for benefits and levels of integration of MEMS and ICs are discussed. Micro-fabrication case studies of several MEMS devices are reviewed.</v>
      </c>
      <c r="K125" s="33" t="str">
        <f>IF(_xlfn.IFNA(VLOOKUP(C125,Data!A:H,7,FALSE),"")=0, "", _xlfn.IFNA(HYPERLINK(VLOOKUP(C125,Data!A:H,7,FALSE),"Catalog Link"),""))</f>
        <v>Catalog Link</v>
      </c>
      <c r="L125" s="33" t="str">
        <f>IF(_xlfn.IFNA(VLOOKUP(C125,Data!A:I,8,FALSE),"")=0, "", _xlfn.IFNA(HYPERLINK(VLOOKUP(C125,Data!A:I,8,FALSE),"Additional Information"),""))</f>
        <v>Additional Information</v>
      </c>
      <c r="M125" s="34">
        <f t="shared" si="2"/>
        <v>4</v>
      </c>
      <c r="N125" s="42" t="s">
        <v>63</v>
      </c>
      <c r="O125" s="42" t="s">
        <v>63</v>
      </c>
      <c r="P125" s="42" t="s">
        <v>63</v>
      </c>
      <c r="Q125" s="42" t="s">
        <v>63</v>
      </c>
      <c r="R125" s="42" t="s">
        <v>63</v>
      </c>
      <c r="S125" s="42" t="s">
        <v>63</v>
      </c>
      <c r="T125" s="42" t="s">
        <v>63</v>
      </c>
      <c r="U125" s="42" t="s">
        <v>63</v>
      </c>
      <c r="V125" s="42" t="s">
        <v>63</v>
      </c>
      <c r="W125" s="42" t="s">
        <v>63</v>
      </c>
      <c r="X125" s="42" t="s">
        <v>63</v>
      </c>
      <c r="Y125" s="42" t="s">
        <v>64</v>
      </c>
      <c r="Z125" s="42" t="s">
        <v>63</v>
      </c>
      <c r="AA125" s="42" t="s">
        <v>63</v>
      </c>
      <c r="AB125" s="42" t="s">
        <v>64</v>
      </c>
      <c r="AC125" s="42"/>
      <c r="AD125" s="42" t="s">
        <v>63</v>
      </c>
      <c r="AE125" s="42" t="s">
        <v>63</v>
      </c>
      <c r="AF125" s="42" t="s">
        <v>63</v>
      </c>
      <c r="AG125" s="42" t="s">
        <v>63</v>
      </c>
      <c r="AH125" s="42" t="s">
        <v>63</v>
      </c>
      <c r="AI125" s="42"/>
      <c r="AJ125" s="42" t="s">
        <v>63</v>
      </c>
      <c r="AK125" s="42" t="s">
        <v>64</v>
      </c>
      <c r="AL125" s="42" t="s">
        <v>63</v>
      </c>
      <c r="AM125" s="42"/>
      <c r="AN125" s="42" t="s">
        <v>63</v>
      </c>
      <c r="AO125" s="42" t="s">
        <v>63</v>
      </c>
      <c r="AP125" s="42" t="s">
        <v>63</v>
      </c>
      <c r="AQ125" s="42" t="s">
        <v>63</v>
      </c>
      <c r="AR125" s="42"/>
      <c r="AS125" s="42" t="s">
        <v>63</v>
      </c>
      <c r="AT125" s="42" t="s">
        <v>63</v>
      </c>
      <c r="AU125" s="42"/>
      <c r="AV125" s="42"/>
      <c r="AW125" s="42" t="s">
        <v>63</v>
      </c>
      <c r="AX125" s="42" t="s">
        <v>63</v>
      </c>
      <c r="AY125" s="42" t="s">
        <v>63</v>
      </c>
      <c r="AZ125" s="42" t="s">
        <v>63</v>
      </c>
      <c r="BA125" s="42"/>
      <c r="BB125" s="42" t="s">
        <v>63</v>
      </c>
      <c r="BC125" s="42" t="s">
        <v>63</v>
      </c>
      <c r="BD125" s="42" t="s">
        <v>63</v>
      </c>
      <c r="BE125" s="42" t="s">
        <v>63</v>
      </c>
      <c r="BF125" s="42" t="s">
        <v>63</v>
      </c>
      <c r="BG125" s="42" t="s">
        <v>63</v>
      </c>
      <c r="BH125" s="42" t="s">
        <v>63</v>
      </c>
      <c r="BI125" s="42" t="s">
        <v>63</v>
      </c>
      <c r="BJ125" s="42" t="s">
        <v>63</v>
      </c>
      <c r="BK125" s="42" t="s">
        <v>63</v>
      </c>
      <c r="BL125" s="42" t="s">
        <v>64</v>
      </c>
    </row>
    <row r="126" spans="1:64" s="36" customFormat="1" ht="15.75">
      <c r="A126" s="33" t="s">
        <v>1176</v>
      </c>
      <c r="B126" s="34" t="s">
        <v>70</v>
      </c>
      <c r="C126" s="34" t="s">
        <v>1195</v>
      </c>
      <c r="D126" s="33" t="s">
        <v>273</v>
      </c>
      <c r="E126" s="34">
        <f>IF(_xlfn.IFNA(VLOOKUP(B126,Data!B:G,3,FALSE),"")=0, "", _xlfn.IFNA(VLOOKUP(B126,Data!B:G,3,FALSE),""))</f>
        <v>3</v>
      </c>
      <c r="F126" s="66" t="s">
        <v>106</v>
      </c>
      <c r="G126" s="33"/>
      <c r="H126" s="66" t="str">
        <f>IF(_xlfn.IFNA(VLOOKUP(C126,Data!A:G,5,FALSE),"")=0, "Check course registration information", _xlfn.IFNA(VLOOKUP(C126,Data!A:G,5,FALSE),""))</f>
        <v>ECE 59500, Intro to Nanolithography and ECE 59500, EUV Lithography</v>
      </c>
      <c r="I126" s="33"/>
      <c r="J126" s="33" t="str">
        <f>IF(_xlfn.IFNA(VLOOKUP(C126,Data!A:G,6,FALSE),"")=0, "Check course registration information", _xlfn.IFNA(VLOOKUP(C126,Data!A:G,6,FALSE),""))</f>
        <v>This course is the third in a series of three 1-credit courses on semiconductor lithography. This course covers the specific aspects of computational lithography, including physics of sub-wavelength image formation; Fourier imaging at the diffraction limit; forward model for patterning simulations; and applications in manufacturing.</v>
      </c>
      <c r="K126" s="33" t="str">
        <f>IF(_xlfn.IFNA(VLOOKUP(C126,Data!A:H,7,FALSE),"")=0, "", _xlfn.IFNA(HYPERLINK(VLOOKUP(C126,Data!A:H,7,FALSE),"Catalog Link"),""))</f>
        <v>Catalog Link</v>
      </c>
      <c r="L126" s="33" t="str">
        <f>IF(_xlfn.IFNA(VLOOKUP(C126,Data!A:I,8,FALSE),"")=0, "", _xlfn.IFNA(HYPERLINK(VLOOKUP(C126,Data!A:I,8,FALSE),"Additional Information"),""))</f>
        <v>Additional Information</v>
      </c>
      <c r="M126" s="34">
        <f t="shared" si="2"/>
        <v>3</v>
      </c>
      <c r="N126" s="42" t="s">
        <v>63</v>
      </c>
      <c r="O126" s="42" t="s">
        <v>63</v>
      </c>
      <c r="P126" s="42" t="s">
        <v>63</v>
      </c>
      <c r="Q126" s="42" t="s">
        <v>63</v>
      </c>
      <c r="R126" s="42" t="s">
        <v>63</v>
      </c>
      <c r="S126" s="42" t="s">
        <v>63</v>
      </c>
      <c r="T126" s="42" t="s">
        <v>63</v>
      </c>
      <c r="U126" s="42" t="s">
        <v>63</v>
      </c>
      <c r="V126" s="42" t="s">
        <v>63</v>
      </c>
      <c r="W126" s="42" t="s">
        <v>63</v>
      </c>
      <c r="X126" s="42" t="s">
        <v>63</v>
      </c>
      <c r="Y126" s="42" t="s">
        <v>63</v>
      </c>
      <c r="Z126" s="42" t="s">
        <v>63</v>
      </c>
      <c r="AA126" s="42" t="s">
        <v>63</v>
      </c>
      <c r="AB126" s="42" t="s">
        <v>64</v>
      </c>
      <c r="AC126" s="42"/>
      <c r="AD126" s="42" t="s">
        <v>63</v>
      </c>
      <c r="AE126" s="42" t="s">
        <v>63</v>
      </c>
      <c r="AF126" s="42" t="s">
        <v>63</v>
      </c>
      <c r="AG126" s="42" t="s">
        <v>64</v>
      </c>
      <c r="AH126" s="42" t="s">
        <v>63</v>
      </c>
      <c r="AI126" s="42"/>
      <c r="AJ126" s="42" t="s">
        <v>63</v>
      </c>
      <c r="AK126" s="42"/>
      <c r="AL126" s="42" t="s">
        <v>63</v>
      </c>
      <c r="AM126" s="42"/>
      <c r="AN126" s="42" t="s">
        <v>64</v>
      </c>
      <c r="AO126" s="42" t="s">
        <v>63</v>
      </c>
      <c r="AP126" s="42" t="s">
        <v>63</v>
      </c>
      <c r="AQ126" s="42" t="s">
        <v>63</v>
      </c>
      <c r="AR126" s="42"/>
      <c r="AS126" s="42" t="s">
        <v>63</v>
      </c>
      <c r="AT126" s="42" t="s">
        <v>63</v>
      </c>
      <c r="AU126" s="42"/>
      <c r="AV126" s="42"/>
      <c r="AW126" s="42" t="s">
        <v>63</v>
      </c>
      <c r="AX126" s="42" t="s">
        <v>63</v>
      </c>
      <c r="AY126" s="42" t="s">
        <v>63</v>
      </c>
      <c r="AZ126" s="42" t="s">
        <v>63</v>
      </c>
      <c r="BA126" s="42"/>
      <c r="BB126" s="42" t="s">
        <v>63</v>
      </c>
      <c r="BC126" s="42" t="s">
        <v>63</v>
      </c>
      <c r="BD126" s="42" t="s">
        <v>63</v>
      </c>
      <c r="BE126" s="42" t="s">
        <v>63</v>
      </c>
      <c r="BF126" s="42" t="s">
        <v>63</v>
      </c>
      <c r="BG126" s="42" t="s">
        <v>63</v>
      </c>
      <c r="BH126" s="42" t="s">
        <v>63</v>
      </c>
      <c r="BI126" s="42" t="s">
        <v>63</v>
      </c>
      <c r="BJ126" s="42" t="s">
        <v>63</v>
      </c>
      <c r="BK126" s="42" t="s">
        <v>63</v>
      </c>
      <c r="BL126" s="42" t="s">
        <v>63</v>
      </c>
    </row>
    <row r="127" spans="1:64" s="36" customFormat="1" ht="15.75">
      <c r="A127" s="33" t="s">
        <v>1177</v>
      </c>
      <c r="B127" s="34" t="s">
        <v>294</v>
      </c>
      <c r="C127" s="34" t="s">
        <v>294</v>
      </c>
      <c r="D127" s="33" t="s">
        <v>295</v>
      </c>
      <c r="E127" s="34">
        <f>IF(_xlfn.IFNA(VLOOKUP(B127,Data!B:G,3,FALSE),"")=0, "", _xlfn.IFNA(VLOOKUP(B127,Data!B:G,3,FALSE),""))</f>
        <v>3</v>
      </c>
      <c r="F127" s="33" t="s">
        <v>1175</v>
      </c>
      <c r="G127" s="33"/>
      <c r="H127" s="33" t="str">
        <f>IF(_xlfn.IFNA(VLOOKUP(C127,Data!A:G,5,FALSE),"")=0, "Check course registration information", _xlfn.IFNA(VLOOKUP(C127,Data!A:G,5,FALSE),""))</f>
        <v>Check course registration information</v>
      </c>
      <c r="I127" s="33"/>
      <c r="J127" s="33" t="str">
        <f>IF(_xlfn.IFNA(VLOOKUP(C127,Data!A:G,6,FALSE),"")=0, "Check course registration information", _xlfn.IFNA(VLOOKUP(C127,Data!A:G,6,FALSE),""))</f>
        <v>This course aims at analysis and design of CMOS integrated radio frequency (RF), microwave and mm-wave circuits. Various modules of an RF transceiver are discussed including low noise amplifiers, mixers, oscillators, frequency synthesizers and power amplifiers. A term project on design of an RF to mm-wave module is also required</v>
      </c>
      <c r="K127" s="33" t="str">
        <f>IF(_xlfn.IFNA(VLOOKUP(C127,Data!A:H,7,FALSE),"")=0, "", _xlfn.IFNA(HYPERLINK(VLOOKUP(C127,Data!A:H,7,FALSE),"Catalog Link"),""))</f>
        <v>Catalog Link</v>
      </c>
      <c r="L127" s="33" t="str">
        <f>IF(_xlfn.IFNA(VLOOKUP(C127,Data!A:I,8,FALSE),"")=0, "", _xlfn.IFNA(HYPERLINK(VLOOKUP(C127,Data!A:I,8,FALSE),"Additional Information"),""))</f>
        <v>Additional Information</v>
      </c>
      <c r="M127" s="34">
        <f t="shared" si="2"/>
        <v>3</v>
      </c>
      <c r="N127" s="42" t="s">
        <v>63</v>
      </c>
      <c r="O127" s="42" t="s">
        <v>63</v>
      </c>
      <c r="P127" s="42" t="s">
        <v>63</v>
      </c>
      <c r="Q127" s="42" t="s">
        <v>64</v>
      </c>
      <c r="R127" s="42" t="s">
        <v>63</v>
      </c>
      <c r="S127" s="42" t="s">
        <v>63</v>
      </c>
      <c r="T127" s="42" t="s">
        <v>63</v>
      </c>
      <c r="U127" s="42" t="s">
        <v>63</v>
      </c>
      <c r="V127" s="42" t="s">
        <v>63</v>
      </c>
      <c r="W127" s="42" t="s">
        <v>63</v>
      </c>
      <c r="X127" s="42" t="s">
        <v>63</v>
      </c>
      <c r="Y127" s="42" t="s">
        <v>63</v>
      </c>
      <c r="Z127" s="42" t="s">
        <v>63</v>
      </c>
      <c r="AA127" s="43" t="s">
        <v>63</v>
      </c>
      <c r="AB127" s="42" t="s">
        <v>63</v>
      </c>
      <c r="AC127" s="42"/>
      <c r="AD127" s="42" t="s">
        <v>63</v>
      </c>
      <c r="AE127" s="42" t="s">
        <v>63</v>
      </c>
      <c r="AF127" s="42" t="s">
        <v>63</v>
      </c>
      <c r="AG127" s="42" t="s">
        <v>63</v>
      </c>
      <c r="AH127" s="42" t="s">
        <v>63</v>
      </c>
      <c r="AI127" s="42"/>
      <c r="AJ127" s="42" t="s">
        <v>63</v>
      </c>
      <c r="AK127" s="42"/>
      <c r="AL127" s="42" t="s">
        <v>64</v>
      </c>
      <c r="AM127" s="42"/>
      <c r="AN127" s="42" t="s">
        <v>63</v>
      </c>
      <c r="AO127" s="42" t="s">
        <v>63</v>
      </c>
      <c r="AP127" s="42" t="s">
        <v>63</v>
      </c>
      <c r="AQ127" s="42" t="s">
        <v>63</v>
      </c>
      <c r="AR127" s="42"/>
      <c r="AS127" s="42" t="s">
        <v>63</v>
      </c>
      <c r="AT127" s="42" t="s">
        <v>63</v>
      </c>
      <c r="AU127" s="42"/>
      <c r="AV127" s="42"/>
      <c r="AW127" s="42" t="s">
        <v>63</v>
      </c>
      <c r="AX127" s="42" t="s">
        <v>63</v>
      </c>
      <c r="AY127" s="42" t="s">
        <v>63</v>
      </c>
      <c r="AZ127" s="42" t="s">
        <v>64</v>
      </c>
      <c r="BA127" s="42"/>
      <c r="BB127" s="42" t="s">
        <v>63</v>
      </c>
      <c r="BC127" s="42" t="s">
        <v>63</v>
      </c>
      <c r="BD127" s="42" t="s">
        <v>63</v>
      </c>
      <c r="BE127" s="42" t="s">
        <v>63</v>
      </c>
      <c r="BF127" s="42" t="s">
        <v>63</v>
      </c>
      <c r="BG127" s="42" t="s">
        <v>63</v>
      </c>
      <c r="BH127" s="42" t="s">
        <v>63</v>
      </c>
      <c r="BI127" s="42" t="s">
        <v>63</v>
      </c>
      <c r="BJ127" s="42" t="s">
        <v>63</v>
      </c>
      <c r="BK127" s="42" t="s">
        <v>63</v>
      </c>
      <c r="BL127" s="42" t="s">
        <v>63</v>
      </c>
    </row>
    <row r="128" spans="1:64" s="36" customFormat="1" ht="15.75">
      <c r="A128" s="33" t="s">
        <v>1177</v>
      </c>
      <c r="B128" s="34" t="s">
        <v>296</v>
      </c>
      <c r="C128" s="34" t="s">
        <v>296</v>
      </c>
      <c r="D128" s="33" t="s">
        <v>297</v>
      </c>
      <c r="E128" s="34">
        <f>IF(_xlfn.IFNA(VLOOKUP(B128,Data!B:G,3,FALSE),"")=0, "", _xlfn.IFNA(VLOOKUP(B128,Data!B:G,3,FALSE),""))</f>
        <v>3</v>
      </c>
      <c r="F128" s="33" t="s">
        <v>1175</v>
      </c>
      <c r="G128" s="33"/>
      <c r="H128" s="33" t="str">
        <f>IF(_xlfn.IFNA(VLOOKUP(C128,Data!A:G,5,FALSE),"")=0, "Check course registration information", _xlfn.IFNA(VLOOKUP(C128,Data!A:G,5,FALSE),""))</f>
        <v>Check course registration information</v>
      </c>
      <c r="I128" s="33"/>
      <c r="J128" s="33" t="str">
        <f>IF(_xlfn.IFNA(VLOOKUP(C128,Data!A:G,6,FALSE),"")=0, "Check course registration information", _xlfn.IFNA(VLOOKUP(C128,Data!A:G,6,FALSE),""))</f>
        <v>The course will cover nanoscale processes and devices and their applications for manipulating light on the nanoscale. The following topics will be covered: Fundamentals, Maxwell's equations, light-matter interaction, dispersion, EM properties of nanostructures; Photonic crystals and photonic crystal fibers; Photonic and plasmonic nanocircuits; Silicon nanophotonics; Metal optics; Manipulating light with plasmonic nanostructures; Plasmonic nano-sensors; Near-field optics; Metamaterials: artificial magnetism and negative refractive index; Metamaterials: superlens and hyperlens; Transformation optics and cloaking; Nanolasers; Tunable and active plasmonic materials; Refractory plasmonics; Plasmonics for energy conversion, data storage and biomed applications; Metasurfaces; Intro to quantum photonics. Prerequisites by Topic: Basic knowledge of electromagnetism and solid state materials, Maxwell equations and band structure of solids</v>
      </c>
      <c r="K128" s="33" t="str">
        <f>IF(_xlfn.IFNA(VLOOKUP(C128,Data!A:H,7,FALSE),"")=0, "", _xlfn.IFNA(HYPERLINK(VLOOKUP(C128,Data!A:H,7,FALSE),"Catalog Link"),""))</f>
        <v>Catalog Link</v>
      </c>
      <c r="L128" s="33" t="str">
        <f>IF(_xlfn.IFNA(VLOOKUP(C128,Data!A:I,8,FALSE),"")=0, "", _xlfn.IFNA(HYPERLINK(VLOOKUP(C128,Data!A:I,8,FALSE),"Additional Information"),""))</f>
        <v>Additional Information</v>
      </c>
      <c r="M128" s="34">
        <f t="shared" si="2"/>
        <v>2</v>
      </c>
      <c r="N128" s="42" t="s">
        <v>63</v>
      </c>
      <c r="O128" s="42" t="s">
        <v>63</v>
      </c>
      <c r="P128" s="42" t="s">
        <v>63</v>
      </c>
      <c r="Q128" s="42" t="s">
        <v>63</v>
      </c>
      <c r="R128" s="42" t="s">
        <v>63</v>
      </c>
      <c r="S128" s="42" t="s">
        <v>63</v>
      </c>
      <c r="T128" s="42" t="s">
        <v>63</v>
      </c>
      <c r="U128" s="42" t="s">
        <v>63</v>
      </c>
      <c r="V128" s="42" t="s">
        <v>63</v>
      </c>
      <c r="W128" s="42" t="s">
        <v>63</v>
      </c>
      <c r="X128" s="42" t="s">
        <v>63</v>
      </c>
      <c r="Y128" s="42" t="s">
        <v>63</v>
      </c>
      <c r="Z128" s="42" t="s">
        <v>63</v>
      </c>
      <c r="AA128" s="43" t="s">
        <v>63</v>
      </c>
      <c r="AB128" s="42" t="s">
        <v>64</v>
      </c>
      <c r="AC128" s="42"/>
      <c r="AD128" s="42" t="s">
        <v>63</v>
      </c>
      <c r="AE128" s="42" t="s">
        <v>63</v>
      </c>
      <c r="AF128" s="42" t="s">
        <v>63</v>
      </c>
      <c r="AG128" s="42" t="s">
        <v>63</v>
      </c>
      <c r="AH128" s="42" t="s">
        <v>63</v>
      </c>
      <c r="AI128" s="42"/>
      <c r="AJ128" s="42" t="s">
        <v>63</v>
      </c>
      <c r="AK128" s="42"/>
      <c r="AL128" s="42" t="s">
        <v>63</v>
      </c>
      <c r="AM128" s="42"/>
      <c r="AN128" s="42" t="s">
        <v>64</v>
      </c>
      <c r="AO128" s="42" t="s">
        <v>63</v>
      </c>
      <c r="AP128" s="42" t="s">
        <v>63</v>
      </c>
      <c r="AQ128" s="42" t="s">
        <v>63</v>
      </c>
      <c r="AR128" s="42"/>
      <c r="AS128" s="42" t="s">
        <v>63</v>
      </c>
      <c r="AT128" s="42" t="s">
        <v>63</v>
      </c>
      <c r="AU128" s="42"/>
      <c r="AV128" s="42"/>
      <c r="AW128" s="42" t="s">
        <v>63</v>
      </c>
      <c r="AX128" s="42" t="s">
        <v>63</v>
      </c>
      <c r="AY128" s="42" t="s">
        <v>63</v>
      </c>
      <c r="AZ128" s="42" t="s">
        <v>63</v>
      </c>
      <c r="BA128" s="42"/>
      <c r="BB128" s="42" t="s">
        <v>63</v>
      </c>
      <c r="BC128" s="42" t="s">
        <v>63</v>
      </c>
      <c r="BD128" s="42" t="s">
        <v>63</v>
      </c>
      <c r="BE128" s="42" t="s">
        <v>63</v>
      </c>
      <c r="BF128" s="42" t="s">
        <v>63</v>
      </c>
      <c r="BG128" s="42" t="s">
        <v>63</v>
      </c>
      <c r="BH128" s="42" t="s">
        <v>63</v>
      </c>
      <c r="BI128" s="42" t="s">
        <v>63</v>
      </c>
      <c r="BJ128" s="42" t="s">
        <v>63</v>
      </c>
      <c r="BK128" s="42" t="s">
        <v>63</v>
      </c>
      <c r="BL128" s="42" t="s">
        <v>63</v>
      </c>
    </row>
    <row r="129" spans="1:64" s="36" customFormat="1" ht="15.75">
      <c r="A129" s="33" t="s">
        <v>1177</v>
      </c>
      <c r="B129" s="34" t="s">
        <v>298</v>
      </c>
      <c r="C129" s="34" t="s">
        <v>298</v>
      </c>
      <c r="D129" s="33" t="s">
        <v>300</v>
      </c>
      <c r="E129" s="34">
        <f>IF(_xlfn.IFNA(VLOOKUP(B129,Data!B:G,3,FALSE),"")=0, "", _xlfn.IFNA(VLOOKUP(B129,Data!B:G,3,FALSE),""))</f>
        <v>1</v>
      </c>
      <c r="F129" s="33" t="s">
        <v>1175</v>
      </c>
      <c r="G129" s="33"/>
      <c r="H129" s="33" t="str">
        <f>IF(_xlfn.IFNA(VLOOKUP(C129,Data!A:G,5,FALSE),"")=0, "Check course registration information", _xlfn.IFNA(VLOOKUP(C129,Data!A:G,5,FALSE),""))</f>
        <v>Check course registration information</v>
      </c>
      <c r="I129" s="33"/>
      <c r="J129" s="33" t="str">
        <f>IF(_xlfn.IFNA(VLOOKUP(C129,Data!A:G,6,FALSE),"")=0, "Check course registration information", _xlfn.IFNA(VLOOKUP(C129,Data!A:G,6,FALSE),""))</f>
        <v>This course covers the fundamentals of RF design. It is designed as a first course for students or engineers with limited background in high-frequency electronics. Engineers that need to understand the 'RF language' and gain working knowledge of critical RF concepts will benefit from taking this course. Students in this class will learn the basic RF tools and design principles. By the end of this class students will be able to understand important RF concepts and how these are related to the design of practical RF blocks. Pre-requisite: ECE 31100 or equivalent</v>
      </c>
      <c r="K129" s="33" t="str">
        <f>IF(_xlfn.IFNA(VLOOKUP(C129,Data!A:H,7,FALSE),"")=0, "", _xlfn.IFNA(HYPERLINK(VLOOKUP(C129,Data!A:H,7,FALSE),"Catalog Link"),""))</f>
        <v>Catalog Link</v>
      </c>
      <c r="L129" s="33" t="str">
        <f>IF(_xlfn.IFNA(VLOOKUP(C129,Data!A:I,8,FALSE),"")=0, "", _xlfn.IFNA(HYPERLINK(VLOOKUP(C129,Data!A:I,8,FALSE),"Additional Information"),""))</f>
        <v>Additional Information</v>
      </c>
      <c r="M129" s="34">
        <f t="shared" si="2"/>
        <v>3</v>
      </c>
      <c r="N129" s="42" t="s">
        <v>63</v>
      </c>
      <c r="O129" s="42" t="s">
        <v>63</v>
      </c>
      <c r="P129" s="42" t="s">
        <v>63</v>
      </c>
      <c r="Q129" s="42" t="s">
        <v>64</v>
      </c>
      <c r="R129" s="42" t="s">
        <v>63</v>
      </c>
      <c r="S129" s="42" t="s">
        <v>63</v>
      </c>
      <c r="T129" s="42" t="s">
        <v>63</v>
      </c>
      <c r="U129" s="42" t="s">
        <v>63</v>
      </c>
      <c r="V129" s="42" t="s">
        <v>63</v>
      </c>
      <c r="W129" s="42" t="s">
        <v>63</v>
      </c>
      <c r="X129" s="42" t="s">
        <v>63</v>
      </c>
      <c r="Y129" s="42" t="s">
        <v>64</v>
      </c>
      <c r="Z129" s="42" t="s">
        <v>63</v>
      </c>
      <c r="AA129" s="43" t="s">
        <v>63</v>
      </c>
      <c r="AB129" s="42" t="s">
        <v>63</v>
      </c>
      <c r="AC129" s="42"/>
      <c r="AD129" s="42" t="s">
        <v>63</v>
      </c>
      <c r="AE129" s="42" t="s">
        <v>63</v>
      </c>
      <c r="AF129" s="42" t="s">
        <v>63</v>
      </c>
      <c r="AG129" s="42" t="s">
        <v>63</v>
      </c>
      <c r="AH129" s="42" t="s">
        <v>63</v>
      </c>
      <c r="AI129" s="42"/>
      <c r="AJ129" s="42" t="s">
        <v>63</v>
      </c>
      <c r="AK129" s="42"/>
      <c r="AL129" s="42" t="s">
        <v>63</v>
      </c>
      <c r="AM129" s="42"/>
      <c r="AN129" s="42" t="s">
        <v>63</v>
      </c>
      <c r="AO129" s="42" t="s">
        <v>63</v>
      </c>
      <c r="AP129" s="42" t="s">
        <v>63</v>
      </c>
      <c r="AQ129" s="42" t="s">
        <v>63</v>
      </c>
      <c r="AR129" s="42"/>
      <c r="AS129" s="42" t="s">
        <v>63</v>
      </c>
      <c r="AT129" s="42" t="s">
        <v>63</v>
      </c>
      <c r="AU129" s="42"/>
      <c r="AV129" s="42"/>
      <c r="AW129" s="42" t="s">
        <v>63</v>
      </c>
      <c r="AX129" s="42" t="s">
        <v>63</v>
      </c>
      <c r="AY129" s="42" t="s">
        <v>63</v>
      </c>
      <c r="AZ129" s="42" t="s">
        <v>64</v>
      </c>
      <c r="BA129" s="42"/>
      <c r="BB129" s="42"/>
      <c r="BC129" s="42" t="s">
        <v>63</v>
      </c>
      <c r="BD129" s="42" t="s">
        <v>63</v>
      </c>
      <c r="BE129" s="42" t="s">
        <v>63</v>
      </c>
      <c r="BF129" s="42" t="s">
        <v>63</v>
      </c>
      <c r="BG129" s="42" t="s">
        <v>63</v>
      </c>
      <c r="BH129" s="42" t="s">
        <v>63</v>
      </c>
      <c r="BI129" s="42" t="s">
        <v>63</v>
      </c>
      <c r="BJ129" s="42" t="s">
        <v>63</v>
      </c>
      <c r="BK129" s="42" t="s">
        <v>63</v>
      </c>
      <c r="BL129" s="42" t="s">
        <v>63</v>
      </c>
    </row>
    <row r="130" spans="1:64" s="36" customFormat="1" ht="15.75">
      <c r="A130" s="33" t="s">
        <v>1177</v>
      </c>
      <c r="B130" s="34" t="s">
        <v>301</v>
      </c>
      <c r="C130" s="34" t="s">
        <v>301</v>
      </c>
      <c r="D130" s="33" t="s">
        <v>302</v>
      </c>
      <c r="E130" s="34">
        <f>IF(_xlfn.IFNA(VLOOKUP(B130,Data!B:G,3,FALSE),"")=0, "", _xlfn.IFNA(VLOOKUP(B130,Data!B:G,3,FALSE),""))</f>
        <v>1</v>
      </c>
      <c r="F130" s="33" t="s">
        <v>1175</v>
      </c>
      <c r="G130" s="33"/>
      <c r="H130" s="33" t="str">
        <f>IF(_xlfn.IFNA(VLOOKUP(C130,Data!A:G,5,FALSE),"")=0, "Check course registration information", _xlfn.IFNA(VLOOKUP(C130,Data!A:G,5,FALSE),""))</f>
        <v>Check course registration information</v>
      </c>
      <c r="I130" s="33"/>
      <c r="J130" s="33" t="str">
        <f>IF(_xlfn.IFNA(VLOOKUP(C130,Data!A:G,6,FALSE),"")=0, "Check course registration information", _xlfn.IFNA(VLOOKUP(C130,Data!A:G,6,FALSE),""))</f>
        <v>Following the 'Primer on RF Design' course, this class focuses on system-level issues. We discuss several important design considerations including noise, non-linearity, distortion, sensitivity and dynamic range and their impact in selecting the appropriate system architecture. The course also covers common receiver architectures including superheterodyne and direct-conversion receivers. Pre-requisite: ECE 60422</v>
      </c>
      <c r="K130" s="33" t="str">
        <f>IF(_xlfn.IFNA(VLOOKUP(C130,Data!A:H,7,FALSE),"")=0, "", _xlfn.IFNA(HYPERLINK(VLOOKUP(C130,Data!A:H,7,FALSE),"Catalog Link"),""))</f>
        <v>Catalog Link</v>
      </c>
      <c r="L130" s="33" t="str">
        <f>IF(_xlfn.IFNA(VLOOKUP(C130,Data!A:I,8,FALSE),"")=0, "", _xlfn.IFNA(HYPERLINK(VLOOKUP(C130,Data!A:I,8,FALSE),"Additional Information"),""))</f>
        <v>Additional Information</v>
      </c>
      <c r="M130" s="34">
        <f t="shared" si="2"/>
        <v>3</v>
      </c>
      <c r="N130" s="42" t="s">
        <v>63</v>
      </c>
      <c r="O130" s="42" t="s">
        <v>63</v>
      </c>
      <c r="P130" s="42" t="s">
        <v>63</v>
      </c>
      <c r="Q130" s="42" t="s">
        <v>64</v>
      </c>
      <c r="R130" s="42" t="s">
        <v>63</v>
      </c>
      <c r="S130" s="42" t="s">
        <v>63</v>
      </c>
      <c r="T130" s="42" t="s">
        <v>63</v>
      </c>
      <c r="U130" s="42" t="s">
        <v>63</v>
      </c>
      <c r="V130" s="42" t="s">
        <v>63</v>
      </c>
      <c r="W130" s="42" t="s">
        <v>63</v>
      </c>
      <c r="X130" s="42" t="s">
        <v>63</v>
      </c>
      <c r="Y130" s="42" t="s">
        <v>64</v>
      </c>
      <c r="Z130" s="42" t="s">
        <v>63</v>
      </c>
      <c r="AA130" s="43" t="s">
        <v>63</v>
      </c>
      <c r="AB130" s="42" t="s">
        <v>63</v>
      </c>
      <c r="AC130" s="42"/>
      <c r="AD130" s="42" t="s">
        <v>63</v>
      </c>
      <c r="AE130" s="42" t="s">
        <v>63</v>
      </c>
      <c r="AF130" s="42" t="s">
        <v>63</v>
      </c>
      <c r="AG130" s="42" t="s">
        <v>63</v>
      </c>
      <c r="AH130" s="42" t="s">
        <v>63</v>
      </c>
      <c r="AI130" s="42"/>
      <c r="AJ130" s="42" t="s">
        <v>63</v>
      </c>
      <c r="AK130" s="42"/>
      <c r="AL130" s="42" t="s">
        <v>63</v>
      </c>
      <c r="AM130" s="42"/>
      <c r="AN130" s="42" t="s">
        <v>63</v>
      </c>
      <c r="AO130" s="42" t="s">
        <v>63</v>
      </c>
      <c r="AP130" s="42" t="s">
        <v>63</v>
      </c>
      <c r="AQ130" s="42" t="s">
        <v>63</v>
      </c>
      <c r="AR130" s="42"/>
      <c r="AS130" s="42" t="s">
        <v>63</v>
      </c>
      <c r="AT130" s="42" t="s">
        <v>63</v>
      </c>
      <c r="AU130" s="42"/>
      <c r="AV130" s="42"/>
      <c r="AW130" s="42" t="s">
        <v>63</v>
      </c>
      <c r="AX130" s="42" t="s">
        <v>63</v>
      </c>
      <c r="AY130" s="42" t="s">
        <v>63</v>
      </c>
      <c r="AZ130" s="42" t="s">
        <v>64</v>
      </c>
      <c r="BA130" s="42"/>
      <c r="BB130" s="42"/>
      <c r="BC130" s="42" t="s">
        <v>63</v>
      </c>
      <c r="BD130" s="42" t="s">
        <v>63</v>
      </c>
      <c r="BE130" s="42" t="s">
        <v>63</v>
      </c>
      <c r="BF130" s="42" t="s">
        <v>63</v>
      </c>
      <c r="BG130" s="42" t="s">
        <v>63</v>
      </c>
      <c r="BH130" s="42" t="s">
        <v>63</v>
      </c>
      <c r="BI130" s="42" t="s">
        <v>63</v>
      </c>
      <c r="BJ130" s="42" t="s">
        <v>63</v>
      </c>
      <c r="BK130" s="42" t="s">
        <v>63</v>
      </c>
      <c r="BL130" s="42" t="s">
        <v>63</v>
      </c>
    </row>
    <row r="131" spans="1:64" s="36" customFormat="1" ht="15.75">
      <c r="A131" s="33" t="s">
        <v>1177</v>
      </c>
      <c r="B131" s="34" t="s">
        <v>303</v>
      </c>
      <c r="C131" s="34" t="s">
        <v>303</v>
      </c>
      <c r="D131" s="33" t="s">
        <v>304</v>
      </c>
      <c r="E131" s="34">
        <f>IF(_xlfn.IFNA(VLOOKUP(B131,Data!B:G,3,FALSE),"")=0, "", _xlfn.IFNA(VLOOKUP(B131,Data!B:G,3,FALSE),""))</f>
        <v>1</v>
      </c>
      <c r="F131" s="33" t="s">
        <v>1175</v>
      </c>
      <c r="G131" s="33"/>
      <c r="H131" s="33" t="str">
        <f>IF(_xlfn.IFNA(VLOOKUP(C131,Data!A:G,5,FALSE),"")=0, "Check course registration information", _xlfn.IFNA(VLOOKUP(C131,Data!A:G,5,FALSE),""))</f>
        <v>Check course registration information</v>
      </c>
      <c r="I131" s="33"/>
      <c r="J131" s="33" t="str">
        <f>IF(_xlfn.IFNA(VLOOKUP(C131,Data!A:G,6,FALSE),"")=0, "Check course registration information", _xlfn.IFNA(VLOOKUP(C131,Data!A:G,6,FALSE),""))</f>
        <v>Following the 'Primer on RF Design' course, this class focuses on passive and active components. We use the techniques learnt in the previous course, to design advanced RF devices including couplers, filters and amplifiers. Current research topics are discussed as appropriate. Pre-requisite: ECE 60422</v>
      </c>
      <c r="K131" s="33" t="str">
        <f>IF(_xlfn.IFNA(VLOOKUP(C131,Data!A:H,7,FALSE),"")=0, "", _xlfn.IFNA(HYPERLINK(VLOOKUP(C131,Data!A:H,7,FALSE),"Catalog Link"),""))</f>
        <v>Catalog Link</v>
      </c>
      <c r="L131" s="33" t="str">
        <f>IF(_xlfn.IFNA(VLOOKUP(C131,Data!A:I,8,FALSE),"")=0, "", _xlfn.IFNA(HYPERLINK(VLOOKUP(C131,Data!A:I,8,FALSE),"Additional Information"),""))</f>
        <v>Additional Information</v>
      </c>
      <c r="M131" s="34">
        <f t="shared" ref="M131:M194" si="3">COUNTIF(N131:BL131,"x")</f>
        <v>3</v>
      </c>
      <c r="N131" s="42" t="s">
        <v>63</v>
      </c>
      <c r="O131" s="42" t="s">
        <v>63</v>
      </c>
      <c r="P131" s="42" t="s">
        <v>63</v>
      </c>
      <c r="Q131" s="42" t="s">
        <v>64</v>
      </c>
      <c r="R131" s="42" t="s">
        <v>63</v>
      </c>
      <c r="S131" s="42" t="s">
        <v>63</v>
      </c>
      <c r="T131" s="42" t="s">
        <v>63</v>
      </c>
      <c r="U131" s="42" t="s">
        <v>63</v>
      </c>
      <c r="V131" s="42" t="s">
        <v>63</v>
      </c>
      <c r="W131" s="42" t="s">
        <v>63</v>
      </c>
      <c r="X131" s="42" t="s">
        <v>63</v>
      </c>
      <c r="Y131" s="42" t="s">
        <v>64</v>
      </c>
      <c r="Z131" s="42" t="s">
        <v>63</v>
      </c>
      <c r="AA131" s="43" t="s">
        <v>63</v>
      </c>
      <c r="AB131" s="42" t="s">
        <v>63</v>
      </c>
      <c r="AC131" s="42"/>
      <c r="AD131" s="42" t="s">
        <v>63</v>
      </c>
      <c r="AE131" s="42" t="s">
        <v>63</v>
      </c>
      <c r="AF131" s="42" t="s">
        <v>63</v>
      </c>
      <c r="AG131" s="42" t="s">
        <v>63</v>
      </c>
      <c r="AH131" s="42" t="s">
        <v>63</v>
      </c>
      <c r="AI131" s="42"/>
      <c r="AJ131" s="42" t="s">
        <v>63</v>
      </c>
      <c r="AK131" s="42"/>
      <c r="AL131" s="42" t="s">
        <v>63</v>
      </c>
      <c r="AM131" s="42"/>
      <c r="AN131" s="42" t="s">
        <v>63</v>
      </c>
      <c r="AO131" s="42" t="s">
        <v>63</v>
      </c>
      <c r="AP131" s="42" t="s">
        <v>63</v>
      </c>
      <c r="AQ131" s="42" t="s">
        <v>63</v>
      </c>
      <c r="AR131" s="42"/>
      <c r="AS131" s="42" t="s">
        <v>63</v>
      </c>
      <c r="AT131" s="42" t="s">
        <v>63</v>
      </c>
      <c r="AU131" s="42"/>
      <c r="AV131" s="42"/>
      <c r="AW131" s="42" t="s">
        <v>63</v>
      </c>
      <c r="AX131" s="42" t="s">
        <v>63</v>
      </c>
      <c r="AY131" s="42" t="s">
        <v>63</v>
      </c>
      <c r="AZ131" s="42" t="s">
        <v>64</v>
      </c>
      <c r="BA131" s="42"/>
      <c r="BB131" s="42"/>
      <c r="BC131" s="42" t="s">
        <v>63</v>
      </c>
      <c r="BD131" s="42" t="s">
        <v>63</v>
      </c>
      <c r="BE131" s="42" t="s">
        <v>63</v>
      </c>
      <c r="BF131" s="42" t="s">
        <v>63</v>
      </c>
      <c r="BG131" s="42" t="s">
        <v>63</v>
      </c>
      <c r="BH131" s="42" t="s">
        <v>63</v>
      </c>
      <c r="BI131" s="42" t="s">
        <v>63</v>
      </c>
      <c r="BJ131" s="42" t="s">
        <v>63</v>
      </c>
      <c r="BK131" s="42" t="s">
        <v>63</v>
      </c>
      <c r="BL131" s="42" t="s">
        <v>63</v>
      </c>
    </row>
    <row r="132" spans="1:64" s="36" customFormat="1" ht="15.75">
      <c r="A132" s="33" t="s">
        <v>1177</v>
      </c>
      <c r="B132" s="34" t="s">
        <v>305</v>
      </c>
      <c r="C132" s="34" t="s">
        <v>305</v>
      </c>
      <c r="D132" s="33" t="s">
        <v>306</v>
      </c>
      <c r="E132" s="34">
        <f>IF(_xlfn.IFNA(VLOOKUP(B132,Data!B:G,3,FALSE),"")=0, "", _xlfn.IFNA(VLOOKUP(B132,Data!B:G,3,FALSE),""))</f>
        <v>3</v>
      </c>
      <c r="F132" s="33" t="s">
        <v>1175</v>
      </c>
      <c r="G132" s="33"/>
      <c r="H132" s="33" t="str">
        <f>IF(_xlfn.IFNA(VLOOKUP(C132,Data!A:G,5,FALSE),"")=0, "Check course registration information", _xlfn.IFNA(VLOOKUP(C132,Data!A:G,5,FALSE),""))</f>
        <v>Check course registration information</v>
      </c>
      <c r="I132" s="33"/>
      <c r="J132" s="33" t="str">
        <f>IF(_xlfn.IFNA(VLOOKUP(C132,Data!A:G,6,FALSE),"")=0, "Check course registration information", _xlfn.IFNA(VLOOKUP(C132,Data!A:G,6,FALSE),""))</f>
        <v>Optical fiber waveguides: ray and wave models, single-mode and multimode fibers. Fiber loss and dispersion mechanisms. Optical sources: LEDs and laser diodes, modulation. Photodetectors: PIN and avalanche photodiodes. Optical amplifiers: EDFA gain, noise. Wavelength-division multiplexing. Coherent communications. System design and link budgets.</v>
      </c>
      <c r="K132" s="33" t="str">
        <f>IF(_xlfn.IFNA(VLOOKUP(C132,Data!A:H,7,FALSE),"")=0, "", _xlfn.IFNA(HYPERLINK(VLOOKUP(C132,Data!A:H,7,FALSE),"Catalog Link"),""))</f>
        <v>Catalog Link</v>
      </c>
      <c r="L132" s="33" t="str">
        <f>IF(_xlfn.IFNA(VLOOKUP(C132,Data!A:I,8,FALSE),"")=0, "", _xlfn.IFNA(HYPERLINK(VLOOKUP(C132,Data!A:I,8,FALSE),"Additional Information"),""))</f>
        <v>Additional Information</v>
      </c>
      <c r="M132" s="34">
        <f t="shared" si="3"/>
        <v>1</v>
      </c>
      <c r="N132" s="42" t="s">
        <v>63</v>
      </c>
      <c r="O132" s="42" t="s">
        <v>63</v>
      </c>
      <c r="P132" s="42" t="s">
        <v>63</v>
      </c>
      <c r="Q132" s="42" t="s">
        <v>63</v>
      </c>
      <c r="R132" s="42" t="s">
        <v>63</v>
      </c>
      <c r="S132" s="42" t="s">
        <v>63</v>
      </c>
      <c r="T132" s="42" t="s">
        <v>63</v>
      </c>
      <c r="U132" s="42" t="s">
        <v>63</v>
      </c>
      <c r="V132" s="42" t="s">
        <v>63</v>
      </c>
      <c r="W132" s="42" t="s">
        <v>63</v>
      </c>
      <c r="X132" s="42" t="s">
        <v>63</v>
      </c>
      <c r="Y132" s="42" t="s">
        <v>63</v>
      </c>
      <c r="Z132" s="42" t="s">
        <v>63</v>
      </c>
      <c r="AA132" s="43" t="s">
        <v>63</v>
      </c>
      <c r="AB132" s="42" t="s">
        <v>63</v>
      </c>
      <c r="AC132" s="42"/>
      <c r="AD132" s="42" t="s">
        <v>63</v>
      </c>
      <c r="AE132" s="42" t="s">
        <v>63</v>
      </c>
      <c r="AF132" s="42" t="s">
        <v>63</v>
      </c>
      <c r="AG132" s="42" t="s">
        <v>63</v>
      </c>
      <c r="AH132" s="42" t="s">
        <v>63</v>
      </c>
      <c r="AI132" s="42"/>
      <c r="AJ132" s="42" t="s">
        <v>63</v>
      </c>
      <c r="AK132" s="42"/>
      <c r="AL132" s="42" t="s">
        <v>63</v>
      </c>
      <c r="AM132" s="42"/>
      <c r="AN132" s="42" t="s">
        <v>64</v>
      </c>
      <c r="AO132" s="42" t="s">
        <v>63</v>
      </c>
      <c r="AP132" s="42" t="s">
        <v>63</v>
      </c>
      <c r="AQ132" s="42" t="s">
        <v>63</v>
      </c>
      <c r="AR132" s="42"/>
      <c r="AS132" s="42" t="s">
        <v>63</v>
      </c>
      <c r="AT132" s="42" t="s">
        <v>63</v>
      </c>
      <c r="AU132" s="42"/>
      <c r="AV132" s="42"/>
      <c r="AW132" s="42" t="s">
        <v>63</v>
      </c>
      <c r="AX132" s="42" t="s">
        <v>63</v>
      </c>
      <c r="AY132" s="42" t="s">
        <v>63</v>
      </c>
      <c r="AZ132" s="42" t="s">
        <v>63</v>
      </c>
      <c r="BA132" s="42"/>
      <c r="BB132" s="42" t="s">
        <v>63</v>
      </c>
      <c r="BC132" s="42" t="s">
        <v>63</v>
      </c>
      <c r="BD132" s="42" t="s">
        <v>63</v>
      </c>
      <c r="BE132" s="42" t="s">
        <v>63</v>
      </c>
      <c r="BF132" s="42" t="s">
        <v>63</v>
      </c>
      <c r="BG132" s="42" t="s">
        <v>63</v>
      </c>
      <c r="BH132" s="42" t="s">
        <v>63</v>
      </c>
      <c r="BI132" s="42" t="s">
        <v>63</v>
      </c>
      <c r="BJ132" s="42" t="s">
        <v>63</v>
      </c>
      <c r="BK132" s="42" t="s">
        <v>63</v>
      </c>
      <c r="BL132" s="42" t="s">
        <v>63</v>
      </c>
    </row>
    <row r="133" spans="1:64" s="36" customFormat="1" ht="15.75">
      <c r="A133" s="33" t="s">
        <v>1177</v>
      </c>
      <c r="B133" s="34" t="s">
        <v>307</v>
      </c>
      <c r="C133" s="34" t="s">
        <v>307</v>
      </c>
      <c r="D133" s="33" t="s">
        <v>308</v>
      </c>
      <c r="E133" s="34">
        <f>IF(_xlfn.IFNA(VLOOKUP(B133,Data!B:G,3,FALSE),"")=0, "", _xlfn.IFNA(VLOOKUP(B133,Data!B:G,3,FALSE),""))</f>
        <v>3</v>
      </c>
      <c r="F133" s="33" t="s">
        <v>1175</v>
      </c>
      <c r="G133" s="33"/>
      <c r="H133" s="33" t="str">
        <f>IF(_xlfn.IFNA(VLOOKUP(C133,Data!A:G,5,FALSE),"")=0, "Check course registration information", _xlfn.IFNA(VLOOKUP(C133,Data!A:G,5,FALSE),""))</f>
        <v>ECE 60600 required; ECE 61200 and ECE 55800 are recommended</v>
      </c>
      <c r="I133" s="33"/>
      <c r="J133" s="33" t="str">
        <f>IF(_xlfn.IFNA(VLOOKUP(C133,Data!A:G,6,FALSE),"")=0, "Check course registration information", _xlfn.IFNA(VLOOKUP(C133,Data!A:G,6,FALSE),""))</f>
        <v>This course will focus on the physics of reliability of small semiconductor devices. In traditional courses on device physics, the students learn how to compute current through a device in response to applied voltage. However, as transistors are turned on and off trillions of times during the years of operation, gradually defects accumulate within the device so that at some point the transistor does not work anymore. The course will explore the physics and mathematics regarding how and when things break - a topic of great interest to semiconductor device engineers. Prerequisites: ECE 60600 required; ECE 61200 and ECE 55800 are recommended</v>
      </c>
      <c r="K133" s="33" t="str">
        <f>IF(_xlfn.IFNA(VLOOKUP(C133,Data!A:H,7,FALSE),"")=0, "", _xlfn.IFNA(HYPERLINK(VLOOKUP(C133,Data!A:H,7,FALSE),"Catalog Link"),""))</f>
        <v>Catalog Link</v>
      </c>
      <c r="L133" s="33" t="str">
        <f>IF(_xlfn.IFNA(VLOOKUP(C133,Data!A:I,8,FALSE),"")=0, "", _xlfn.IFNA(HYPERLINK(VLOOKUP(C133,Data!A:I,8,FALSE),"Additional Information"),""))</f>
        <v>Additional Information</v>
      </c>
      <c r="M133" s="34">
        <f t="shared" si="3"/>
        <v>0</v>
      </c>
      <c r="N133" s="42" t="s">
        <v>63</v>
      </c>
      <c r="O133" s="42" t="s">
        <v>63</v>
      </c>
      <c r="P133" s="42" t="s">
        <v>63</v>
      </c>
      <c r="Q133" s="42" t="s">
        <v>63</v>
      </c>
      <c r="R133" s="42" t="s">
        <v>63</v>
      </c>
      <c r="S133" s="42" t="s">
        <v>63</v>
      </c>
      <c r="T133" s="42" t="s">
        <v>63</v>
      </c>
      <c r="U133" s="42" t="s">
        <v>63</v>
      </c>
      <c r="V133" s="42" t="s">
        <v>63</v>
      </c>
      <c r="W133" s="42" t="s">
        <v>63</v>
      </c>
      <c r="X133" s="42" t="s">
        <v>63</v>
      </c>
      <c r="Y133" s="42" t="s">
        <v>63</v>
      </c>
      <c r="Z133" s="42" t="s">
        <v>63</v>
      </c>
      <c r="AA133" s="43" t="s">
        <v>63</v>
      </c>
      <c r="AB133" s="42" t="s">
        <v>63</v>
      </c>
      <c r="AC133" s="42"/>
      <c r="AD133" s="42" t="s">
        <v>63</v>
      </c>
      <c r="AE133" s="42" t="s">
        <v>63</v>
      </c>
      <c r="AF133" s="42" t="s">
        <v>63</v>
      </c>
      <c r="AG133" s="42" t="s">
        <v>63</v>
      </c>
      <c r="AH133" s="42" t="s">
        <v>63</v>
      </c>
      <c r="AI133" s="42"/>
      <c r="AJ133" s="42" t="s">
        <v>63</v>
      </c>
      <c r="AK133" s="42"/>
      <c r="AL133" s="42" t="s">
        <v>63</v>
      </c>
      <c r="AM133" s="42"/>
      <c r="AN133" s="42" t="s">
        <v>63</v>
      </c>
      <c r="AO133" s="42" t="s">
        <v>63</v>
      </c>
      <c r="AP133" s="42" t="s">
        <v>63</v>
      </c>
      <c r="AQ133" s="42" t="s">
        <v>63</v>
      </c>
      <c r="AR133" s="42"/>
      <c r="AS133" s="42" t="s">
        <v>63</v>
      </c>
      <c r="AT133" s="42" t="s">
        <v>63</v>
      </c>
      <c r="AU133" s="42"/>
      <c r="AV133" s="42"/>
      <c r="AW133" s="42" t="s">
        <v>63</v>
      </c>
      <c r="AX133" s="42" t="s">
        <v>63</v>
      </c>
      <c r="AY133" s="42" t="s">
        <v>63</v>
      </c>
      <c r="AZ133" s="42" t="s">
        <v>63</v>
      </c>
      <c r="BA133" s="42"/>
      <c r="BB133" s="42" t="s">
        <v>63</v>
      </c>
      <c r="BC133" s="42" t="s">
        <v>63</v>
      </c>
      <c r="BD133" s="42" t="s">
        <v>63</v>
      </c>
      <c r="BE133" s="42" t="s">
        <v>63</v>
      </c>
      <c r="BF133" s="42" t="s">
        <v>63</v>
      </c>
      <c r="BG133" s="42" t="s">
        <v>63</v>
      </c>
      <c r="BH133" s="42" t="s">
        <v>63</v>
      </c>
      <c r="BI133" s="42" t="s">
        <v>63</v>
      </c>
      <c r="BJ133" s="42" t="s">
        <v>63</v>
      </c>
      <c r="BK133" s="42" t="s">
        <v>63</v>
      </c>
      <c r="BL133" s="42" t="s">
        <v>63</v>
      </c>
    </row>
    <row r="134" spans="1:64" s="36" customFormat="1" ht="15.75">
      <c r="A134" s="33" t="s">
        <v>1177</v>
      </c>
      <c r="B134" s="34" t="s">
        <v>309</v>
      </c>
      <c r="C134" s="34" t="s">
        <v>309</v>
      </c>
      <c r="D134" s="33" t="s">
        <v>310</v>
      </c>
      <c r="E134" s="34">
        <f>IF(_xlfn.IFNA(VLOOKUP(B134,Data!B:G,3,FALSE),"")=0, "", _xlfn.IFNA(VLOOKUP(B134,Data!B:G,3,FALSE),""))</f>
        <v>3</v>
      </c>
      <c r="F134" s="33" t="s">
        <v>1175</v>
      </c>
      <c r="G134" s="33"/>
      <c r="H134" s="33" t="str">
        <f>IF(_xlfn.IFNA(VLOOKUP(C134,Data!A:G,5,FALSE),"")=0, "Check course registration information", _xlfn.IFNA(VLOOKUP(C134,Data!A:G,5,FALSE),""))</f>
        <v>Check course registration information</v>
      </c>
      <c r="I134" s="33"/>
      <c r="J134" s="33" t="str">
        <f>IF(_xlfn.IFNA(VLOOKUP(C134,Data!A:G,6,FALSE),"")=0, "Check course registration information", _xlfn.IFNA(VLOOKUP(C134,Data!A:G,6,FALSE),""))</f>
        <v>Discusses different aspects of VLSI testing and formal verification of designs. Design and manufacturing defect models are introduced along with test generation and fault simulation algorithms targeting the different fault models. Both combinational and sequential logic testing are covered, and different synthesis for testability schemes such as BIST (Built-In-Self-Test), scan path design, etc., are introduced. Other new and emerging test and verification techniques also are discussed. Offered every third semester. Prerequisite: ECE 55900</v>
      </c>
      <c r="K134" s="33" t="str">
        <f>IF(_xlfn.IFNA(VLOOKUP(C134,Data!A:H,7,FALSE),"")=0, "", _xlfn.IFNA(HYPERLINK(VLOOKUP(C134,Data!A:H,7,FALSE),"Catalog Link"),""))</f>
        <v>Catalog Link</v>
      </c>
      <c r="L134" s="33" t="str">
        <f>IF(_xlfn.IFNA(VLOOKUP(C134,Data!A:I,8,FALSE),"")=0, "", _xlfn.IFNA(HYPERLINK(VLOOKUP(C134,Data!A:I,8,FALSE),"Additional Information"),""))</f>
        <v>Additional Information</v>
      </c>
      <c r="M134" s="34">
        <f t="shared" si="3"/>
        <v>2</v>
      </c>
      <c r="N134" s="42" t="s">
        <v>63</v>
      </c>
      <c r="O134" s="42" t="s">
        <v>63</v>
      </c>
      <c r="P134" s="42" t="s">
        <v>63</v>
      </c>
      <c r="Q134" s="42" t="s">
        <v>63</v>
      </c>
      <c r="R134" s="42" t="s">
        <v>63</v>
      </c>
      <c r="S134" s="42" t="s">
        <v>63</v>
      </c>
      <c r="T134" s="42" t="s">
        <v>63</v>
      </c>
      <c r="U134" s="42" t="s">
        <v>63</v>
      </c>
      <c r="V134" s="42" t="s">
        <v>63</v>
      </c>
      <c r="W134" s="42" t="s">
        <v>63</v>
      </c>
      <c r="X134" s="42" t="s">
        <v>63</v>
      </c>
      <c r="Y134" s="42" t="s">
        <v>63</v>
      </c>
      <c r="Z134" s="42" t="s">
        <v>63</v>
      </c>
      <c r="AA134" s="43" t="s">
        <v>63</v>
      </c>
      <c r="AB134" s="42" t="s">
        <v>63</v>
      </c>
      <c r="AC134" s="42"/>
      <c r="AD134" s="42" t="s">
        <v>63</v>
      </c>
      <c r="AE134" s="42" t="s">
        <v>64</v>
      </c>
      <c r="AF134" s="42" t="s">
        <v>63</v>
      </c>
      <c r="AG134" s="42" t="s">
        <v>63</v>
      </c>
      <c r="AH134" s="42" t="s">
        <v>63</v>
      </c>
      <c r="AI134" s="42"/>
      <c r="AJ134" s="42" t="s">
        <v>63</v>
      </c>
      <c r="AK134" s="42"/>
      <c r="AL134" s="42" t="s">
        <v>63</v>
      </c>
      <c r="AM134" s="42"/>
      <c r="AN134" s="42" t="s">
        <v>63</v>
      </c>
      <c r="AO134" s="42" t="s">
        <v>63</v>
      </c>
      <c r="AP134" s="42" t="s">
        <v>63</v>
      </c>
      <c r="AQ134" s="42" t="s">
        <v>63</v>
      </c>
      <c r="AR134" s="42"/>
      <c r="AS134" s="42" t="s">
        <v>63</v>
      </c>
      <c r="AT134" s="42" t="s">
        <v>63</v>
      </c>
      <c r="AU134" s="42"/>
      <c r="AV134" s="42"/>
      <c r="AW134" s="42" t="s">
        <v>63</v>
      </c>
      <c r="AX134" s="42" t="s">
        <v>63</v>
      </c>
      <c r="AY134" s="42" t="s">
        <v>63</v>
      </c>
      <c r="AZ134" s="42" t="s">
        <v>63</v>
      </c>
      <c r="BA134" s="42"/>
      <c r="BB134" s="42" t="s">
        <v>63</v>
      </c>
      <c r="BC134" s="42" t="s">
        <v>63</v>
      </c>
      <c r="BD134" s="42" t="s">
        <v>63</v>
      </c>
      <c r="BE134" s="42" t="s">
        <v>63</v>
      </c>
      <c r="BF134" s="42" t="s">
        <v>63</v>
      </c>
      <c r="BG134" s="42" t="s">
        <v>63</v>
      </c>
      <c r="BH134" s="42" t="s">
        <v>63</v>
      </c>
      <c r="BI134" s="42" t="s">
        <v>63</v>
      </c>
      <c r="BJ134" s="42" t="s">
        <v>63</v>
      </c>
      <c r="BK134" s="42" t="s">
        <v>63</v>
      </c>
      <c r="BL134" s="42" t="s">
        <v>64</v>
      </c>
    </row>
    <row r="135" spans="1:64" s="36" customFormat="1" ht="15.75">
      <c r="A135" s="33" t="s">
        <v>1177</v>
      </c>
      <c r="B135" s="34" t="s">
        <v>311</v>
      </c>
      <c r="C135" s="34" t="s">
        <v>311</v>
      </c>
      <c r="D135" s="33" t="s">
        <v>1410</v>
      </c>
      <c r="E135" s="34">
        <f>IF(_xlfn.IFNA(VLOOKUP(B135,Data!B:G,3,FALSE),"")=0, "", _xlfn.IFNA(VLOOKUP(B135,Data!B:G,3,FALSE),""))</f>
        <v>3</v>
      </c>
      <c r="F135" s="33" t="s">
        <v>1175</v>
      </c>
      <c r="G135" s="33"/>
      <c r="H135" s="33" t="str">
        <f>IF(_xlfn.IFNA(VLOOKUP(C135,Data!A:G,5,FALSE),"")=0, "Check course registration information", _xlfn.IFNA(VLOOKUP(C135,Data!A:G,5,FALSE),""))</f>
        <v>Undergraduate level understanding of traditional computer architecture, circuits and basic linear algebra. Some exposure to deep learning algorithms is beneficial but not required.</v>
      </c>
      <c r="I135" s="33"/>
      <c r="J135" s="33" t="str">
        <f>IF(_xlfn.IFNA(VLOOKUP(C135,Data!A:G,6,FALSE),"")=0, "Check course registration information", _xlfn.IFNA(VLOOKUP(C135,Data!A:G,6,FALSE),""))</f>
        <v>This course offers an in-depth exploration of how advances in deep learning algorithms have driven innovations in hardware design, and vice versa. It covers advancements in traditional computing architectures, specialized machine learning accelerators, and novel paradigms like compute-in-memory and neuromorphic computing. Students will develop the skills to formulate algorithm-hardware co-design techniques for designing/optimizing hardware tailored for deep learning algorithms.</v>
      </c>
      <c r="K135" s="33" t="str">
        <f>IF(_xlfn.IFNA(VLOOKUP(C135,Data!A:H,7,FALSE),"")=0, "", _xlfn.IFNA(HYPERLINK(VLOOKUP(C135,Data!A:H,7,FALSE),"Catalog Link"),""))</f>
        <v>Catalog Link</v>
      </c>
      <c r="L135" s="33" t="str">
        <f>IF(_xlfn.IFNA(VLOOKUP(C135,Data!A:I,8,FALSE),"")=0, "", _xlfn.IFNA(HYPERLINK(VLOOKUP(C135,Data!A:I,8,FALSE),"Additional Information"),""))</f>
        <v>Additional Information</v>
      </c>
      <c r="M135" s="34">
        <f t="shared" si="3"/>
        <v>1</v>
      </c>
      <c r="N135" s="42" t="s">
        <v>63</v>
      </c>
      <c r="O135" s="42" t="s">
        <v>63</v>
      </c>
      <c r="P135" s="42" t="s">
        <v>64</v>
      </c>
      <c r="Q135" s="42" t="s">
        <v>63</v>
      </c>
      <c r="R135" s="42" t="s">
        <v>63</v>
      </c>
      <c r="S135" s="42" t="s">
        <v>63</v>
      </c>
      <c r="T135" s="42" t="s">
        <v>63</v>
      </c>
      <c r="U135" s="42" t="s">
        <v>63</v>
      </c>
      <c r="V135" s="42" t="s">
        <v>63</v>
      </c>
      <c r="W135" s="42" t="s">
        <v>63</v>
      </c>
      <c r="X135" s="42" t="s">
        <v>63</v>
      </c>
      <c r="Y135" s="42" t="s">
        <v>63</v>
      </c>
      <c r="Z135" s="42" t="s">
        <v>63</v>
      </c>
      <c r="AA135" s="43" t="s">
        <v>63</v>
      </c>
      <c r="AB135" s="42" t="s">
        <v>63</v>
      </c>
      <c r="AC135" s="42"/>
      <c r="AD135" s="42" t="s">
        <v>63</v>
      </c>
      <c r="AE135" s="42" t="s">
        <v>63</v>
      </c>
      <c r="AF135" s="42" t="s">
        <v>63</v>
      </c>
      <c r="AG135" s="42" t="s">
        <v>63</v>
      </c>
      <c r="AH135" s="42" t="s">
        <v>63</v>
      </c>
      <c r="AI135" s="42"/>
      <c r="AJ135" s="42" t="s">
        <v>63</v>
      </c>
      <c r="AK135" s="42"/>
      <c r="AL135" s="42" t="s">
        <v>63</v>
      </c>
      <c r="AM135" s="42"/>
      <c r="AN135" s="42" t="s">
        <v>63</v>
      </c>
      <c r="AO135" s="42" t="s">
        <v>63</v>
      </c>
      <c r="AP135" s="42" t="s">
        <v>63</v>
      </c>
      <c r="AQ135" s="42" t="s">
        <v>63</v>
      </c>
      <c r="AR135" s="42"/>
      <c r="AS135" s="42" t="s">
        <v>63</v>
      </c>
      <c r="AT135" s="42" t="s">
        <v>63</v>
      </c>
      <c r="AU135" s="42"/>
      <c r="AV135" s="42"/>
      <c r="AW135" s="42" t="s">
        <v>63</v>
      </c>
      <c r="AX135" s="42" t="s">
        <v>63</v>
      </c>
      <c r="AY135" s="42" t="s">
        <v>63</v>
      </c>
      <c r="AZ135" s="42" t="s">
        <v>63</v>
      </c>
      <c r="BA135" s="42"/>
      <c r="BB135" s="42" t="s">
        <v>63</v>
      </c>
      <c r="BC135" s="42" t="s">
        <v>63</v>
      </c>
      <c r="BD135" s="42" t="s">
        <v>63</v>
      </c>
      <c r="BE135" s="42" t="s">
        <v>63</v>
      </c>
      <c r="BF135" s="42" t="s">
        <v>63</v>
      </c>
      <c r="BG135" s="42" t="s">
        <v>63</v>
      </c>
      <c r="BH135" s="42" t="s">
        <v>63</v>
      </c>
      <c r="BI135" s="42" t="s">
        <v>63</v>
      </c>
      <c r="BJ135" s="42" t="s">
        <v>63</v>
      </c>
      <c r="BK135" s="42" t="s">
        <v>63</v>
      </c>
      <c r="BL135" s="42" t="s">
        <v>63</v>
      </c>
    </row>
    <row r="136" spans="1:64" s="36" customFormat="1" ht="15.75">
      <c r="A136" s="33" t="s">
        <v>1177</v>
      </c>
      <c r="B136" s="34" t="s">
        <v>313</v>
      </c>
      <c r="C136" s="34" t="s">
        <v>313</v>
      </c>
      <c r="D136" s="33" t="s">
        <v>315</v>
      </c>
      <c r="E136" s="34">
        <f>IF(_xlfn.IFNA(VLOOKUP(B136,Data!B:G,3,FALSE),"")=0, "", _xlfn.IFNA(VLOOKUP(B136,Data!B:G,3,FALSE),""))</f>
        <v>3</v>
      </c>
      <c r="F136" s="33" t="s">
        <v>1175</v>
      </c>
      <c r="G136" s="33"/>
      <c r="H136" s="33" t="str">
        <f>IF(_xlfn.IFNA(VLOOKUP(C136,Data!A:G,5,FALSE),"")=0, "Check course registration information", _xlfn.IFNA(VLOOKUP(C136,Data!A:G,5,FALSE),""))</f>
        <v>ECET 17700 or ECET 22400 or ECE 20001 and ECE 20007) and (MA 16010 or MA 22700 or MA 22300 or MA 22100 or MA 16100 or MA 16300 or MA 16500 or MA 16700 or MA 21900 or MA 22500 or MA 22900 or MATH M1190 or MATH M2080 or MATH M2150 or MATH 16300</v>
      </c>
      <c r="I136" s="33"/>
      <c r="J136" s="33" t="str">
        <f>IF(_xlfn.IFNA(VLOOKUP(C136,Data!A:G,6,FALSE),"")=0, "Check course registration information", _xlfn.IFNA(VLOOKUP(C136,Data!A:G,6,FALSE),""))</f>
        <v>Capacitors, inductors, oscillators, rectifiers, bipolar and MOSFET power switches, switching power supplies, half-and full-H bridges, switching audio power amplifiers, and linear regulators are studied. Computer-aided analysis of circuits is utilized</v>
      </c>
      <c r="K136" s="33" t="str">
        <f>IF(_xlfn.IFNA(VLOOKUP(C136,Data!A:H,7,FALSE),"")=0, "", _xlfn.IFNA(HYPERLINK(VLOOKUP(C136,Data!A:H,7,FALSE),"Catalog Link"),""))</f>
        <v>Catalog Link</v>
      </c>
      <c r="L136" s="33" t="str">
        <f>IF(_xlfn.IFNA(VLOOKUP(C136,Data!A:I,8,FALSE),"")=0, "", _xlfn.IFNA(HYPERLINK(VLOOKUP(C136,Data!A:I,8,FALSE),"Additional Information"),""))</f>
        <v/>
      </c>
      <c r="M136" s="34">
        <f t="shared" si="3"/>
        <v>1</v>
      </c>
      <c r="N136" s="42" t="s">
        <v>63</v>
      </c>
      <c r="O136" s="42" t="s">
        <v>63</v>
      </c>
      <c r="P136" s="42" t="s">
        <v>63</v>
      </c>
      <c r="Q136" s="42" t="s">
        <v>64</v>
      </c>
      <c r="R136" s="42" t="s">
        <v>63</v>
      </c>
      <c r="S136" s="42" t="s">
        <v>63</v>
      </c>
      <c r="T136" s="42" t="s">
        <v>63</v>
      </c>
      <c r="U136" s="42" t="s">
        <v>63</v>
      </c>
      <c r="V136" s="42" t="s">
        <v>63</v>
      </c>
      <c r="W136" s="42" t="s">
        <v>63</v>
      </c>
      <c r="X136" s="42" t="s">
        <v>63</v>
      </c>
      <c r="Y136" s="42" t="s">
        <v>63</v>
      </c>
      <c r="Z136" s="42" t="s">
        <v>63</v>
      </c>
      <c r="AA136" s="42" t="s">
        <v>63</v>
      </c>
      <c r="AB136" s="42" t="s">
        <v>63</v>
      </c>
      <c r="AC136" s="42"/>
      <c r="AD136" s="42" t="s">
        <v>63</v>
      </c>
      <c r="AE136" s="42" t="s">
        <v>63</v>
      </c>
      <c r="AF136" s="42" t="s">
        <v>63</v>
      </c>
      <c r="AG136" s="42" t="s">
        <v>63</v>
      </c>
      <c r="AH136" s="42" t="s">
        <v>63</v>
      </c>
      <c r="AI136" s="42"/>
      <c r="AJ136" s="42" t="s">
        <v>63</v>
      </c>
      <c r="AK136" s="42"/>
      <c r="AL136" s="42" t="s">
        <v>63</v>
      </c>
      <c r="AM136" s="42"/>
      <c r="AN136" s="42" t="s">
        <v>63</v>
      </c>
      <c r="AO136" s="42" t="s">
        <v>63</v>
      </c>
      <c r="AP136" s="42" t="s">
        <v>63</v>
      </c>
      <c r="AQ136" s="42" t="s">
        <v>63</v>
      </c>
      <c r="AR136" s="42"/>
      <c r="AS136" s="42" t="s">
        <v>63</v>
      </c>
      <c r="AT136" s="42" t="s">
        <v>63</v>
      </c>
      <c r="AU136" s="42"/>
      <c r="AV136" s="42"/>
      <c r="AW136" s="42" t="s">
        <v>63</v>
      </c>
      <c r="AX136" s="42" t="s">
        <v>63</v>
      </c>
      <c r="AY136" s="42" t="s">
        <v>63</v>
      </c>
      <c r="AZ136" s="42" t="s">
        <v>63</v>
      </c>
      <c r="BA136" s="42"/>
      <c r="BB136" s="42" t="s">
        <v>63</v>
      </c>
      <c r="BC136" s="42" t="s">
        <v>63</v>
      </c>
      <c r="BD136" s="42" t="s">
        <v>63</v>
      </c>
      <c r="BE136" s="42" t="s">
        <v>63</v>
      </c>
      <c r="BF136" s="42" t="s">
        <v>63</v>
      </c>
      <c r="BG136" s="42" t="s">
        <v>63</v>
      </c>
      <c r="BH136" s="42" t="s">
        <v>63</v>
      </c>
      <c r="BI136" s="42" t="s">
        <v>63</v>
      </c>
      <c r="BJ136" s="42" t="s">
        <v>63</v>
      </c>
      <c r="BK136" s="42" t="s">
        <v>63</v>
      </c>
      <c r="BL136" s="42" t="s">
        <v>63</v>
      </c>
    </row>
    <row r="137" spans="1:64" s="36" customFormat="1" ht="15.75">
      <c r="A137" s="33" t="s">
        <v>1177</v>
      </c>
      <c r="B137" s="34" t="s">
        <v>316</v>
      </c>
      <c r="C137" s="34" t="s">
        <v>316</v>
      </c>
      <c r="D137" s="33" t="s">
        <v>317</v>
      </c>
      <c r="E137" s="34">
        <f>IF(_xlfn.IFNA(VLOOKUP(B137,Data!B:G,3,FALSE),"")=0, "", _xlfn.IFNA(VLOOKUP(B137,Data!B:G,3,FALSE),""))</f>
        <v>3</v>
      </c>
      <c r="F137" s="33" t="s">
        <v>1175</v>
      </c>
      <c r="G137" s="33"/>
      <c r="H137" s="33" t="str">
        <f>IF(_xlfn.IFNA(VLOOKUP(C137,Data!A:G,5,FALSE),"")=0, "Check course registration information", _xlfn.IFNA(VLOOKUP(C137,Data!A:G,5,FALSE),""))</f>
        <v>ENGT 18000 and ENGT 18100) or ENGT 18200 or ECET 12000 or ECET 22400 or (ECE 20001 and ECE 20007</v>
      </c>
      <c r="I137" s="33"/>
      <c r="J137" s="33" t="str">
        <f>IF(_xlfn.IFNA(VLOOKUP(C137,Data!A:G,6,FALSE),"")=0, "Check course registration information", _xlfn.IFNA(VLOOKUP(C137,Data!A:G,6,FALSE),""))</f>
        <v>This course establishes a foundation for concurrent digital systems. Common methods of describing digital circuit operation are studied along with the techniques for translation between any two methods. Basic building blocks of digital systems are defined and applied. Analysis techniques for combinational and sequential logic circuits or subsystems are covered. Computer-based development tools, programmable logic devices, and technical reference sources are used to build, test, and evaluate digital systems</v>
      </c>
      <c r="K137" s="33" t="str">
        <f>IF(_xlfn.IFNA(VLOOKUP(C137,Data!A:H,7,FALSE),"")=0, "", _xlfn.IFNA(HYPERLINK(VLOOKUP(C137,Data!A:H,7,FALSE),"Catalog Link"),""))</f>
        <v>Catalog Link</v>
      </c>
      <c r="L137" s="33" t="str">
        <f>IF(_xlfn.IFNA(VLOOKUP(C137,Data!A:I,8,FALSE),"")=0, "", _xlfn.IFNA(HYPERLINK(VLOOKUP(C137,Data!A:I,8,FALSE),"Additional Information"),""))</f>
        <v/>
      </c>
      <c r="M137" s="34">
        <f t="shared" si="3"/>
        <v>2</v>
      </c>
      <c r="N137" s="42" t="s">
        <v>63</v>
      </c>
      <c r="O137" s="42" t="s">
        <v>63</v>
      </c>
      <c r="P137" s="42" t="s">
        <v>63</v>
      </c>
      <c r="Q137" s="42" t="s">
        <v>63</v>
      </c>
      <c r="R137" s="42" t="s">
        <v>63</v>
      </c>
      <c r="S137" s="42" t="s">
        <v>63</v>
      </c>
      <c r="T137" s="42" t="s">
        <v>63</v>
      </c>
      <c r="U137" s="42" t="s">
        <v>63</v>
      </c>
      <c r="V137" s="42" t="s">
        <v>63</v>
      </c>
      <c r="W137" s="42" t="s">
        <v>63</v>
      </c>
      <c r="X137" s="42" t="s">
        <v>64</v>
      </c>
      <c r="Y137" s="42" t="s">
        <v>63</v>
      </c>
      <c r="Z137" s="42" t="s">
        <v>63</v>
      </c>
      <c r="AA137" s="43" t="s">
        <v>63</v>
      </c>
      <c r="AB137" s="42" t="s">
        <v>63</v>
      </c>
      <c r="AC137" s="42"/>
      <c r="AD137" s="42" t="s">
        <v>64</v>
      </c>
      <c r="AE137" s="42" t="s">
        <v>63</v>
      </c>
      <c r="AF137" s="42" t="s">
        <v>63</v>
      </c>
      <c r="AG137" s="42" t="s">
        <v>63</v>
      </c>
      <c r="AH137" s="42" t="s">
        <v>63</v>
      </c>
      <c r="AI137" s="42"/>
      <c r="AJ137" s="42" t="s">
        <v>63</v>
      </c>
      <c r="AK137" s="42"/>
      <c r="AL137" s="42" t="s">
        <v>63</v>
      </c>
      <c r="AM137" s="42"/>
      <c r="AN137" s="42" t="s">
        <v>63</v>
      </c>
      <c r="AO137" s="42" t="s">
        <v>63</v>
      </c>
      <c r="AP137" s="42" t="s">
        <v>63</v>
      </c>
      <c r="AQ137" s="42" t="s">
        <v>63</v>
      </c>
      <c r="AR137" s="42"/>
      <c r="AS137" s="42" t="s">
        <v>63</v>
      </c>
      <c r="AT137" s="42" t="s">
        <v>63</v>
      </c>
      <c r="AU137" s="42"/>
      <c r="AV137" s="42"/>
      <c r="AW137" s="42" t="s">
        <v>63</v>
      </c>
      <c r="AX137" s="42" t="s">
        <v>63</v>
      </c>
      <c r="AY137" s="42" t="s">
        <v>63</v>
      </c>
      <c r="AZ137" s="42" t="s">
        <v>63</v>
      </c>
      <c r="BA137" s="42"/>
      <c r="BB137" s="42" t="s">
        <v>63</v>
      </c>
      <c r="BC137" s="42" t="s">
        <v>63</v>
      </c>
      <c r="BD137" s="42" t="s">
        <v>63</v>
      </c>
      <c r="BE137" s="42" t="s">
        <v>63</v>
      </c>
      <c r="BF137" s="42" t="s">
        <v>63</v>
      </c>
      <c r="BG137" s="42" t="s">
        <v>63</v>
      </c>
      <c r="BH137" s="42" t="s">
        <v>63</v>
      </c>
      <c r="BI137" s="42" t="s">
        <v>63</v>
      </c>
      <c r="BJ137" s="42" t="s">
        <v>63</v>
      </c>
      <c r="BK137" s="42" t="s">
        <v>63</v>
      </c>
      <c r="BL137" s="42" t="s">
        <v>63</v>
      </c>
    </row>
    <row r="138" spans="1:64" s="36" customFormat="1" ht="15.75">
      <c r="A138" s="33" t="s">
        <v>1177</v>
      </c>
      <c r="B138" s="34" t="s">
        <v>316</v>
      </c>
      <c r="C138" s="34" t="s">
        <v>1217</v>
      </c>
      <c r="D138" s="33" t="s">
        <v>317</v>
      </c>
      <c r="E138" s="34">
        <f>IF(_xlfn.IFNA(VLOOKUP(B138,Data!B:G,3,FALSE),"")=0, "", _xlfn.IFNA(VLOOKUP(B138,Data!B:G,3,FALSE),""))</f>
        <v>3</v>
      </c>
      <c r="F138" s="33" t="s">
        <v>1175</v>
      </c>
      <c r="G138" s="33"/>
      <c r="H138" s="33" t="str">
        <f>IF(_xlfn.IFNA(VLOOKUP(C138,Data!A:G,5,FALSE),"")=0, "Check course registration information", _xlfn.IFNA(VLOOKUP(C138,Data!A:G,5,FALSE),""))</f>
        <v/>
      </c>
      <c r="I138" s="33"/>
      <c r="J138" s="33" t="str">
        <f>IF(_xlfn.IFNA(VLOOKUP(C138,Data!A:G,6,FALSE),"")=0, "Check course registration information", _xlfn.IFNA(VLOOKUP(C138,Data!A:G,6,FALSE),""))</f>
        <v/>
      </c>
      <c r="K138" s="33" t="str">
        <f>IF(_xlfn.IFNA(VLOOKUP(C138,Data!A:H,7,FALSE),"")=0, "", _xlfn.IFNA(HYPERLINK(VLOOKUP(C138,Data!A:H,7,FALSE),"Catalog Link"),""))</f>
        <v/>
      </c>
      <c r="L138" s="33" t="str">
        <f>IF(_xlfn.IFNA(VLOOKUP(C138,Data!A:I,8,FALSE),"")=0, "", _xlfn.IFNA(HYPERLINK(VLOOKUP(C138,Data!A:I,8,FALSE),"Additional Information"),""))</f>
        <v/>
      </c>
      <c r="M138" s="34">
        <f t="shared" si="3"/>
        <v>1</v>
      </c>
      <c r="N138" s="42" t="s">
        <v>63</v>
      </c>
      <c r="O138" s="42" t="s">
        <v>63</v>
      </c>
      <c r="P138" s="42" t="s">
        <v>63</v>
      </c>
      <c r="Q138" s="42" t="s">
        <v>63</v>
      </c>
      <c r="R138" s="42" t="s">
        <v>63</v>
      </c>
      <c r="S138" s="42" t="s">
        <v>63</v>
      </c>
      <c r="T138" s="42" t="s">
        <v>63</v>
      </c>
      <c r="U138" s="42" t="s">
        <v>63</v>
      </c>
      <c r="V138" s="42" t="s">
        <v>63</v>
      </c>
      <c r="W138" s="42" t="s">
        <v>63</v>
      </c>
      <c r="X138" s="42" t="s">
        <v>63</v>
      </c>
      <c r="Y138" s="42" t="s">
        <v>63</v>
      </c>
      <c r="Z138" s="42" t="s">
        <v>64</v>
      </c>
      <c r="AA138" s="42" t="s">
        <v>63</v>
      </c>
      <c r="AB138" s="42" t="s">
        <v>63</v>
      </c>
      <c r="AC138" s="42"/>
      <c r="AD138" s="42" t="s">
        <v>63</v>
      </c>
      <c r="AE138" s="42" t="s">
        <v>63</v>
      </c>
      <c r="AF138" s="42" t="s">
        <v>63</v>
      </c>
      <c r="AG138" s="42" t="s">
        <v>63</v>
      </c>
      <c r="AH138" s="42" t="s">
        <v>63</v>
      </c>
      <c r="AI138" s="42"/>
      <c r="AJ138" s="42" t="s">
        <v>63</v>
      </c>
      <c r="AK138" s="42"/>
      <c r="AL138" s="42" t="s">
        <v>63</v>
      </c>
      <c r="AM138" s="42"/>
      <c r="AN138" s="42" t="s">
        <v>63</v>
      </c>
      <c r="AO138" s="42" t="s">
        <v>63</v>
      </c>
      <c r="AP138" s="42" t="s">
        <v>63</v>
      </c>
      <c r="AQ138" s="42" t="s">
        <v>63</v>
      </c>
      <c r="AR138" s="42"/>
      <c r="AS138" s="42" t="s">
        <v>63</v>
      </c>
      <c r="AT138" s="42" t="s">
        <v>63</v>
      </c>
      <c r="AU138" s="42"/>
      <c r="AV138" s="42"/>
      <c r="AW138" s="42" t="s">
        <v>63</v>
      </c>
      <c r="AX138" s="42" t="s">
        <v>63</v>
      </c>
      <c r="AY138" s="42" t="s">
        <v>63</v>
      </c>
      <c r="AZ138" s="42" t="s">
        <v>63</v>
      </c>
      <c r="BA138" s="42"/>
      <c r="BB138" s="42" t="s">
        <v>63</v>
      </c>
      <c r="BC138" s="42" t="s">
        <v>63</v>
      </c>
      <c r="BD138" s="42" t="s">
        <v>63</v>
      </c>
      <c r="BE138" s="42" t="s">
        <v>63</v>
      </c>
      <c r="BF138" s="42" t="s">
        <v>63</v>
      </c>
      <c r="BG138" s="42" t="s">
        <v>63</v>
      </c>
      <c r="BH138" s="42" t="s">
        <v>63</v>
      </c>
      <c r="BI138" s="42" t="s">
        <v>63</v>
      </c>
      <c r="BJ138" s="42" t="s">
        <v>63</v>
      </c>
      <c r="BK138" s="42" t="s">
        <v>63</v>
      </c>
      <c r="BL138" s="42" t="s">
        <v>63</v>
      </c>
    </row>
    <row r="139" spans="1:64" s="36" customFormat="1" ht="15.75">
      <c r="A139" s="33" t="s">
        <v>1177</v>
      </c>
      <c r="B139" s="34" t="s">
        <v>318</v>
      </c>
      <c r="C139" s="34" t="s">
        <v>318</v>
      </c>
      <c r="D139" s="33" t="s">
        <v>319</v>
      </c>
      <c r="E139" s="34">
        <f>IF(_xlfn.IFNA(VLOOKUP(B139,Data!B:G,3,FALSE),"")=0, "", _xlfn.IFNA(VLOOKUP(B139,Data!B:G,3,FALSE),""))</f>
        <v>3</v>
      </c>
      <c r="F139" s="33" t="s">
        <v>1175</v>
      </c>
      <c r="G139" s="33"/>
      <c r="H139" s="33" t="str">
        <f>IF(_xlfn.IFNA(VLOOKUP(C139,Data!A:G,5,FALSE),"")=0, "Check course registration information", _xlfn.IFNA(VLOOKUP(C139,Data!A:G,5,FALSE),""))</f>
        <v>ECET 27900</v>
      </c>
      <c r="I139" s="33"/>
      <c r="J139" s="33" t="str">
        <f>IF(_xlfn.IFNA(VLOOKUP(C139,Data!A:G,6,FALSE),"")=0, "Check course registration information", _xlfn.IFNA(VLOOKUP(C139,Data!A:G,6,FALSE),""))</f>
        <v>This course focuses on the study and application of real-time embedded systems. Real-time operating systems (RTOS) are introduced and applied. Students learn and use programming and scripting languages to discover the advantages and limitations of RTOS application in the lab</v>
      </c>
      <c r="K139" s="33" t="str">
        <f>IF(_xlfn.IFNA(VLOOKUP(C139,Data!A:H,7,FALSE),"")=0, "", _xlfn.IFNA(HYPERLINK(VLOOKUP(C139,Data!A:H,7,FALSE),"Catalog Link"),""))</f>
        <v>Catalog Link</v>
      </c>
      <c r="L139" s="33" t="str">
        <f>IF(_xlfn.IFNA(VLOOKUP(C139,Data!A:I,8,FALSE),"")=0, "", _xlfn.IFNA(HYPERLINK(VLOOKUP(C139,Data!A:I,8,FALSE),"Additional Information"),""))</f>
        <v/>
      </c>
      <c r="M139" s="34">
        <f t="shared" si="3"/>
        <v>2</v>
      </c>
      <c r="N139" s="42" t="s">
        <v>64</v>
      </c>
      <c r="O139" s="42" t="s">
        <v>63</v>
      </c>
      <c r="P139" s="42" t="s">
        <v>63</v>
      </c>
      <c r="Q139" s="42" t="s">
        <v>63</v>
      </c>
      <c r="R139" s="42" t="s">
        <v>63</v>
      </c>
      <c r="S139" s="42" t="s">
        <v>63</v>
      </c>
      <c r="T139" s="42" t="s">
        <v>63</v>
      </c>
      <c r="U139" s="42" t="s">
        <v>63</v>
      </c>
      <c r="V139" s="42" t="s">
        <v>63</v>
      </c>
      <c r="W139" s="42" t="s">
        <v>63</v>
      </c>
      <c r="X139" s="42" t="s">
        <v>63</v>
      </c>
      <c r="Y139" s="42" t="s">
        <v>63</v>
      </c>
      <c r="Z139" s="42" t="s">
        <v>63</v>
      </c>
      <c r="AA139" s="42" t="s">
        <v>64</v>
      </c>
      <c r="AB139" s="42" t="s">
        <v>63</v>
      </c>
      <c r="AC139" s="42"/>
      <c r="AD139" s="42" t="s">
        <v>63</v>
      </c>
      <c r="AE139" s="42" t="s">
        <v>63</v>
      </c>
      <c r="AF139" s="42" t="s">
        <v>63</v>
      </c>
      <c r="AG139" s="42" t="s">
        <v>63</v>
      </c>
      <c r="AH139" s="42" t="s">
        <v>63</v>
      </c>
      <c r="AI139" s="42"/>
      <c r="AJ139" s="42" t="s">
        <v>63</v>
      </c>
      <c r="AK139" s="42"/>
      <c r="AL139" s="42" t="s">
        <v>63</v>
      </c>
      <c r="AM139" s="42"/>
      <c r="AN139" s="42" t="s">
        <v>63</v>
      </c>
      <c r="AO139" s="42" t="s">
        <v>63</v>
      </c>
      <c r="AP139" s="42" t="s">
        <v>63</v>
      </c>
      <c r="AQ139" s="42" t="s">
        <v>63</v>
      </c>
      <c r="AR139" s="42"/>
      <c r="AS139" s="42" t="s">
        <v>63</v>
      </c>
      <c r="AT139" s="42" t="s">
        <v>63</v>
      </c>
      <c r="AU139" s="42"/>
      <c r="AV139" s="42"/>
      <c r="AW139" s="42" t="s">
        <v>63</v>
      </c>
      <c r="AX139" s="42" t="s">
        <v>63</v>
      </c>
      <c r="AY139" s="42" t="s">
        <v>63</v>
      </c>
      <c r="AZ139" s="42" t="s">
        <v>63</v>
      </c>
      <c r="BA139" s="42"/>
      <c r="BB139" s="42" t="s">
        <v>63</v>
      </c>
      <c r="BC139" s="42" t="s">
        <v>63</v>
      </c>
      <c r="BD139" s="42" t="s">
        <v>63</v>
      </c>
      <c r="BE139" s="42" t="s">
        <v>63</v>
      </c>
      <c r="BF139" s="42" t="s">
        <v>63</v>
      </c>
      <c r="BG139" s="42" t="s">
        <v>63</v>
      </c>
      <c r="BH139" s="42" t="s">
        <v>63</v>
      </c>
      <c r="BI139" s="42" t="s">
        <v>63</v>
      </c>
      <c r="BJ139" s="42" t="s">
        <v>63</v>
      </c>
      <c r="BK139" s="42" t="s">
        <v>63</v>
      </c>
      <c r="BL139" s="42" t="s">
        <v>63</v>
      </c>
    </row>
    <row r="140" spans="1:64" s="36" customFormat="1" ht="15.75">
      <c r="A140" s="33" t="s">
        <v>1177</v>
      </c>
      <c r="B140" s="34" t="s">
        <v>320</v>
      </c>
      <c r="C140" s="34" t="s">
        <v>320</v>
      </c>
      <c r="D140" s="33" t="s">
        <v>321</v>
      </c>
      <c r="E140" s="34">
        <f>IF(_xlfn.IFNA(VLOOKUP(B140,Data!B:G,3,FALSE),"")=0, "", _xlfn.IFNA(VLOOKUP(B140,Data!B:G,3,FALSE),""))</f>
        <v>3</v>
      </c>
      <c r="F140" s="33" t="s">
        <v>1175</v>
      </c>
      <c r="G140" s="33"/>
      <c r="H140" s="33" t="str">
        <f>IF(_xlfn.IFNA(VLOOKUP(C140,Data!A:G,5,FALSE),"")=0, "Check course registration information", _xlfn.IFNA(VLOOKUP(C140,Data!A:G,5,FALSE),""))</f>
        <v>ECET 22700 and ECET 37600</v>
      </c>
      <c r="I140" s="33"/>
      <c r="J140" s="33" t="str">
        <f>IF(_xlfn.IFNA(VLOOKUP(C140,Data!A:G,6,FALSE),"")=0, "Check course registration information", _xlfn.IFNA(VLOOKUP(C140,Data!A:G,6,FALSE),""))</f>
        <v>A study of the fundamentals and applications of switch-mode DC-DC and DC-AC power electronic converters, with emphasis on controller and power stage design tailored to specific applications such as grid-interactive inverter-based resources and electric vehicles</v>
      </c>
      <c r="K140" s="33" t="str">
        <f>IF(_xlfn.IFNA(VLOOKUP(C140,Data!A:H,7,FALSE),"")=0, "", _xlfn.IFNA(HYPERLINK(VLOOKUP(C140,Data!A:H,7,FALSE),"Catalog Link"),""))</f>
        <v>Catalog Link</v>
      </c>
      <c r="L140" s="33" t="str">
        <f>IF(_xlfn.IFNA(VLOOKUP(C140,Data!A:I,8,FALSE),"")=0, "", _xlfn.IFNA(HYPERLINK(VLOOKUP(C140,Data!A:I,8,FALSE),"Additional Information"),""))</f>
        <v/>
      </c>
      <c r="M140" s="34">
        <f t="shared" si="3"/>
        <v>1</v>
      </c>
      <c r="N140" s="42" t="s">
        <v>63</v>
      </c>
      <c r="O140" s="42" t="s">
        <v>63</v>
      </c>
      <c r="P140" s="42" t="s">
        <v>63</v>
      </c>
      <c r="Q140" s="42" t="s">
        <v>63</v>
      </c>
      <c r="R140" s="42" t="s">
        <v>63</v>
      </c>
      <c r="S140" s="42" t="s">
        <v>63</v>
      </c>
      <c r="T140" s="42" t="s">
        <v>63</v>
      </c>
      <c r="U140" s="42" t="s">
        <v>63</v>
      </c>
      <c r="V140" s="42" t="s">
        <v>63</v>
      </c>
      <c r="W140" s="42" t="s">
        <v>63</v>
      </c>
      <c r="X140" s="42" t="s">
        <v>63</v>
      </c>
      <c r="Y140" s="42" t="s">
        <v>63</v>
      </c>
      <c r="Z140" s="42" t="s">
        <v>63</v>
      </c>
      <c r="AA140" s="43" t="s">
        <v>63</v>
      </c>
      <c r="AB140" s="42" t="s">
        <v>63</v>
      </c>
      <c r="AC140" s="42"/>
      <c r="AD140" s="42" t="s">
        <v>63</v>
      </c>
      <c r="AE140" s="42" t="s">
        <v>63</v>
      </c>
      <c r="AF140" s="42" t="s">
        <v>63</v>
      </c>
      <c r="AG140" s="42" t="s">
        <v>63</v>
      </c>
      <c r="AH140" s="42" t="s">
        <v>63</v>
      </c>
      <c r="AI140" s="42"/>
      <c r="AJ140" s="42" t="s">
        <v>63</v>
      </c>
      <c r="AK140" s="42"/>
      <c r="AL140" s="42" t="s">
        <v>63</v>
      </c>
      <c r="AM140" s="42"/>
      <c r="AN140" s="42" t="s">
        <v>63</v>
      </c>
      <c r="AO140" s="42" t="s">
        <v>63</v>
      </c>
      <c r="AP140" s="42" t="s">
        <v>64</v>
      </c>
      <c r="AQ140" s="42" t="s">
        <v>63</v>
      </c>
      <c r="AR140" s="42"/>
      <c r="AS140" s="42" t="s">
        <v>63</v>
      </c>
      <c r="AT140" s="42" t="s">
        <v>63</v>
      </c>
      <c r="AU140" s="42"/>
      <c r="AV140" s="42"/>
      <c r="AW140" s="42" t="s">
        <v>63</v>
      </c>
      <c r="AX140" s="42" t="s">
        <v>63</v>
      </c>
      <c r="AY140" s="42" t="s">
        <v>63</v>
      </c>
      <c r="AZ140" s="42" t="s">
        <v>63</v>
      </c>
      <c r="BA140" s="42"/>
      <c r="BB140" s="42" t="s">
        <v>63</v>
      </c>
      <c r="BC140" s="42" t="s">
        <v>63</v>
      </c>
      <c r="BD140" s="42" t="s">
        <v>63</v>
      </c>
      <c r="BE140" s="42" t="s">
        <v>63</v>
      </c>
      <c r="BF140" s="42" t="s">
        <v>63</v>
      </c>
      <c r="BG140" s="42" t="s">
        <v>63</v>
      </c>
      <c r="BH140" s="42" t="s">
        <v>63</v>
      </c>
      <c r="BI140" s="42" t="s">
        <v>63</v>
      </c>
      <c r="BJ140" s="42" t="s">
        <v>63</v>
      </c>
      <c r="BK140" s="42" t="s">
        <v>63</v>
      </c>
      <c r="BL140" s="42" t="s">
        <v>63</v>
      </c>
    </row>
    <row r="141" spans="1:64" s="36" customFormat="1" ht="15.75">
      <c r="A141" s="33" t="s">
        <v>1177</v>
      </c>
      <c r="B141" s="34" t="s">
        <v>320</v>
      </c>
      <c r="C141" s="34" t="s">
        <v>1205</v>
      </c>
      <c r="D141" s="33" t="s">
        <v>322</v>
      </c>
      <c r="E141" s="34">
        <f>IF(_xlfn.IFNA(VLOOKUP(B141,Data!B:G,3,FALSE),"")=0, "", _xlfn.IFNA(VLOOKUP(B141,Data!B:G,3,FALSE),""))</f>
        <v>3</v>
      </c>
      <c r="F141" s="33" t="s">
        <v>1175</v>
      </c>
      <c r="G141" s="33"/>
      <c r="H141" s="33" t="str">
        <f>IF(_xlfn.IFNA(VLOOKUP(C141,Data!A:G,5,FALSE),"")=0, "Check course registration information", _xlfn.IFNA(VLOOKUP(C141,Data!A:G,5,FALSE),""))</f>
        <v>ECET 22700 and ECET 37600</v>
      </c>
      <c r="I141" s="33"/>
      <c r="J141" s="33" t="str">
        <f>IF(_xlfn.IFNA(VLOOKUP(C141,Data!A:G,6,FALSE),"")=0, "Check course registration information", _xlfn.IFNA(VLOOKUP(C141,Data!A:G,6,FALSE),""))</f>
        <v>A study of the fundamentals and applications of switch-mode DC-DC and DC-AC power electronic converters, with emphasis on controller and power stage design tailored to specific applications such as grid-interactive inverter-based resources and electric vehicles</v>
      </c>
      <c r="K141" s="33" t="str">
        <f>IF(_xlfn.IFNA(VLOOKUP(C141,Data!A:H,7,FALSE),"")=0, "", _xlfn.IFNA(HYPERLINK(VLOOKUP(C141,Data!A:H,7,FALSE),"Catalog Link"),""))</f>
        <v>Catalog Link</v>
      </c>
      <c r="L141" s="33" t="str">
        <f>IF(_xlfn.IFNA(VLOOKUP(C141,Data!A:I,8,FALSE),"")=0, "", _xlfn.IFNA(HYPERLINK(VLOOKUP(C141,Data!A:I,8,FALSE),"Additional Information"),""))</f>
        <v/>
      </c>
      <c r="M141" s="34">
        <f t="shared" si="3"/>
        <v>1</v>
      </c>
      <c r="N141" s="42" t="s">
        <v>63</v>
      </c>
      <c r="O141" s="42" t="s">
        <v>63</v>
      </c>
      <c r="P141" s="42" t="s">
        <v>63</v>
      </c>
      <c r="Q141" s="42" t="s">
        <v>63</v>
      </c>
      <c r="R141" s="42" t="s">
        <v>63</v>
      </c>
      <c r="S141" s="42" t="s">
        <v>63</v>
      </c>
      <c r="T141" s="42" t="s">
        <v>63</v>
      </c>
      <c r="U141" s="42" t="s">
        <v>63</v>
      </c>
      <c r="V141" s="42" t="s">
        <v>63</v>
      </c>
      <c r="W141" s="42" t="s">
        <v>63</v>
      </c>
      <c r="X141" s="42" t="s">
        <v>63</v>
      </c>
      <c r="Y141" s="42" t="s">
        <v>63</v>
      </c>
      <c r="Z141" s="42" t="s">
        <v>63</v>
      </c>
      <c r="AA141" s="42" t="s">
        <v>63</v>
      </c>
      <c r="AB141" s="42" t="s">
        <v>63</v>
      </c>
      <c r="AC141" s="42"/>
      <c r="AD141" s="42" t="s">
        <v>63</v>
      </c>
      <c r="AE141" s="42" t="s">
        <v>63</v>
      </c>
      <c r="AF141" s="42" t="s">
        <v>63</v>
      </c>
      <c r="AG141" s="42" t="s">
        <v>63</v>
      </c>
      <c r="AH141" s="42" t="s">
        <v>63</v>
      </c>
      <c r="AI141" s="42"/>
      <c r="AJ141" s="42" t="s">
        <v>63</v>
      </c>
      <c r="AK141" s="42"/>
      <c r="AL141" s="42" t="s">
        <v>63</v>
      </c>
      <c r="AM141" s="42"/>
      <c r="AN141" s="42" t="s">
        <v>63</v>
      </c>
      <c r="AO141" s="42" t="s">
        <v>63</v>
      </c>
      <c r="AP141" s="42" t="s">
        <v>63</v>
      </c>
      <c r="AQ141" s="42" t="s">
        <v>64</v>
      </c>
      <c r="AR141" s="42"/>
      <c r="AS141" s="42" t="s">
        <v>63</v>
      </c>
      <c r="AT141" s="42" t="s">
        <v>63</v>
      </c>
      <c r="AU141" s="42"/>
      <c r="AV141" s="42"/>
      <c r="AW141" s="42" t="s">
        <v>63</v>
      </c>
      <c r="AX141" s="42" t="s">
        <v>63</v>
      </c>
      <c r="AY141" s="42" t="s">
        <v>63</v>
      </c>
      <c r="AZ141" s="42" t="s">
        <v>63</v>
      </c>
      <c r="BA141" s="42"/>
      <c r="BB141" s="42" t="s">
        <v>63</v>
      </c>
      <c r="BC141" s="42" t="s">
        <v>63</v>
      </c>
      <c r="BD141" s="42" t="s">
        <v>63</v>
      </c>
      <c r="BE141" s="42" t="s">
        <v>63</v>
      </c>
      <c r="BF141" s="42" t="s">
        <v>63</v>
      </c>
      <c r="BG141" s="42" t="s">
        <v>63</v>
      </c>
      <c r="BH141" s="42" t="s">
        <v>63</v>
      </c>
      <c r="BI141" s="42" t="s">
        <v>63</v>
      </c>
      <c r="BJ141" s="42" t="s">
        <v>63</v>
      </c>
      <c r="BK141" s="42" t="s">
        <v>63</v>
      </c>
      <c r="BL141" s="42" t="s">
        <v>63</v>
      </c>
    </row>
    <row r="142" spans="1:64" s="36" customFormat="1" ht="15.75">
      <c r="A142" s="33" t="s">
        <v>1177</v>
      </c>
      <c r="B142" s="34" t="s">
        <v>323</v>
      </c>
      <c r="C142" s="34" t="s">
        <v>323</v>
      </c>
      <c r="D142" s="33" t="s">
        <v>324</v>
      </c>
      <c r="E142" s="34">
        <f>IF(_xlfn.IFNA(VLOOKUP(B142,Data!B:G,3,FALSE),"")=0, "", _xlfn.IFNA(VLOOKUP(B142,Data!B:G,3,FALSE),""))</f>
        <v>3</v>
      </c>
      <c r="F142" s="33" t="s">
        <v>1175</v>
      </c>
      <c r="G142" s="33"/>
      <c r="H142" s="33" t="str">
        <f>IF(_xlfn.IFNA(VLOOKUP(C142,Data!A:G,5,FALSE),"")=0, "Check course registration information", _xlfn.IFNA(VLOOKUP(C142,Data!A:G,5,FALSE),""))</f>
        <v>ECET 17900 and ECET 22900</v>
      </c>
      <c r="I142" s="33"/>
      <c r="J142" s="33" t="str">
        <f>IF(_xlfn.IFNA(VLOOKUP(C142,Data!A:G,6,FALSE),"")=0, "Check course registration information", _xlfn.IFNA(VLOOKUP(C142,Data!A:G,6,FALSE),""))</f>
        <v>This course investigates complex digital systems that are implemented with field programmable gate arrays (FPGAs) using concurrent and sequential digital design techniques. Applications will include serial communications, digital signal processing, memory systems and video generation</v>
      </c>
      <c r="K142" s="33" t="str">
        <f>IF(_xlfn.IFNA(VLOOKUP(C142,Data!A:H,7,FALSE),"")=0, "", _xlfn.IFNA(HYPERLINK(VLOOKUP(C142,Data!A:H,7,FALSE),"Catalog Link"),""))</f>
        <v>Catalog Link</v>
      </c>
      <c r="L142" s="33" t="str">
        <f>IF(_xlfn.IFNA(VLOOKUP(C142,Data!A:I,8,FALSE),"")=0, "", _xlfn.IFNA(HYPERLINK(VLOOKUP(C142,Data!A:I,8,FALSE),"Additional Information"),""))</f>
        <v/>
      </c>
      <c r="M142" s="34">
        <f t="shared" si="3"/>
        <v>2</v>
      </c>
      <c r="N142" s="42" t="s">
        <v>63</v>
      </c>
      <c r="O142" s="42" t="s">
        <v>63</v>
      </c>
      <c r="P142" s="42" t="s">
        <v>63</v>
      </c>
      <c r="Q142" s="42" t="s">
        <v>63</v>
      </c>
      <c r="R142" s="42" t="s">
        <v>63</v>
      </c>
      <c r="S142" s="42" t="s">
        <v>63</v>
      </c>
      <c r="T142" s="42" t="s">
        <v>63</v>
      </c>
      <c r="U142" s="42" t="s">
        <v>63</v>
      </c>
      <c r="V142" s="42" t="s">
        <v>63</v>
      </c>
      <c r="W142" s="42" t="s">
        <v>63</v>
      </c>
      <c r="X142" s="42" t="s">
        <v>63</v>
      </c>
      <c r="Y142" s="42" t="s">
        <v>63</v>
      </c>
      <c r="Z142" s="42" t="s">
        <v>63</v>
      </c>
      <c r="AA142" s="43" t="s">
        <v>63</v>
      </c>
      <c r="AB142" s="42" t="s">
        <v>63</v>
      </c>
      <c r="AC142" s="42"/>
      <c r="AD142" s="42" t="s">
        <v>64</v>
      </c>
      <c r="AE142" s="42" t="s">
        <v>63</v>
      </c>
      <c r="AF142" s="42" t="s">
        <v>63</v>
      </c>
      <c r="AG142" s="42" t="s">
        <v>63</v>
      </c>
      <c r="AH142" s="42" t="s">
        <v>63</v>
      </c>
      <c r="AI142" s="42"/>
      <c r="AJ142" s="42" t="s">
        <v>63</v>
      </c>
      <c r="AK142" s="42"/>
      <c r="AL142" s="42" t="s">
        <v>63</v>
      </c>
      <c r="AM142" s="42"/>
      <c r="AN142" s="42" t="s">
        <v>63</v>
      </c>
      <c r="AO142" s="42" t="s">
        <v>63</v>
      </c>
      <c r="AP142" s="42" t="s">
        <v>64</v>
      </c>
      <c r="AQ142" s="42" t="s">
        <v>63</v>
      </c>
      <c r="AR142" s="42"/>
      <c r="AS142" s="42" t="s">
        <v>63</v>
      </c>
      <c r="AT142" s="42" t="s">
        <v>63</v>
      </c>
      <c r="AU142" s="42"/>
      <c r="AV142" s="42"/>
      <c r="AW142" s="42" t="s">
        <v>63</v>
      </c>
      <c r="AX142" s="42" t="s">
        <v>63</v>
      </c>
      <c r="AY142" s="42" t="s">
        <v>63</v>
      </c>
      <c r="AZ142" s="42" t="s">
        <v>63</v>
      </c>
      <c r="BA142" s="42"/>
      <c r="BB142" s="42" t="s">
        <v>63</v>
      </c>
      <c r="BC142" s="42" t="s">
        <v>63</v>
      </c>
      <c r="BD142" s="42" t="s">
        <v>63</v>
      </c>
      <c r="BE142" s="42" t="s">
        <v>63</v>
      </c>
      <c r="BF142" s="42" t="s">
        <v>63</v>
      </c>
      <c r="BG142" s="42" t="s">
        <v>63</v>
      </c>
      <c r="BH142" s="42" t="s">
        <v>63</v>
      </c>
      <c r="BI142" s="42" t="s">
        <v>63</v>
      </c>
      <c r="BJ142" s="42" t="s">
        <v>63</v>
      </c>
      <c r="BK142" s="42" t="s">
        <v>63</v>
      </c>
      <c r="BL142" s="42" t="s">
        <v>63</v>
      </c>
    </row>
    <row r="143" spans="1:64" s="36" customFormat="1" ht="15.75">
      <c r="A143" s="33" t="s">
        <v>1177</v>
      </c>
      <c r="B143" s="34" t="s">
        <v>325</v>
      </c>
      <c r="C143" s="34" t="s">
        <v>325</v>
      </c>
      <c r="D143" s="33" t="s">
        <v>326</v>
      </c>
      <c r="E143" s="34">
        <f>IF(_xlfn.IFNA(VLOOKUP(B143,Data!B:G,3,FALSE),"")=0, "", _xlfn.IFNA(VLOOKUP(B143,Data!B:G,3,FALSE),""))</f>
        <v>3</v>
      </c>
      <c r="F143" s="33" t="s">
        <v>1175</v>
      </c>
      <c r="G143" s="33"/>
      <c r="H143" s="33" t="str">
        <f>IF(_xlfn.IFNA(VLOOKUP(C143,Data!A:G,5,FALSE),"")=0, "Check course registration information", _xlfn.IFNA(VLOOKUP(C143,Data!A:G,5,FALSE),""))</f>
        <v>CS 18000 or CS 17700 or CS 15900 or CNIT 10500 or CNIT 15501) and (ECET 22400 or ECET 17700 or (ECE 20001 and ECE 20007) or (ECE 20100 and ECE 20700</v>
      </c>
      <c r="I143" s="33"/>
      <c r="J143" s="33" t="str">
        <f>IF(_xlfn.IFNA(VLOOKUP(C143,Data!A:G,6,FALSE),"")=0, "Check course registration information", _xlfn.IFNA(VLOOKUP(C143,Data!A:G,6,FALSE),""))</f>
        <v>This course provides fundamental knowledge of integrated computer imaging or vision systems for sensing, quality control and automation applications. Fundamental basis of optics, illumination, camera types with associated technologies, and image acquisition to develop a customized computer imaging or vision systems will be covered. Algorithms for image processing, image analysis and pattern recognition will also be covered. Emerging technologies-based integrated computer vision or imaging system for sensor system, inspection, quality control and automation in different sectors (medical, manufacturing, security, construction etc.) will be examined. Parallel laboratory hands-on experience will allow the students to apply and validate the concepts learned in the lecture</v>
      </c>
      <c r="K143" s="33" t="str">
        <f>IF(_xlfn.IFNA(VLOOKUP(C143,Data!A:H,7,FALSE),"")=0, "", _xlfn.IFNA(HYPERLINK(VLOOKUP(C143,Data!A:H,7,FALSE),"Catalog Link"),""))</f>
        <v>Catalog Link</v>
      </c>
      <c r="L143" s="33" t="str">
        <f>IF(_xlfn.IFNA(VLOOKUP(C143,Data!A:I,8,FALSE),"")=0, "", _xlfn.IFNA(HYPERLINK(VLOOKUP(C143,Data!A:I,8,FALSE),"Additional Information"),""))</f>
        <v/>
      </c>
      <c r="M143" s="34">
        <f t="shared" si="3"/>
        <v>2</v>
      </c>
      <c r="N143" s="42" t="s">
        <v>64</v>
      </c>
      <c r="O143" s="42" t="s">
        <v>63</v>
      </c>
      <c r="P143" s="42" t="s">
        <v>63</v>
      </c>
      <c r="Q143" s="42" t="s">
        <v>63</v>
      </c>
      <c r="R143" s="42" t="s">
        <v>63</v>
      </c>
      <c r="S143" s="42" t="s">
        <v>63</v>
      </c>
      <c r="T143" s="42" t="s">
        <v>63</v>
      </c>
      <c r="U143" s="42" t="s">
        <v>63</v>
      </c>
      <c r="V143" s="42" t="s">
        <v>63</v>
      </c>
      <c r="W143" s="42" t="s">
        <v>63</v>
      </c>
      <c r="X143" s="42" t="s">
        <v>63</v>
      </c>
      <c r="Y143" s="42" t="s">
        <v>63</v>
      </c>
      <c r="Z143" s="42" t="s">
        <v>63</v>
      </c>
      <c r="AA143" s="42" t="s">
        <v>64</v>
      </c>
      <c r="AB143" s="42" t="s">
        <v>63</v>
      </c>
      <c r="AC143" s="42"/>
      <c r="AD143" s="42" t="s">
        <v>63</v>
      </c>
      <c r="AE143" s="42" t="s">
        <v>63</v>
      </c>
      <c r="AF143" s="42" t="s">
        <v>63</v>
      </c>
      <c r="AG143" s="42" t="s">
        <v>63</v>
      </c>
      <c r="AH143" s="42" t="s">
        <v>63</v>
      </c>
      <c r="AI143" s="42"/>
      <c r="AJ143" s="42" t="s">
        <v>63</v>
      </c>
      <c r="AK143" s="42"/>
      <c r="AL143" s="42" t="s">
        <v>63</v>
      </c>
      <c r="AM143" s="42"/>
      <c r="AN143" s="42" t="s">
        <v>63</v>
      </c>
      <c r="AO143" s="42" t="s">
        <v>63</v>
      </c>
      <c r="AP143" s="42" t="s">
        <v>63</v>
      </c>
      <c r="AQ143" s="42" t="s">
        <v>63</v>
      </c>
      <c r="AR143" s="42"/>
      <c r="AS143" s="42" t="s">
        <v>63</v>
      </c>
      <c r="AT143" s="42" t="s">
        <v>63</v>
      </c>
      <c r="AU143" s="42"/>
      <c r="AV143" s="42"/>
      <c r="AW143" s="42" t="s">
        <v>63</v>
      </c>
      <c r="AX143" s="42" t="s">
        <v>63</v>
      </c>
      <c r="AY143" s="42" t="s">
        <v>63</v>
      </c>
      <c r="AZ143" s="42" t="s">
        <v>63</v>
      </c>
      <c r="BA143" s="42"/>
      <c r="BB143" s="42" t="s">
        <v>63</v>
      </c>
      <c r="BC143" s="42" t="s">
        <v>63</v>
      </c>
      <c r="BD143" s="42" t="s">
        <v>63</v>
      </c>
      <c r="BE143" s="42" t="s">
        <v>63</v>
      </c>
      <c r="BF143" s="42" t="s">
        <v>63</v>
      </c>
      <c r="BG143" s="42" t="s">
        <v>63</v>
      </c>
      <c r="BH143" s="42" t="s">
        <v>63</v>
      </c>
      <c r="BI143" s="42" t="s">
        <v>63</v>
      </c>
      <c r="BJ143" s="42" t="s">
        <v>63</v>
      </c>
      <c r="BK143" s="42" t="s">
        <v>63</v>
      </c>
      <c r="BL143" s="42" t="s">
        <v>63</v>
      </c>
    </row>
    <row r="144" spans="1:64" s="36" customFormat="1" ht="15.75">
      <c r="A144" s="33" t="s">
        <v>1177</v>
      </c>
      <c r="B144" s="34" t="s">
        <v>327</v>
      </c>
      <c r="C144" s="34" t="s">
        <v>327</v>
      </c>
      <c r="D144" s="33" t="s">
        <v>328</v>
      </c>
      <c r="E144" s="34">
        <f>IF(_xlfn.IFNA(VLOOKUP(B144,Data!B:G,3,FALSE),"")=0, "", _xlfn.IFNA(VLOOKUP(B144,Data!B:G,3,FALSE),""))</f>
        <v>3</v>
      </c>
      <c r="F144" s="33" t="s">
        <v>1175</v>
      </c>
      <c r="G144" s="33"/>
      <c r="H144" s="33" t="str">
        <f>IF(_xlfn.IFNA(VLOOKUP(C144,Data!A:G,5,FALSE),"")=0, "Check course registration information", _xlfn.IFNA(VLOOKUP(C144,Data!A:G,5,FALSE),""))</f>
        <v>ECET 27900 [concurrent ok] and ECET 37600</v>
      </c>
      <c r="I144" s="33"/>
      <c r="J144" s="33" t="str">
        <f>IF(_xlfn.IFNA(VLOOKUP(C144,Data!A:G,6,FALSE),"")=0, "Check course registration information", _xlfn.IFNA(VLOOKUP(C144,Data!A:G,6,FALSE),""))</f>
        <v>This course covers operational principles and application development consideration of all subsystems that make up electric drives: electric machines, power-electric based converters, mechanical system requirements, feedback controller design, and the interaction of drives with the utility grid. State of the art motor drive design and testing tools are introduced through hands-on activities</v>
      </c>
      <c r="K144" s="33" t="str">
        <f>IF(_xlfn.IFNA(VLOOKUP(C144,Data!A:H,7,FALSE),"")=0, "", _xlfn.IFNA(HYPERLINK(VLOOKUP(C144,Data!A:H,7,FALSE),"Catalog Link"),""))</f>
        <v>Catalog Link</v>
      </c>
      <c r="L144" s="33" t="str">
        <f>IF(_xlfn.IFNA(VLOOKUP(C144,Data!A:I,8,FALSE),"")=0, "", _xlfn.IFNA(HYPERLINK(VLOOKUP(C144,Data!A:I,8,FALSE),"Additional Information"),""))</f>
        <v/>
      </c>
      <c r="M144" s="34">
        <f t="shared" si="3"/>
        <v>1</v>
      </c>
      <c r="N144" s="42" t="s">
        <v>63</v>
      </c>
      <c r="O144" s="42" t="s">
        <v>63</v>
      </c>
      <c r="P144" s="42" t="s">
        <v>63</v>
      </c>
      <c r="Q144" s="42" t="s">
        <v>64</v>
      </c>
      <c r="R144" s="42" t="s">
        <v>63</v>
      </c>
      <c r="S144" s="42" t="s">
        <v>63</v>
      </c>
      <c r="T144" s="42" t="s">
        <v>63</v>
      </c>
      <c r="U144" s="42" t="s">
        <v>63</v>
      </c>
      <c r="V144" s="42" t="s">
        <v>63</v>
      </c>
      <c r="W144" s="42" t="s">
        <v>63</v>
      </c>
      <c r="X144" s="42" t="s">
        <v>63</v>
      </c>
      <c r="Y144" s="42" t="s">
        <v>63</v>
      </c>
      <c r="Z144" s="42" t="s">
        <v>63</v>
      </c>
      <c r="AA144" s="43" t="s">
        <v>63</v>
      </c>
      <c r="AB144" s="42" t="s">
        <v>63</v>
      </c>
      <c r="AC144" s="42"/>
      <c r="AD144" s="42" t="s">
        <v>63</v>
      </c>
      <c r="AE144" s="42" t="s">
        <v>63</v>
      </c>
      <c r="AF144" s="42" t="s">
        <v>63</v>
      </c>
      <c r="AG144" s="42" t="s">
        <v>63</v>
      </c>
      <c r="AH144" s="42" t="s">
        <v>63</v>
      </c>
      <c r="AI144" s="42"/>
      <c r="AJ144" s="42" t="s">
        <v>63</v>
      </c>
      <c r="AK144" s="42"/>
      <c r="AL144" s="42" t="s">
        <v>63</v>
      </c>
      <c r="AM144" s="42"/>
      <c r="AN144" s="42" t="s">
        <v>63</v>
      </c>
      <c r="AO144" s="42" t="s">
        <v>63</v>
      </c>
      <c r="AP144" s="42" t="s">
        <v>63</v>
      </c>
      <c r="AQ144" s="42" t="s">
        <v>63</v>
      </c>
      <c r="AR144" s="42"/>
      <c r="AS144" s="42" t="s">
        <v>63</v>
      </c>
      <c r="AT144" s="42" t="s">
        <v>63</v>
      </c>
      <c r="AU144" s="42"/>
      <c r="AV144" s="42"/>
      <c r="AW144" s="42" t="s">
        <v>63</v>
      </c>
      <c r="AX144" s="42" t="s">
        <v>63</v>
      </c>
      <c r="AY144" s="42" t="s">
        <v>63</v>
      </c>
      <c r="AZ144" s="42" t="s">
        <v>63</v>
      </c>
      <c r="BA144" s="42"/>
      <c r="BB144" s="42" t="s">
        <v>63</v>
      </c>
      <c r="BC144" s="42" t="s">
        <v>63</v>
      </c>
      <c r="BD144" s="42" t="s">
        <v>63</v>
      </c>
      <c r="BE144" s="42" t="s">
        <v>63</v>
      </c>
      <c r="BF144" s="42" t="s">
        <v>63</v>
      </c>
      <c r="BG144" s="42" t="s">
        <v>63</v>
      </c>
      <c r="BH144" s="42" t="s">
        <v>63</v>
      </c>
      <c r="BI144" s="42" t="s">
        <v>63</v>
      </c>
      <c r="BJ144" s="42" t="s">
        <v>63</v>
      </c>
      <c r="BK144" s="42" t="s">
        <v>63</v>
      </c>
      <c r="BL144" s="42" t="s">
        <v>63</v>
      </c>
    </row>
    <row r="145" spans="1:64" s="36" customFormat="1" ht="15.75">
      <c r="A145" s="33" t="s">
        <v>1177</v>
      </c>
      <c r="B145" s="34" t="s">
        <v>329</v>
      </c>
      <c r="C145" s="34" t="s">
        <v>329</v>
      </c>
      <c r="D145" s="33" t="s">
        <v>330</v>
      </c>
      <c r="E145" s="34">
        <f>IF(_xlfn.IFNA(VLOOKUP(B145,Data!B:G,3,FALSE),"")=0, "", _xlfn.IFNA(VLOOKUP(B145,Data!B:G,3,FALSE),""))</f>
        <v>3</v>
      </c>
      <c r="F145" s="33" t="s">
        <v>1175</v>
      </c>
      <c r="G145" s="33"/>
      <c r="H145" s="33" t="str">
        <f>IF(_xlfn.IFNA(VLOOKUP(C145,Data!A:G,5,FALSE),"")=0, "Check course registration information", _xlfn.IFNA(VLOOKUP(C145,Data!A:G,5,FALSE),""))</f>
        <v>ECET 27700 [concurrent ok] or ECET 33700 [concurrent ok]</v>
      </c>
      <c r="I145" s="33"/>
      <c r="J145" s="33" t="str">
        <f>IF(_xlfn.IFNA(VLOOKUP(C145,Data!A:G,6,FALSE),"")=0, "Check course registration information", _xlfn.IFNA(VLOOKUP(C145,Data!A:G,6,FALSE),""))</f>
        <v>This course is a study of the applications of analog integrated circuits. Topics include linear amplifiers, IC specifications, linear regulators, linear and switched-capacitor active filters, and nonlinear circuit applications. Computer aided analysis of these circuits is also presented</v>
      </c>
      <c r="K145" s="33" t="str">
        <f>IF(_xlfn.IFNA(VLOOKUP(C145,Data!A:H,7,FALSE),"")=0, "", _xlfn.IFNA(HYPERLINK(VLOOKUP(C145,Data!A:H,7,FALSE),"Catalog Link"),""))</f>
        <v>Catalog Link</v>
      </c>
      <c r="L145" s="33" t="str">
        <f>IF(_xlfn.IFNA(VLOOKUP(C145,Data!A:I,8,FALSE),"")=0, "", _xlfn.IFNA(HYPERLINK(VLOOKUP(C145,Data!A:I,8,FALSE),"Additional Information"),""))</f>
        <v/>
      </c>
      <c r="M145" s="34">
        <f t="shared" si="3"/>
        <v>2</v>
      </c>
      <c r="N145" s="42" t="s">
        <v>63</v>
      </c>
      <c r="O145" s="42" t="s">
        <v>63</v>
      </c>
      <c r="P145" s="42" t="s">
        <v>63</v>
      </c>
      <c r="Q145" s="42" t="s">
        <v>63</v>
      </c>
      <c r="R145" s="42" t="s">
        <v>63</v>
      </c>
      <c r="S145" s="42" t="s">
        <v>63</v>
      </c>
      <c r="T145" s="42" t="s">
        <v>63</v>
      </c>
      <c r="U145" s="42" t="s">
        <v>63</v>
      </c>
      <c r="V145" s="42" t="s">
        <v>63</v>
      </c>
      <c r="W145" s="42" t="s">
        <v>63</v>
      </c>
      <c r="X145" s="42" t="s">
        <v>64</v>
      </c>
      <c r="Y145" s="42" t="s">
        <v>63</v>
      </c>
      <c r="Z145" s="42" t="s">
        <v>63</v>
      </c>
      <c r="AA145" s="43" t="s">
        <v>63</v>
      </c>
      <c r="AB145" s="42" t="s">
        <v>63</v>
      </c>
      <c r="AC145" s="42"/>
      <c r="AD145" s="42" t="s">
        <v>64</v>
      </c>
      <c r="AE145" s="42" t="s">
        <v>63</v>
      </c>
      <c r="AF145" s="42" t="s">
        <v>63</v>
      </c>
      <c r="AG145" s="42" t="s">
        <v>63</v>
      </c>
      <c r="AH145" s="42" t="s">
        <v>63</v>
      </c>
      <c r="AI145" s="42"/>
      <c r="AJ145" s="42" t="s">
        <v>63</v>
      </c>
      <c r="AK145" s="42"/>
      <c r="AL145" s="42" t="s">
        <v>63</v>
      </c>
      <c r="AM145" s="42"/>
      <c r="AN145" s="42" t="s">
        <v>63</v>
      </c>
      <c r="AO145" s="42" t="s">
        <v>63</v>
      </c>
      <c r="AP145" s="42" t="s">
        <v>63</v>
      </c>
      <c r="AQ145" s="42" t="s">
        <v>63</v>
      </c>
      <c r="AR145" s="42"/>
      <c r="AS145" s="42" t="s">
        <v>63</v>
      </c>
      <c r="AT145" s="42" t="s">
        <v>63</v>
      </c>
      <c r="AU145" s="42"/>
      <c r="AV145" s="42"/>
      <c r="AW145" s="42" t="s">
        <v>63</v>
      </c>
      <c r="AX145" s="42" t="s">
        <v>63</v>
      </c>
      <c r="AY145" s="42" t="s">
        <v>63</v>
      </c>
      <c r="AZ145" s="42" t="s">
        <v>63</v>
      </c>
      <c r="BA145" s="42"/>
      <c r="BB145" s="42" t="s">
        <v>63</v>
      </c>
      <c r="BC145" s="42" t="s">
        <v>63</v>
      </c>
      <c r="BD145" s="42" t="s">
        <v>63</v>
      </c>
      <c r="BE145" s="42" t="s">
        <v>63</v>
      </c>
      <c r="BF145" s="42" t="s">
        <v>63</v>
      </c>
      <c r="BG145" s="42" t="s">
        <v>63</v>
      </c>
      <c r="BH145" s="42" t="s">
        <v>63</v>
      </c>
      <c r="BI145" s="42" t="s">
        <v>63</v>
      </c>
      <c r="BJ145" s="42" t="s">
        <v>63</v>
      </c>
      <c r="BK145" s="42" t="s">
        <v>63</v>
      </c>
      <c r="BL145" s="42" t="s">
        <v>63</v>
      </c>
    </row>
    <row r="146" spans="1:64">
      <c r="A146" s="33" t="s">
        <v>1177</v>
      </c>
      <c r="B146" s="34" t="s">
        <v>331</v>
      </c>
      <c r="C146" s="34" t="s">
        <v>331</v>
      </c>
      <c r="D146" s="33" t="s">
        <v>332</v>
      </c>
      <c r="E146" s="34">
        <f>IF(_xlfn.IFNA(VLOOKUP(B146,Data!B:G,3,FALSE),"")=0, "", _xlfn.IFNA(VLOOKUP(B146,Data!B:G,3,FALSE),""))</f>
        <v>3</v>
      </c>
      <c r="F146" s="33" t="s">
        <v>1175</v>
      </c>
      <c r="G146" s="33"/>
      <c r="H146" s="33" t="str">
        <f>IF(_xlfn.IFNA(VLOOKUP(C146,Data!A:G,5,FALSE),"")=0, "Check course registration information", _xlfn.IFNA(VLOOKUP(C146,Data!A:G,5,FALSE),""))</f>
        <v>ECET 22900 and ECET 34900</v>
      </c>
      <c r="J146" s="33" t="str">
        <f>IF(_xlfn.IFNA(VLOOKUP(C146,Data!A:G,6,FALSE),"")=0, "Check course registration information", _xlfn.IFNA(VLOOKUP(C146,Data!A:G,6,FALSE),""))</f>
        <v>This course introduces students to various contemporary Hardware Description Languages (HDL) for modern digital logic systems. The course will emphasize on Verilog HDL. It covers logic-synthesis and high-level-synthesis in the context of HDL coding constructs for platform-independent and dependent technologies applicable to modern semiconductor industry testing. Students are also exposed to the subset of HDL that may be used for synthesis of custom logic for edge devices. HDL simulation and synthesis labs and projects are performed using commercial and/or academic VLSI CAD tools</v>
      </c>
      <c r="K146" s="33" t="str">
        <f>IF(_xlfn.IFNA(VLOOKUP(C146,Data!A:H,7,FALSE),"")=0, "", _xlfn.IFNA(HYPERLINK(VLOOKUP(C146,Data!A:H,7,FALSE),"Catalog Link"),""))</f>
        <v>Catalog Link</v>
      </c>
      <c r="L146" s="33" t="str">
        <f>IF(_xlfn.IFNA(VLOOKUP(C146,Data!A:I,8,FALSE),"")=0, "", _xlfn.IFNA(HYPERLINK(VLOOKUP(C146,Data!A:I,8,FALSE),"Additional Information"),""))</f>
        <v/>
      </c>
      <c r="M146" s="34">
        <f t="shared" si="3"/>
        <v>1</v>
      </c>
      <c r="N146" s="42" t="s">
        <v>63</v>
      </c>
      <c r="O146" s="42" t="s">
        <v>63</v>
      </c>
      <c r="P146" s="42" t="s">
        <v>63</v>
      </c>
      <c r="Q146" s="42" t="s">
        <v>63</v>
      </c>
      <c r="R146" s="42" t="s">
        <v>63</v>
      </c>
      <c r="S146" s="42" t="s">
        <v>63</v>
      </c>
      <c r="T146" s="42" t="s">
        <v>63</v>
      </c>
      <c r="U146" s="42" t="s">
        <v>63</v>
      </c>
      <c r="V146" s="42" t="s">
        <v>63</v>
      </c>
      <c r="W146" s="42" t="s">
        <v>63</v>
      </c>
      <c r="X146" s="42" t="s">
        <v>63</v>
      </c>
      <c r="Y146" s="42" t="s">
        <v>63</v>
      </c>
      <c r="Z146" s="42" t="s">
        <v>63</v>
      </c>
      <c r="AA146" s="43" t="s">
        <v>63</v>
      </c>
      <c r="AB146" s="42" t="s">
        <v>63</v>
      </c>
      <c r="AC146" s="42"/>
      <c r="AD146" s="42" t="s">
        <v>63</v>
      </c>
      <c r="AE146" s="42" t="s">
        <v>63</v>
      </c>
      <c r="AF146" s="42" t="s">
        <v>63</v>
      </c>
      <c r="AG146" s="42" t="s">
        <v>63</v>
      </c>
      <c r="AH146" s="42" t="s">
        <v>63</v>
      </c>
      <c r="AI146" s="42"/>
      <c r="AJ146" s="42" t="s">
        <v>63</v>
      </c>
      <c r="AK146" s="42"/>
      <c r="AL146" s="42" t="s">
        <v>63</v>
      </c>
      <c r="AM146" s="42"/>
      <c r="AN146" s="42" t="s">
        <v>63</v>
      </c>
      <c r="AO146" s="42" t="s">
        <v>63</v>
      </c>
      <c r="AP146" s="42" t="s">
        <v>64</v>
      </c>
      <c r="AQ146" s="42" t="s">
        <v>63</v>
      </c>
      <c r="AR146" s="42"/>
      <c r="AS146" s="42" t="s">
        <v>63</v>
      </c>
      <c r="AT146" s="42" t="s">
        <v>63</v>
      </c>
      <c r="AU146" s="42"/>
      <c r="AV146" s="42"/>
      <c r="AW146" s="42" t="s">
        <v>63</v>
      </c>
      <c r="AX146" s="42" t="s">
        <v>63</v>
      </c>
      <c r="AY146" s="42" t="s">
        <v>63</v>
      </c>
      <c r="AZ146" s="42" t="s">
        <v>63</v>
      </c>
      <c r="BA146" s="42"/>
      <c r="BB146" s="42" t="s">
        <v>63</v>
      </c>
      <c r="BC146" s="42" t="s">
        <v>63</v>
      </c>
      <c r="BD146" s="42" t="s">
        <v>63</v>
      </c>
      <c r="BE146" s="42" t="s">
        <v>63</v>
      </c>
      <c r="BF146" s="42" t="s">
        <v>63</v>
      </c>
      <c r="BG146" s="42" t="s">
        <v>63</v>
      </c>
      <c r="BH146" s="42" t="s">
        <v>63</v>
      </c>
      <c r="BI146" s="42" t="s">
        <v>63</v>
      </c>
      <c r="BJ146" s="42" t="s">
        <v>63</v>
      </c>
      <c r="BK146" s="42" t="s">
        <v>63</v>
      </c>
      <c r="BL146" s="42" t="s">
        <v>63</v>
      </c>
    </row>
    <row r="147" spans="1:64">
      <c r="A147" s="33" t="s">
        <v>1177</v>
      </c>
      <c r="B147" s="34" t="s">
        <v>331</v>
      </c>
      <c r="C147" s="34" t="s">
        <v>1206</v>
      </c>
      <c r="D147" s="33" t="s">
        <v>333</v>
      </c>
      <c r="E147" s="34">
        <f>IF(_xlfn.IFNA(VLOOKUP(B147,Data!B:G,3,FALSE),"")=0, "", _xlfn.IFNA(VLOOKUP(B147,Data!B:G,3,FALSE),""))</f>
        <v>3</v>
      </c>
      <c r="F147" s="33" t="s">
        <v>1175</v>
      </c>
      <c r="G147" s="33"/>
      <c r="H147" s="33" t="str">
        <f>IF(_xlfn.IFNA(VLOOKUP(C147,Data!A:G,5,FALSE),"")=0, "Check course registration information", _xlfn.IFNA(VLOOKUP(C147,Data!A:G,5,FALSE),""))</f>
        <v>ECET 22900 and ECET 34900</v>
      </c>
      <c r="J147" s="33" t="str">
        <f>IF(_xlfn.IFNA(VLOOKUP(C147,Data!A:G,6,FALSE),"")=0, "Check course registration information", _xlfn.IFNA(VLOOKUP(C147,Data!A:G,6,FALSE),""))</f>
        <v>This course introduces students to various contemporary Hardware Description Languages (HDL) for modern digital logic systems. The course will emphasize on Verilog HDL. It covers logic-synthesis and high-level-synthesis in the context of HDL coding constructs for platform-independent and dependent technologies applicable to modern semiconductor industry testing. Students are also exposed to the subset of HDL that may be used for synthesis of custom logic for edge devices. HDL simulation and synthesis labs and projects are performed using commercial and/or academic VLSI CAD tools</v>
      </c>
      <c r="K147" s="33" t="str">
        <f>IF(_xlfn.IFNA(VLOOKUP(C147,Data!A:H,7,FALSE),"")=0, "", _xlfn.IFNA(HYPERLINK(VLOOKUP(C147,Data!A:H,7,FALSE),"Catalog Link"),""))</f>
        <v>Catalog Link</v>
      </c>
      <c r="L147" s="33" t="str">
        <f>IF(_xlfn.IFNA(VLOOKUP(C147,Data!A:I,8,FALSE),"")=0, "", _xlfn.IFNA(HYPERLINK(VLOOKUP(C147,Data!A:I,8,FALSE),"Additional Information"),""))</f>
        <v/>
      </c>
      <c r="M147" s="34">
        <f t="shared" si="3"/>
        <v>2</v>
      </c>
      <c r="N147" s="42" t="s">
        <v>63</v>
      </c>
      <c r="O147" s="42" t="s">
        <v>63</v>
      </c>
      <c r="P147" s="42" t="s">
        <v>63</v>
      </c>
      <c r="Q147" s="42" t="s">
        <v>63</v>
      </c>
      <c r="R147" s="42" t="s">
        <v>63</v>
      </c>
      <c r="S147" s="42" t="s">
        <v>63</v>
      </c>
      <c r="T147" s="42" t="s">
        <v>63</v>
      </c>
      <c r="U147" s="42" t="s">
        <v>63</v>
      </c>
      <c r="V147" s="42" t="s">
        <v>63</v>
      </c>
      <c r="W147" s="42" t="s">
        <v>63</v>
      </c>
      <c r="X147" s="42" t="s">
        <v>63</v>
      </c>
      <c r="Y147" s="42" t="s">
        <v>63</v>
      </c>
      <c r="Z147" s="42" t="s">
        <v>64</v>
      </c>
      <c r="AA147" s="42" t="s">
        <v>63</v>
      </c>
      <c r="AB147" s="42" t="s">
        <v>63</v>
      </c>
      <c r="AC147" s="42"/>
      <c r="AD147" s="42" t="s">
        <v>64</v>
      </c>
      <c r="AE147" s="42" t="s">
        <v>63</v>
      </c>
      <c r="AF147" s="42" t="s">
        <v>63</v>
      </c>
      <c r="AG147" s="42" t="s">
        <v>63</v>
      </c>
      <c r="AH147" s="42" t="s">
        <v>63</v>
      </c>
      <c r="AI147" s="42"/>
      <c r="AJ147" s="42" t="s">
        <v>63</v>
      </c>
      <c r="AK147" s="42"/>
      <c r="AL147" s="42" t="s">
        <v>63</v>
      </c>
      <c r="AM147" s="42"/>
      <c r="AN147" s="42" t="s">
        <v>63</v>
      </c>
      <c r="AO147" s="42" t="s">
        <v>63</v>
      </c>
      <c r="AP147" s="42" t="s">
        <v>63</v>
      </c>
      <c r="AQ147" s="42" t="s">
        <v>63</v>
      </c>
      <c r="AR147" s="42"/>
      <c r="AS147" s="42" t="s">
        <v>63</v>
      </c>
      <c r="AT147" s="42" t="s">
        <v>63</v>
      </c>
      <c r="AU147" s="42"/>
      <c r="AV147" s="42"/>
      <c r="AW147" s="42" t="s">
        <v>63</v>
      </c>
      <c r="AX147" s="42" t="s">
        <v>63</v>
      </c>
      <c r="AY147" s="42" t="s">
        <v>63</v>
      </c>
      <c r="AZ147" s="42" t="s">
        <v>63</v>
      </c>
      <c r="BA147" s="42"/>
      <c r="BB147" s="42" t="s">
        <v>63</v>
      </c>
      <c r="BC147" s="42" t="s">
        <v>63</v>
      </c>
      <c r="BD147" s="42" t="s">
        <v>63</v>
      </c>
      <c r="BE147" s="42" t="s">
        <v>63</v>
      </c>
      <c r="BF147" s="42" t="s">
        <v>63</v>
      </c>
      <c r="BG147" s="42" t="s">
        <v>63</v>
      </c>
      <c r="BH147" s="42" t="s">
        <v>63</v>
      </c>
      <c r="BI147" s="42" t="s">
        <v>63</v>
      </c>
      <c r="BJ147" s="42" t="s">
        <v>63</v>
      </c>
      <c r="BK147" s="42" t="s">
        <v>63</v>
      </c>
      <c r="BL147" s="42" t="s">
        <v>63</v>
      </c>
    </row>
    <row r="148" spans="1:64">
      <c r="A148" s="33" t="s">
        <v>1177</v>
      </c>
      <c r="B148" s="34" t="s">
        <v>334</v>
      </c>
      <c r="C148" s="34" t="s">
        <v>334</v>
      </c>
      <c r="D148" s="33" t="s">
        <v>335</v>
      </c>
      <c r="E148" s="34">
        <f>IF(_xlfn.IFNA(VLOOKUP(B148,Data!B:G,3,FALSE),"")=0, "", _xlfn.IFNA(VLOOKUP(B148,Data!B:G,3,FALSE),""))</f>
        <v>3</v>
      </c>
      <c r="F148" s="33" t="s">
        <v>1175</v>
      </c>
      <c r="G148" s="33"/>
      <c r="H148" s="33" t="str">
        <f>IF(_xlfn.IFNA(VLOOKUP(C148,Data!A:G,5,FALSE),"")=0, "Check course registration information", _xlfn.IFNA(VLOOKUP(C148,Data!A:G,5,FALSE),""))</f>
        <v>ECET 32300 or ECET 37300</v>
      </c>
      <c r="J148" s="33" t="str">
        <f>IF(_xlfn.IFNA(VLOOKUP(C148,Data!A:G,6,FALSE),"")=0, "Check course registration information", _xlfn.IFNA(VLOOKUP(C148,Data!A:G,6,FALSE),""))</f>
        <v>This course requires students to develop a detailed design, develop a time/action plan, perform research on existing electronic vehicle systems, develop a procurement plan for electronic vehicle components, design and fabricate custom electric vehicle components, and construct an electric vehicle. The completed electric vehicle is extensively tested for safety, performance, and energy efficiency</v>
      </c>
      <c r="K148" s="33" t="str">
        <f>IF(_xlfn.IFNA(VLOOKUP(C148,Data!A:H,7,FALSE),"")=0, "", _xlfn.IFNA(HYPERLINK(VLOOKUP(C148,Data!A:H,7,FALSE),"Catalog Link"),""))</f>
        <v>Catalog Link</v>
      </c>
      <c r="L148" s="33" t="str">
        <f>IF(_xlfn.IFNA(VLOOKUP(C148,Data!A:I,8,FALSE),"")=0, "", _xlfn.IFNA(HYPERLINK(VLOOKUP(C148,Data!A:I,8,FALSE),"Additional Information"),""))</f>
        <v/>
      </c>
      <c r="M148" s="34">
        <f t="shared" si="3"/>
        <v>0</v>
      </c>
      <c r="N148" s="42" t="s">
        <v>63</v>
      </c>
      <c r="O148" s="42" t="s">
        <v>63</v>
      </c>
      <c r="P148" s="42" t="s">
        <v>63</v>
      </c>
      <c r="Q148" s="42" t="s">
        <v>63</v>
      </c>
      <c r="R148" s="42" t="s">
        <v>63</v>
      </c>
      <c r="S148" s="42" t="s">
        <v>63</v>
      </c>
      <c r="T148" s="42" t="s">
        <v>63</v>
      </c>
      <c r="U148" s="42" t="s">
        <v>63</v>
      </c>
      <c r="V148" s="42" t="s">
        <v>63</v>
      </c>
      <c r="W148" s="42" t="s">
        <v>63</v>
      </c>
      <c r="X148" s="42" t="s">
        <v>63</v>
      </c>
      <c r="Y148" s="42" t="s">
        <v>63</v>
      </c>
      <c r="Z148" s="42" t="s">
        <v>63</v>
      </c>
      <c r="AA148" s="43" t="s">
        <v>63</v>
      </c>
      <c r="AB148" s="42" t="s">
        <v>63</v>
      </c>
      <c r="AC148" s="42"/>
      <c r="AD148" s="42" t="s">
        <v>63</v>
      </c>
      <c r="AE148" s="42" t="s">
        <v>63</v>
      </c>
      <c r="AF148" s="42" t="s">
        <v>63</v>
      </c>
      <c r="AG148" s="42" t="s">
        <v>63</v>
      </c>
      <c r="AH148" s="42" t="s">
        <v>63</v>
      </c>
      <c r="AI148" s="42"/>
      <c r="AJ148" s="42" t="s">
        <v>63</v>
      </c>
      <c r="AK148" s="42"/>
      <c r="AL148" s="42" t="s">
        <v>63</v>
      </c>
      <c r="AM148" s="42"/>
      <c r="AN148" s="42" t="s">
        <v>63</v>
      </c>
      <c r="AO148" s="42" t="s">
        <v>63</v>
      </c>
      <c r="AP148" s="42" t="s">
        <v>63</v>
      </c>
      <c r="AQ148" s="42" t="s">
        <v>63</v>
      </c>
      <c r="AR148" s="42"/>
      <c r="AS148" s="42" t="s">
        <v>63</v>
      </c>
      <c r="AT148" s="42" t="s">
        <v>63</v>
      </c>
      <c r="AU148" s="42"/>
      <c r="AV148" s="42"/>
      <c r="AW148" s="42" t="s">
        <v>63</v>
      </c>
      <c r="AX148" s="42" t="s">
        <v>63</v>
      </c>
      <c r="AY148" s="42" t="s">
        <v>63</v>
      </c>
      <c r="AZ148" s="42" t="s">
        <v>63</v>
      </c>
      <c r="BA148" s="42"/>
      <c r="BB148" s="42" t="s">
        <v>63</v>
      </c>
      <c r="BC148" s="42" t="s">
        <v>63</v>
      </c>
      <c r="BD148" s="42" t="s">
        <v>63</v>
      </c>
      <c r="BE148" s="42" t="s">
        <v>63</v>
      </c>
      <c r="BF148" s="42" t="s">
        <v>63</v>
      </c>
      <c r="BG148" s="42" t="s">
        <v>63</v>
      </c>
      <c r="BH148" s="42" t="s">
        <v>63</v>
      </c>
      <c r="BI148" s="42" t="s">
        <v>63</v>
      </c>
      <c r="BJ148" s="42" t="s">
        <v>63</v>
      </c>
      <c r="BK148" s="42" t="s">
        <v>63</v>
      </c>
      <c r="BL148" s="42" t="s">
        <v>63</v>
      </c>
    </row>
    <row r="149" spans="1:64">
      <c r="A149" s="33" t="s">
        <v>1177</v>
      </c>
      <c r="B149" s="34" t="s">
        <v>336</v>
      </c>
      <c r="C149" s="34" t="s">
        <v>336</v>
      </c>
      <c r="D149" s="33" t="s">
        <v>337</v>
      </c>
      <c r="E149" s="34" t="str">
        <f>IF(_xlfn.IFNA(VLOOKUP(B149,Data!B:G,3,FALSE),"")=0, "", _xlfn.IFNA(VLOOKUP(B149,Data!B:G,3,FALSE),""))</f>
        <v/>
      </c>
      <c r="F149" s="33" t="s">
        <v>1175</v>
      </c>
      <c r="G149" s="33"/>
      <c r="H149" s="33" t="str">
        <f>IF(_xlfn.IFNA(VLOOKUP(C149,Data!A:G,5,FALSE),"")=0, "Check course registration information", _xlfn.IFNA(VLOOKUP(C149,Data!A:G,5,FALSE),""))</f>
        <v>Check course registration information</v>
      </c>
      <c r="J149" s="33" t="str">
        <f>IF(_xlfn.IFNA(VLOOKUP(C149,Data!A:G,6,FALSE),"")=0, "Check course registration information", _xlfn.IFNA(VLOOKUP(C149,Data!A:G,6,FALSE),""))</f>
        <v>Check course registration information</v>
      </c>
      <c r="K149" s="33" t="str">
        <f>IF(_xlfn.IFNA(VLOOKUP(C149,Data!A:H,7,FALSE),"")=0, "", _xlfn.IFNA(HYPERLINK(VLOOKUP(C149,Data!A:H,7,FALSE),"Catalog Link"),""))</f>
        <v>Catalog Link</v>
      </c>
      <c r="L149" s="33" t="str">
        <f>IF(_xlfn.IFNA(VLOOKUP(C149,Data!A:I,8,FALSE),"")=0, "", _xlfn.IFNA(HYPERLINK(VLOOKUP(C149,Data!A:I,8,FALSE),"Additional Information"),""))</f>
        <v/>
      </c>
      <c r="M149" s="34">
        <f t="shared" si="3"/>
        <v>3</v>
      </c>
      <c r="N149" s="42" t="s">
        <v>63</v>
      </c>
      <c r="O149" s="42" t="s">
        <v>63</v>
      </c>
      <c r="P149" s="42" t="s">
        <v>64</v>
      </c>
      <c r="Q149" s="42" t="s">
        <v>63</v>
      </c>
      <c r="R149" s="42" t="s">
        <v>63</v>
      </c>
      <c r="S149" s="42" t="s">
        <v>63</v>
      </c>
      <c r="T149" s="42" t="s">
        <v>63</v>
      </c>
      <c r="U149" s="42" t="s">
        <v>63</v>
      </c>
      <c r="V149" s="42" t="s">
        <v>63</v>
      </c>
      <c r="W149" s="42" t="s">
        <v>63</v>
      </c>
      <c r="X149" s="42" t="s">
        <v>63</v>
      </c>
      <c r="Y149" s="42" t="s">
        <v>63</v>
      </c>
      <c r="Z149" s="42" t="s">
        <v>63</v>
      </c>
      <c r="AA149" s="43" t="s">
        <v>63</v>
      </c>
      <c r="AB149" s="42" t="s">
        <v>63</v>
      </c>
      <c r="AC149" s="42"/>
      <c r="AD149" s="42" t="s">
        <v>64</v>
      </c>
      <c r="AE149" s="42" t="s">
        <v>63</v>
      </c>
      <c r="AF149" s="42" t="s">
        <v>63</v>
      </c>
      <c r="AG149" s="42" t="s">
        <v>63</v>
      </c>
      <c r="AH149" s="42" t="s">
        <v>63</v>
      </c>
      <c r="AI149" s="42"/>
      <c r="AJ149" s="42" t="s">
        <v>63</v>
      </c>
      <c r="AK149" s="42"/>
      <c r="AL149" s="42" t="s">
        <v>63</v>
      </c>
      <c r="AM149" s="42"/>
      <c r="AN149" s="42" t="s">
        <v>63</v>
      </c>
      <c r="AO149" s="42" t="s">
        <v>63</v>
      </c>
      <c r="AP149" s="42" t="s">
        <v>63</v>
      </c>
      <c r="AQ149" s="42" t="s">
        <v>63</v>
      </c>
      <c r="AR149" s="42"/>
      <c r="AS149" s="42" t="s">
        <v>63</v>
      </c>
      <c r="AT149" s="42" t="s">
        <v>63</v>
      </c>
      <c r="AU149" s="42"/>
      <c r="AV149" s="42"/>
      <c r="AW149" s="42" t="s">
        <v>63</v>
      </c>
      <c r="AX149" s="42" t="s">
        <v>63</v>
      </c>
      <c r="AY149" s="42" t="s">
        <v>63</v>
      </c>
      <c r="AZ149" s="42" t="s">
        <v>63</v>
      </c>
      <c r="BA149" s="42"/>
      <c r="BB149" s="42" t="s">
        <v>64</v>
      </c>
      <c r="BC149" s="42" t="s">
        <v>63</v>
      </c>
      <c r="BD149" s="42" t="s">
        <v>63</v>
      </c>
      <c r="BE149" s="42" t="s">
        <v>63</v>
      </c>
      <c r="BF149" s="42" t="s">
        <v>63</v>
      </c>
      <c r="BG149" s="42" t="s">
        <v>63</v>
      </c>
      <c r="BH149" s="42" t="s">
        <v>63</v>
      </c>
      <c r="BI149" s="42" t="s">
        <v>63</v>
      </c>
      <c r="BJ149" s="42" t="s">
        <v>63</v>
      </c>
      <c r="BK149" s="42" t="s">
        <v>63</v>
      </c>
      <c r="BL149" s="42" t="s">
        <v>63</v>
      </c>
    </row>
    <row r="150" spans="1:64">
      <c r="A150" s="33" t="s">
        <v>1176</v>
      </c>
      <c r="B150" s="34" t="s">
        <v>488</v>
      </c>
      <c r="C150" s="34" t="s">
        <v>488</v>
      </c>
      <c r="D150" s="33" t="s">
        <v>489</v>
      </c>
      <c r="E150" s="34">
        <f>IF(_xlfn.IFNA(VLOOKUP(B150,Data!B:G,3,FALSE),"")=0, "", _xlfn.IFNA(VLOOKUP(B150,Data!B:G,3,FALSE),""))</f>
        <v>3</v>
      </c>
      <c r="F150" s="66" t="s">
        <v>106</v>
      </c>
      <c r="H150" s="66" t="str">
        <f>IF(_xlfn.IFNA(VLOOKUP(C150,Data!A:G,5,FALSE),"")=0, "Check course registration information", _xlfn.IFNA(VLOOKUP(C150,Data!A:G,5,FALSE),""))</f>
        <v>ME 27000 or AAE 20300) and (NUCL 27300 [concurrent ok] or AAE 20400 [concurrent ok] or ME 32300 [concurrent ok]</v>
      </c>
      <c r="J150" s="33" t="str">
        <f>IF(_xlfn.IFNA(VLOOKUP(C150,Data!A:G,6,FALSE),"")=0, "Check course registration information", _xlfn.IFNA(VLOOKUP(C150,Data!A:G,6,FALSE),""))</f>
        <v>Principal manufacturing processes; metal cutting, grinding and metal forming operations, machine tools, and tools and tooling. Nontraditional machining and welding. Introduction to computer-aided manufacturing and computer-aided graphics and design, N/C programming, robots, and flexible manufacturing systems. Classroom and laboratory demonstrations included. Not open to students with credit in ME 36300</v>
      </c>
      <c r="K150" s="33" t="str">
        <f>IF(_xlfn.IFNA(VLOOKUP(C150,Data!A:H,7,FALSE),"")=0, "", _xlfn.IFNA(HYPERLINK(VLOOKUP(C150,Data!A:H,7,FALSE),"Catalog Link"),""))</f>
        <v>Catalog Link</v>
      </c>
      <c r="L150" s="33" t="str">
        <f>IF(_xlfn.IFNA(VLOOKUP(C150,Data!A:I,8,FALSE),"")=0, "", _xlfn.IFNA(HYPERLINK(VLOOKUP(C150,Data!A:I,8,FALSE),"Additional Information"),""))</f>
        <v/>
      </c>
      <c r="M150" s="34">
        <f t="shared" si="3"/>
        <v>4</v>
      </c>
      <c r="N150" s="42" t="s">
        <v>63</v>
      </c>
      <c r="O150" s="42" t="s">
        <v>63</v>
      </c>
      <c r="P150" s="42" t="s">
        <v>63</v>
      </c>
      <c r="Q150" s="42" t="s">
        <v>63</v>
      </c>
      <c r="R150" s="42" t="s">
        <v>63</v>
      </c>
      <c r="S150" s="42" t="s">
        <v>63</v>
      </c>
      <c r="T150" s="42" t="s">
        <v>63</v>
      </c>
      <c r="U150" s="42" t="s">
        <v>64</v>
      </c>
      <c r="V150" s="42" t="s">
        <v>63</v>
      </c>
      <c r="W150" s="42" t="s">
        <v>63</v>
      </c>
      <c r="X150" s="42" t="s">
        <v>63</v>
      </c>
      <c r="Y150" s="42" t="s">
        <v>63</v>
      </c>
      <c r="Z150" s="42" t="s">
        <v>64</v>
      </c>
      <c r="AA150" s="42" t="s">
        <v>63</v>
      </c>
      <c r="AB150" s="42" t="s">
        <v>63</v>
      </c>
      <c r="AC150" s="42"/>
      <c r="AD150" s="42" t="s">
        <v>63</v>
      </c>
      <c r="AE150" s="42" t="s">
        <v>63</v>
      </c>
      <c r="AF150" s="42" t="s">
        <v>63</v>
      </c>
      <c r="AG150" s="42" t="s">
        <v>64</v>
      </c>
      <c r="AH150" s="42" t="s">
        <v>63</v>
      </c>
      <c r="AI150" s="42"/>
      <c r="AJ150" s="42" t="s">
        <v>63</v>
      </c>
      <c r="AK150" s="42"/>
      <c r="AL150" s="42" t="s">
        <v>63</v>
      </c>
      <c r="AM150" s="42"/>
      <c r="AN150" s="42" t="s">
        <v>63</v>
      </c>
      <c r="AO150" s="42" t="s">
        <v>63</v>
      </c>
      <c r="AP150" s="42" t="s">
        <v>63</v>
      </c>
      <c r="AQ150" s="42" t="s">
        <v>63</v>
      </c>
      <c r="AR150" s="42"/>
      <c r="AS150" s="42" t="s">
        <v>63</v>
      </c>
      <c r="AT150" s="42" t="s">
        <v>63</v>
      </c>
      <c r="AU150" s="42"/>
      <c r="AV150" s="42"/>
      <c r="AW150" s="42" t="s">
        <v>63</v>
      </c>
      <c r="AX150" s="42" t="s">
        <v>63</v>
      </c>
      <c r="AY150" s="42" t="s">
        <v>63</v>
      </c>
      <c r="AZ150" s="42" t="s">
        <v>64</v>
      </c>
      <c r="BA150" s="42"/>
      <c r="BB150" s="42" t="s">
        <v>63</v>
      </c>
      <c r="BC150" s="42" t="s">
        <v>63</v>
      </c>
      <c r="BD150" s="42" t="s">
        <v>63</v>
      </c>
      <c r="BE150" s="42" t="s">
        <v>63</v>
      </c>
      <c r="BF150" s="42"/>
      <c r="BG150" s="42" t="s">
        <v>63</v>
      </c>
      <c r="BH150" s="42" t="s">
        <v>63</v>
      </c>
      <c r="BI150" s="42" t="s">
        <v>63</v>
      </c>
      <c r="BJ150" s="42" t="s">
        <v>63</v>
      </c>
      <c r="BK150" s="42" t="s">
        <v>63</v>
      </c>
      <c r="BL150" s="42" t="s">
        <v>63</v>
      </c>
    </row>
    <row r="151" spans="1:64">
      <c r="A151" s="33" t="s">
        <v>1176</v>
      </c>
      <c r="B151" s="34" t="s">
        <v>490</v>
      </c>
      <c r="C151" s="34" t="s">
        <v>490</v>
      </c>
      <c r="D151" s="33" t="s">
        <v>491</v>
      </c>
      <c r="E151" s="34">
        <f>IF(_xlfn.IFNA(VLOOKUP(B151,Data!B:G,3,FALSE),"")=0, "", _xlfn.IFNA(VLOOKUP(B151,Data!B:G,3,FALSE),""))</f>
        <v>3</v>
      </c>
      <c r="F151" s="66" t="s">
        <v>106</v>
      </c>
      <c r="H151" s="66" t="str">
        <f>IF(_xlfn.IFNA(VLOOKUP(C151,Data!A:G,5,FALSE),"")=0, "Check course registration information", _xlfn.IFNA(VLOOKUP(C151,Data!A:G,5,FALSE),""))</f>
        <v>IE 33500</v>
      </c>
      <c r="J151" s="33" t="str">
        <f>IF(_xlfn.IFNA(VLOOKUP(C151,Data!A:G,6,FALSE),"")=0, "Check course registration information", _xlfn.IFNA(VLOOKUP(C151,Data!A:G,6,FALSE),""))</f>
        <v>Basic concepts in the design and operational control of integrated production systems. Includes topics on facility layout and material handling, material flow and information flow, resource and capacity planning, and shop floor control and scheduling</v>
      </c>
      <c r="K151" s="33" t="str">
        <f>IF(_xlfn.IFNA(VLOOKUP(C151,Data!A:H,7,FALSE),"")=0, "", _xlfn.IFNA(HYPERLINK(VLOOKUP(C151,Data!A:H,7,FALSE),"Catalog Link"),""))</f>
        <v>Catalog Link</v>
      </c>
      <c r="L151" s="33" t="str">
        <f>IF(_xlfn.IFNA(VLOOKUP(C151,Data!A:I,8,FALSE),"")=0, "", _xlfn.IFNA(HYPERLINK(VLOOKUP(C151,Data!A:I,8,FALSE),"Additional Information"),""))</f>
        <v/>
      </c>
      <c r="M151" s="34">
        <f t="shared" si="3"/>
        <v>4</v>
      </c>
      <c r="N151" s="42" t="s">
        <v>63</v>
      </c>
      <c r="O151" s="42" t="s">
        <v>63</v>
      </c>
      <c r="P151" s="42" t="s">
        <v>63</v>
      </c>
      <c r="Q151" s="42" t="s">
        <v>63</v>
      </c>
      <c r="R151" s="42" t="s">
        <v>63</v>
      </c>
      <c r="S151" s="42" t="s">
        <v>63</v>
      </c>
      <c r="T151" s="42" t="s">
        <v>63</v>
      </c>
      <c r="U151" s="42" t="s">
        <v>63</v>
      </c>
      <c r="V151" s="42" t="s">
        <v>63</v>
      </c>
      <c r="W151" s="42" t="s">
        <v>63</v>
      </c>
      <c r="X151" s="42" t="s">
        <v>63</v>
      </c>
      <c r="Y151" s="42" t="s">
        <v>63</v>
      </c>
      <c r="Z151" s="42" t="s">
        <v>64</v>
      </c>
      <c r="AA151" s="42" t="s">
        <v>63</v>
      </c>
      <c r="AB151" s="42" t="s">
        <v>63</v>
      </c>
      <c r="AC151" s="42"/>
      <c r="AD151" s="42" t="s">
        <v>63</v>
      </c>
      <c r="AE151" s="42" t="s">
        <v>63</v>
      </c>
      <c r="AF151" s="42" t="s">
        <v>63</v>
      </c>
      <c r="AG151" s="42" t="s">
        <v>64</v>
      </c>
      <c r="AH151" s="42" t="s">
        <v>63</v>
      </c>
      <c r="AI151" s="42"/>
      <c r="AJ151" s="42" t="s">
        <v>63</v>
      </c>
      <c r="AK151" s="42"/>
      <c r="AL151" s="42" t="s">
        <v>63</v>
      </c>
      <c r="AM151" s="42"/>
      <c r="AN151" s="42" t="s">
        <v>63</v>
      </c>
      <c r="AO151" s="42" t="s">
        <v>63</v>
      </c>
      <c r="AP151" s="42" t="s">
        <v>63</v>
      </c>
      <c r="AQ151" s="42" t="s">
        <v>63</v>
      </c>
      <c r="AR151" s="42"/>
      <c r="AS151" s="42" t="s">
        <v>64</v>
      </c>
      <c r="AT151" s="42" t="s">
        <v>63</v>
      </c>
      <c r="AU151" s="42"/>
      <c r="AV151" s="42"/>
      <c r="AW151" s="42" t="s">
        <v>63</v>
      </c>
      <c r="AX151" s="42" t="s">
        <v>63</v>
      </c>
      <c r="AY151" s="42" t="s">
        <v>63</v>
      </c>
      <c r="AZ151" s="42" t="s">
        <v>64</v>
      </c>
      <c r="BA151" s="42"/>
      <c r="BB151" s="42" t="s">
        <v>63</v>
      </c>
      <c r="BC151" s="42" t="s">
        <v>63</v>
      </c>
      <c r="BD151" s="42" t="s">
        <v>63</v>
      </c>
      <c r="BE151" s="42" t="s">
        <v>63</v>
      </c>
      <c r="BF151" s="42" t="s">
        <v>63</v>
      </c>
      <c r="BG151" s="42" t="s">
        <v>63</v>
      </c>
      <c r="BH151" s="42" t="s">
        <v>63</v>
      </c>
      <c r="BI151" s="42" t="s">
        <v>63</v>
      </c>
      <c r="BJ151" s="42" t="s">
        <v>63</v>
      </c>
      <c r="BK151" s="42" t="s">
        <v>63</v>
      </c>
      <c r="BL151" s="42" t="s">
        <v>63</v>
      </c>
    </row>
    <row r="152" spans="1:64">
      <c r="A152" s="33" t="s">
        <v>1176</v>
      </c>
      <c r="B152" s="34" t="s">
        <v>352</v>
      </c>
      <c r="C152" s="34" t="s">
        <v>352</v>
      </c>
      <c r="D152" s="33" t="s">
        <v>354</v>
      </c>
      <c r="E152" s="34">
        <f>IF(_xlfn.IFNA(VLOOKUP(B152,Data!B:G,3,FALSE),"")=0, "", _xlfn.IFNA(VLOOKUP(B152,Data!B:G,3,FALSE),""))</f>
        <v>3</v>
      </c>
      <c r="F152" s="66" t="s">
        <v>348</v>
      </c>
      <c r="H152" s="66" t="str">
        <f>IF(_xlfn.IFNA(VLOOKUP(C152,Data!A:G,5,FALSE),"")=0, "Check course registration information", _xlfn.IFNA(VLOOKUP(C152,Data!A:G,5,FALSE),""))</f>
        <v>IE 33000 or STAT 51100</v>
      </c>
      <c r="J152" s="33" t="str">
        <f>IF(_xlfn.IFNA(VLOOKUP(C152,Data!A:G,6,FALSE),"")=0, "Check course registration information", _xlfn.IFNA(VLOOKUP(C152,Data!A:G,6,FALSE),""))</f>
        <v>Fundamentals of work methods and measurement. Applications of engineering, psychological, and physiological principles to the analysis and design of human work systems</v>
      </c>
      <c r="K152" s="33" t="str">
        <f>IF(_xlfn.IFNA(VLOOKUP(C152,Data!A:H,7,FALSE),"")=0, "", _xlfn.IFNA(HYPERLINK(VLOOKUP(C152,Data!A:H,7,FALSE),"Catalog Link"),""))</f>
        <v>Catalog Link</v>
      </c>
      <c r="L152" s="33" t="str">
        <f>IF(_xlfn.IFNA(VLOOKUP(C152,Data!A:I,8,FALSE),"")=0, "", _xlfn.IFNA(HYPERLINK(VLOOKUP(C152,Data!A:I,8,FALSE),"Additional Information"),""))</f>
        <v/>
      </c>
      <c r="M152" s="34">
        <f t="shared" si="3"/>
        <v>2</v>
      </c>
      <c r="N152" s="42" t="s">
        <v>63</v>
      </c>
      <c r="O152" s="42" t="s">
        <v>63</v>
      </c>
      <c r="P152" s="42" t="s">
        <v>63</v>
      </c>
      <c r="Q152" s="42" t="s">
        <v>63</v>
      </c>
      <c r="R152" s="42" t="s">
        <v>63</v>
      </c>
      <c r="S152" s="42" t="s">
        <v>63</v>
      </c>
      <c r="T152" s="42" t="s">
        <v>63</v>
      </c>
      <c r="U152" s="42" t="s">
        <v>64</v>
      </c>
      <c r="V152" s="42"/>
      <c r="W152" s="42" t="s">
        <v>63</v>
      </c>
      <c r="X152" s="42" t="s">
        <v>63</v>
      </c>
      <c r="Y152" s="42" t="s">
        <v>63</v>
      </c>
      <c r="Z152" s="42" t="s">
        <v>64</v>
      </c>
      <c r="AA152" s="42" t="s">
        <v>63</v>
      </c>
      <c r="AB152" s="42" t="s">
        <v>63</v>
      </c>
      <c r="AC152" s="42"/>
      <c r="AD152" s="42" t="s">
        <v>63</v>
      </c>
      <c r="AE152" s="42" t="s">
        <v>63</v>
      </c>
      <c r="AF152" s="42" t="s">
        <v>63</v>
      </c>
      <c r="AG152" s="42" t="s">
        <v>63</v>
      </c>
      <c r="AH152" s="42" t="s">
        <v>63</v>
      </c>
      <c r="AI152" s="42"/>
      <c r="AJ152" s="42" t="s">
        <v>63</v>
      </c>
      <c r="AK152" s="42"/>
      <c r="AL152" s="42" t="s">
        <v>63</v>
      </c>
      <c r="AM152" s="42"/>
      <c r="AN152" s="42" t="s">
        <v>63</v>
      </c>
      <c r="AO152" s="42" t="s">
        <v>63</v>
      </c>
      <c r="AP152" s="42" t="s">
        <v>63</v>
      </c>
      <c r="AQ152" s="42" t="s">
        <v>63</v>
      </c>
      <c r="AR152" s="42"/>
      <c r="AS152" s="42" t="s">
        <v>63</v>
      </c>
      <c r="AT152" s="42" t="s">
        <v>63</v>
      </c>
      <c r="AU152" s="42"/>
      <c r="AV152" s="42"/>
      <c r="AW152" s="42" t="s">
        <v>63</v>
      </c>
      <c r="AX152" s="42" t="s">
        <v>63</v>
      </c>
      <c r="AY152" s="42" t="s">
        <v>63</v>
      </c>
      <c r="AZ152" s="42" t="s">
        <v>63</v>
      </c>
      <c r="BA152" s="42"/>
      <c r="BB152" s="42" t="s">
        <v>63</v>
      </c>
      <c r="BC152" s="42" t="s">
        <v>63</v>
      </c>
      <c r="BD152" s="42" t="s">
        <v>63</v>
      </c>
      <c r="BE152" s="42" t="s">
        <v>63</v>
      </c>
      <c r="BF152" s="42" t="s">
        <v>63</v>
      </c>
      <c r="BG152" s="42" t="s">
        <v>63</v>
      </c>
      <c r="BH152" s="42" t="s">
        <v>63</v>
      </c>
      <c r="BI152" s="42" t="s">
        <v>63</v>
      </c>
      <c r="BJ152" s="42" t="s">
        <v>63</v>
      </c>
      <c r="BK152" s="42" t="s">
        <v>63</v>
      </c>
      <c r="BL152" s="42" t="s">
        <v>63</v>
      </c>
    </row>
    <row r="153" spans="1:64">
      <c r="A153" s="33" t="s">
        <v>1176</v>
      </c>
      <c r="B153" s="34" t="s">
        <v>492</v>
      </c>
      <c r="C153" s="34" t="s">
        <v>492</v>
      </c>
      <c r="D153" s="33" t="s">
        <v>493</v>
      </c>
      <c r="E153" s="34">
        <f>IF(_xlfn.IFNA(VLOOKUP(B153,Data!B:G,3,FALSE),"")=0, "", _xlfn.IFNA(VLOOKUP(B153,Data!B:G,3,FALSE),""))</f>
        <v>3</v>
      </c>
      <c r="F153" s="66" t="s">
        <v>106</v>
      </c>
      <c r="H153" s="66" t="str">
        <f>IF(_xlfn.IFNA(VLOOKUP(C153,Data!A:G,5,FALSE),"")=0, "Check course registration information", _xlfn.IFNA(VLOOKUP(C153,Data!A:G,5,FALSE),""))</f>
        <v>IE 37000</v>
      </c>
      <c r="J153" s="33" t="str">
        <f>IF(_xlfn.IFNA(VLOOKUP(C153,Data!A:G,6,FALSE),"")=0, "Check course registration information", _xlfn.IFNA(VLOOKUP(C153,Data!A:G,6,FALSE),""))</f>
        <v>The interrelations of materials, processes, and design with various aspects of manufacturing</v>
      </c>
      <c r="K153" s="33" t="str">
        <f>IF(_xlfn.IFNA(VLOOKUP(C153,Data!A:H,7,FALSE),"")=0, "", _xlfn.IFNA(HYPERLINK(VLOOKUP(C153,Data!A:H,7,FALSE),"Catalog Link"),""))</f>
        <v>Catalog Link</v>
      </c>
      <c r="L153" s="33" t="str">
        <f>IF(_xlfn.IFNA(VLOOKUP(C153,Data!A:I,8,FALSE),"")=0, "", _xlfn.IFNA(HYPERLINK(VLOOKUP(C153,Data!A:I,8,FALSE),"Additional Information"),""))</f>
        <v/>
      </c>
      <c r="M153" s="34">
        <f t="shared" si="3"/>
        <v>4</v>
      </c>
      <c r="N153" s="42" t="s">
        <v>63</v>
      </c>
      <c r="O153" s="42" t="s">
        <v>63</v>
      </c>
      <c r="P153" s="42" t="s">
        <v>63</v>
      </c>
      <c r="Q153" s="42" t="s">
        <v>63</v>
      </c>
      <c r="R153" s="42" t="s">
        <v>63</v>
      </c>
      <c r="S153" s="42" t="s">
        <v>63</v>
      </c>
      <c r="T153" s="42" t="s">
        <v>63</v>
      </c>
      <c r="U153" s="42" t="s">
        <v>64</v>
      </c>
      <c r="V153" s="42" t="s">
        <v>63</v>
      </c>
      <c r="W153" s="42" t="s">
        <v>63</v>
      </c>
      <c r="X153" s="42" t="s">
        <v>63</v>
      </c>
      <c r="Y153" s="42" t="s">
        <v>63</v>
      </c>
      <c r="Z153" s="42" t="s">
        <v>64</v>
      </c>
      <c r="AA153" s="42" t="s">
        <v>63</v>
      </c>
      <c r="AB153" s="42" t="s">
        <v>63</v>
      </c>
      <c r="AC153" s="42"/>
      <c r="AD153" s="42" t="s">
        <v>63</v>
      </c>
      <c r="AE153" s="42" t="s">
        <v>63</v>
      </c>
      <c r="AF153" s="42" t="s">
        <v>63</v>
      </c>
      <c r="AG153" s="42" t="s">
        <v>64</v>
      </c>
      <c r="AH153" s="42" t="s">
        <v>63</v>
      </c>
      <c r="AI153" s="42"/>
      <c r="AJ153" s="42" t="s">
        <v>63</v>
      </c>
      <c r="AK153" s="42"/>
      <c r="AL153" s="42" t="s">
        <v>63</v>
      </c>
      <c r="AM153" s="42"/>
      <c r="AN153" s="42" t="s">
        <v>63</v>
      </c>
      <c r="AO153" s="42" t="s">
        <v>63</v>
      </c>
      <c r="AP153" s="42" t="s">
        <v>63</v>
      </c>
      <c r="AQ153" s="42" t="s">
        <v>63</v>
      </c>
      <c r="AR153" s="42"/>
      <c r="AS153" s="42" t="s">
        <v>63</v>
      </c>
      <c r="AT153" s="42" t="s">
        <v>63</v>
      </c>
      <c r="AU153" s="42"/>
      <c r="AV153" s="42"/>
      <c r="AW153" s="42" t="s">
        <v>63</v>
      </c>
      <c r="AX153" s="42" t="s">
        <v>63</v>
      </c>
      <c r="AY153" s="42" t="s">
        <v>63</v>
      </c>
      <c r="AZ153" s="42" t="s">
        <v>64</v>
      </c>
      <c r="BA153" s="42"/>
      <c r="BB153" s="42" t="s">
        <v>63</v>
      </c>
      <c r="BC153" s="42" t="s">
        <v>63</v>
      </c>
      <c r="BD153" s="42" t="s">
        <v>63</v>
      </c>
      <c r="BE153" s="42" t="s">
        <v>63</v>
      </c>
      <c r="BF153" s="42"/>
      <c r="BG153" s="42" t="s">
        <v>63</v>
      </c>
      <c r="BH153" s="42" t="s">
        <v>63</v>
      </c>
      <c r="BI153" s="42" t="s">
        <v>63</v>
      </c>
      <c r="BJ153" s="42" t="s">
        <v>63</v>
      </c>
      <c r="BK153" s="42" t="s">
        <v>63</v>
      </c>
      <c r="BL153" s="42" t="s">
        <v>63</v>
      </c>
    </row>
    <row r="154" spans="1:64">
      <c r="A154" s="33" t="s">
        <v>1176</v>
      </c>
      <c r="B154" s="34" t="s">
        <v>345</v>
      </c>
      <c r="C154" s="34" t="s">
        <v>345</v>
      </c>
      <c r="D154" s="33" t="s">
        <v>347</v>
      </c>
      <c r="E154" s="34">
        <f>IF(_xlfn.IFNA(VLOOKUP(B154,Data!B:G,3,FALSE),"")=0, "", _xlfn.IFNA(VLOOKUP(B154,Data!B:G,3,FALSE),""))</f>
        <v>3</v>
      </c>
      <c r="F154" s="66" t="s">
        <v>348</v>
      </c>
      <c r="G154" s="33"/>
      <c r="H154" s="66" t="str">
        <f>IF(_xlfn.IFNA(VLOOKUP(C154,Data!A:G,5,FALSE),"")=0, "Check course registration information", _xlfn.IFNA(VLOOKUP(C154,Data!A:G,5,FALSE),""))</f>
        <v>IE 38300</v>
      </c>
      <c r="J154" s="33" t="str">
        <f>IF(_xlfn.IFNA(VLOOKUP(C154,Data!A:G,6,FALSE),"")=0, "Check course registration information", _xlfn.IFNA(VLOOKUP(C154,Data!A:G,6,FALSE),""))</f>
        <v>Extensions of topics on the design and operational control of integrated production systems. Includes production databases, facility layout, material handling, advanced control and scheduling, and physical distribution. Case studies, lab assignments, and projects</v>
      </c>
      <c r="K154" s="33" t="str">
        <f>IF(_xlfn.IFNA(VLOOKUP(C154,Data!A:H,7,FALSE),"")=0, "", _xlfn.IFNA(HYPERLINK(VLOOKUP(C154,Data!A:H,7,FALSE),"Catalog Link"),""))</f>
        <v>Catalog Link</v>
      </c>
      <c r="L154" s="33" t="str">
        <f>IF(_xlfn.IFNA(VLOOKUP(C154,Data!A:I,8,FALSE),"")=0, "", _xlfn.IFNA(HYPERLINK(VLOOKUP(C154,Data!A:I,8,FALSE),"Additional Information"),""))</f>
        <v/>
      </c>
      <c r="M154" s="34">
        <f t="shared" si="3"/>
        <v>2</v>
      </c>
      <c r="N154" s="42" t="s">
        <v>63</v>
      </c>
      <c r="O154" s="42" t="s">
        <v>63</v>
      </c>
      <c r="P154" s="42" t="s">
        <v>63</v>
      </c>
      <c r="Q154" s="42" t="s">
        <v>63</v>
      </c>
      <c r="R154" s="42" t="s">
        <v>63</v>
      </c>
      <c r="S154" s="42" t="s">
        <v>63</v>
      </c>
      <c r="T154" s="42" t="s">
        <v>63</v>
      </c>
      <c r="U154" s="42" t="s">
        <v>64</v>
      </c>
      <c r="V154" s="42" t="s">
        <v>63</v>
      </c>
      <c r="W154" s="42" t="s">
        <v>63</v>
      </c>
      <c r="X154" s="42" t="s">
        <v>63</v>
      </c>
      <c r="Y154" s="42" t="s">
        <v>63</v>
      </c>
      <c r="Z154" s="42" t="s">
        <v>64</v>
      </c>
      <c r="AA154" s="42" t="s">
        <v>63</v>
      </c>
      <c r="AB154" s="42" t="s">
        <v>63</v>
      </c>
      <c r="AC154" s="42"/>
      <c r="AD154" s="42" t="s">
        <v>63</v>
      </c>
      <c r="AE154" s="42" t="s">
        <v>63</v>
      </c>
      <c r="AF154" s="42" t="s">
        <v>63</v>
      </c>
      <c r="AG154" s="42" t="s">
        <v>63</v>
      </c>
      <c r="AH154" s="42" t="s">
        <v>63</v>
      </c>
      <c r="AI154" s="42"/>
      <c r="AJ154" s="42" t="s">
        <v>63</v>
      </c>
      <c r="AK154" s="42"/>
      <c r="AL154" s="42" t="s">
        <v>63</v>
      </c>
      <c r="AM154" s="42"/>
      <c r="AN154" s="42" t="s">
        <v>63</v>
      </c>
      <c r="AO154" s="42" t="s">
        <v>63</v>
      </c>
      <c r="AP154" s="42" t="s">
        <v>63</v>
      </c>
      <c r="AQ154" s="42" t="s">
        <v>63</v>
      </c>
      <c r="AR154" s="42"/>
      <c r="AS154" s="42" t="s">
        <v>63</v>
      </c>
      <c r="AT154" s="42" t="s">
        <v>63</v>
      </c>
      <c r="AU154" s="42"/>
      <c r="AV154" s="42"/>
      <c r="AW154" s="42" t="s">
        <v>63</v>
      </c>
      <c r="AX154" s="42" t="s">
        <v>63</v>
      </c>
      <c r="AY154" s="42" t="s">
        <v>63</v>
      </c>
      <c r="AZ154" s="42" t="s">
        <v>63</v>
      </c>
      <c r="BA154" s="42"/>
      <c r="BB154" s="42" t="s">
        <v>63</v>
      </c>
      <c r="BC154" s="42" t="s">
        <v>63</v>
      </c>
      <c r="BD154" s="42" t="s">
        <v>63</v>
      </c>
      <c r="BE154" s="42" t="s">
        <v>63</v>
      </c>
      <c r="BF154" s="42" t="s">
        <v>63</v>
      </c>
      <c r="BG154" s="42" t="s">
        <v>63</v>
      </c>
      <c r="BH154" s="42" t="s">
        <v>63</v>
      </c>
      <c r="BI154" s="42" t="s">
        <v>63</v>
      </c>
      <c r="BJ154" s="42" t="s">
        <v>63</v>
      </c>
      <c r="BK154" s="42" t="s">
        <v>63</v>
      </c>
      <c r="BL154" s="42" t="s">
        <v>63</v>
      </c>
    </row>
    <row r="155" spans="1:64">
      <c r="A155" s="33" t="s">
        <v>1176</v>
      </c>
      <c r="B155" s="34" t="s">
        <v>355</v>
      </c>
      <c r="C155" s="34" t="s">
        <v>355</v>
      </c>
      <c r="D155" s="33" t="s">
        <v>356</v>
      </c>
      <c r="E155" s="34">
        <f>IF(_xlfn.IFNA(VLOOKUP(B155,Data!B:G,3,FALSE),"")=0, "", _xlfn.IFNA(VLOOKUP(B155,Data!B:G,3,FALSE),""))</f>
        <v>3</v>
      </c>
      <c r="F155" s="66" t="s">
        <v>348</v>
      </c>
      <c r="H155" s="66" t="str">
        <f>IF(_xlfn.IFNA(VLOOKUP(C155,Data!A:G,5,FALSE),"")=0, "Check course registration information", _xlfn.IFNA(VLOOKUP(C155,Data!A:G,5,FALSE),""))</f>
        <v>IE 38600</v>
      </c>
      <c r="J155" s="33" t="str">
        <f>IF(_xlfn.IFNA(VLOOKUP(C155,Data!A:G,6,FALSE),"")=0, "Check course registration information", _xlfn.IFNA(VLOOKUP(C155,Data!A:G,6,FALSE),""))</f>
        <v>Continuation of IE 38600. Applications of engineering, computer sciences, information sciences, and psychological principles and methods to the analysis and design of human work systems</v>
      </c>
      <c r="K155" s="33" t="str">
        <f>IF(_xlfn.IFNA(VLOOKUP(C155,Data!A:H,7,FALSE),"")=0, "", _xlfn.IFNA(HYPERLINK(VLOOKUP(C155,Data!A:H,7,FALSE),"Catalog Link"),""))</f>
        <v>Catalog Link</v>
      </c>
      <c r="L155" s="33" t="str">
        <f>IF(_xlfn.IFNA(VLOOKUP(C155,Data!A:I,8,FALSE),"")=0, "", _xlfn.IFNA(HYPERLINK(VLOOKUP(C155,Data!A:I,8,FALSE),"Additional Information"),""))</f>
        <v/>
      </c>
      <c r="M155" s="34">
        <f t="shared" si="3"/>
        <v>2</v>
      </c>
      <c r="N155" s="42" t="s">
        <v>63</v>
      </c>
      <c r="O155" s="42" t="s">
        <v>63</v>
      </c>
      <c r="P155" s="42" t="s">
        <v>63</v>
      </c>
      <c r="Q155" s="42" t="s">
        <v>63</v>
      </c>
      <c r="R155" s="42" t="s">
        <v>63</v>
      </c>
      <c r="S155" s="42" t="s">
        <v>63</v>
      </c>
      <c r="T155" s="42" t="s">
        <v>63</v>
      </c>
      <c r="U155" s="42" t="s">
        <v>64</v>
      </c>
      <c r="V155" s="42"/>
      <c r="W155" s="42" t="s">
        <v>63</v>
      </c>
      <c r="X155" s="42" t="s">
        <v>63</v>
      </c>
      <c r="Y155" s="42" t="s">
        <v>63</v>
      </c>
      <c r="Z155" s="42" t="s">
        <v>64</v>
      </c>
      <c r="AA155" s="42" t="s">
        <v>63</v>
      </c>
      <c r="AB155" s="42" t="s">
        <v>63</v>
      </c>
      <c r="AC155" s="42"/>
      <c r="AD155" s="42" t="s">
        <v>63</v>
      </c>
      <c r="AE155" s="42" t="s">
        <v>63</v>
      </c>
      <c r="AF155" s="42" t="s">
        <v>63</v>
      </c>
      <c r="AG155" s="42" t="s">
        <v>63</v>
      </c>
      <c r="AH155" s="42" t="s">
        <v>63</v>
      </c>
      <c r="AI155" s="42"/>
      <c r="AJ155" s="42" t="s">
        <v>63</v>
      </c>
      <c r="AK155" s="42"/>
      <c r="AL155" s="42" t="s">
        <v>63</v>
      </c>
      <c r="AM155" s="42"/>
      <c r="AN155" s="42" t="s">
        <v>63</v>
      </c>
      <c r="AO155" s="42" t="s">
        <v>63</v>
      </c>
      <c r="AP155" s="42" t="s">
        <v>63</v>
      </c>
      <c r="AQ155" s="42" t="s">
        <v>63</v>
      </c>
      <c r="AR155" s="42"/>
      <c r="AS155" s="42" t="s">
        <v>63</v>
      </c>
      <c r="AT155" s="42" t="s">
        <v>63</v>
      </c>
      <c r="AU155" s="42"/>
      <c r="AV155" s="42"/>
      <c r="AW155" s="42" t="s">
        <v>63</v>
      </c>
      <c r="AX155" s="42" t="s">
        <v>63</v>
      </c>
      <c r="AY155" s="42" t="s">
        <v>63</v>
      </c>
      <c r="AZ155" s="42" t="s">
        <v>63</v>
      </c>
      <c r="BA155" s="42"/>
      <c r="BB155" s="42" t="s">
        <v>63</v>
      </c>
      <c r="BC155" s="42" t="s">
        <v>63</v>
      </c>
      <c r="BD155" s="42" t="s">
        <v>63</v>
      </c>
      <c r="BE155" s="42" t="s">
        <v>63</v>
      </c>
      <c r="BF155" s="42" t="s">
        <v>63</v>
      </c>
      <c r="BG155" s="42" t="s">
        <v>63</v>
      </c>
      <c r="BH155" s="42" t="s">
        <v>63</v>
      </c>
      <c r="BI155" s="42" t="s">
        <v>63</v>
      </c>
      <c r="BJ155" s="42" t="s">
        <v>63</v>
      </c>
      <c r="BK155" s="42" t="s">
        <v>63</v>
      </c>
      <c r="BL155" s="42" t="s">
        <v>63</v>
      </c>
    </row>
    <row r="156" spans="1:64">
      <c r="A156" s="55" t="s">
        <v>1176</v>
      </c>
      <c r="B156" s="34" t="s">
        <v>357</v>
      </c>
      <c r="C156" s="34" t="s">
        <v>357</v>
      </c>
      <c r="D156" s="33" t="s">
        <v>1275</v>
      </c>
      <c r="E156" s="34" t="str">
        <f>IF(_xlfn.IFNA(VLOOKUP(B156,Data!B:G,3,FALSE),"")=0, "", _xlfn.IFNA(VLOOKUP(B156,Data!B:G,3,FALSE),""))</f>
        <v/>
      </c>
      <c r="F156" s="66" t="s">
        <v>348</v>
      </c>
      <c r="H156" s="66" t="str">
        <f>IF(_xlfn.IFNA(VLOOKUP(C156,Data!A:G,5,FALSE),"")=0, "Check course registration information", _xlfn.IFNA(VLOOKUP(C156,Data!A:G,5,FALSE),""))</f>
        <v>Check course registration information</v>
      </c>
      <c r="J156" s="33" t="str">
        <f>IF(_xlfn.IFNA(VLOOKUP(C156,Data!A:G,6,FALSE),"")=0, "Check course registration information", _xlfn.IFNA(VLOOKUP(C156,Data!A:G,6,FALSE),""))</f>
        <v>Check course registration information</v>
      </c>
      <c r="K156" s="33" t="str">
        <f>IF(_xlfn.IFNA(VLOOKUP(C156,Data!A:H,7,FALSE),"")=0, "", _xlfn.IFNA(HYPERLINK(VLOOKUP(C156,Data!A:H,7,FALSE),"Catalog Link"),""))</f>
        <v>Catalog Link</v>
      </c>
      <c r="L156" s="33" t="str">
        <f>IF(_xlfn.IFNA(VLOOKUP(C156,Data!A:I,8,FALSE),"")=0, "", _xlfn.IFNA(HYPERLINK(VLOOKUP(C156,Data!A:I,8,FALSE),"Additional Information"),""))</f>
        <v/>
      </c>
      <c r="M156" s="34">
        <f t="shared" si="3"/>
        <v>2</v>
      </c>
      <c r="N156" s="42" t="s">
        <v>63</v>
      </c>
      <c r="O156" s="42" t="s">
        <v>63</v>
      </c>
      <c r="P156" s="42" t="s">
        <v>63</v>
      </c>
      <c r="Q156" s="42" t="s">
        <v>63</v>
      </c>
      <c r="R156" s="42" t="s">
        <v>63</v>
      </c>
      <c r="S156" s="42" t="s">
        <v>63</v>
      </c>
      <c r="T156" s="42" t="s">
        <v>63</v>
      </c>
      <c r="U156" s="42" t="s">
        <v>63</v>
      </c>
      <c r="V156" s="42" t="s">
        <v>63</v>
      </c>
      <c r="W156" s="42" t="s">
        <v>63</v>
      </c>
      <c r="X156" s="42" t="s">
        <v>63</v>
      </c>
      <c r="Y156" s="42" t="s">
        <v>63</v>
      </c>
      <c r="Z156" s="42" t="s">
        <v>63</v>
      </c>
      <c r="AA156" s="42" t="s">
        <v>63</v>
      </c>
      <c r="AB156" s="42" t="s">
        <v>63</v>
      </c>
      <c r="AC156" s="42"/>
      <c r="AD156" s="42" t="s">
        <v>63</v>
      </c>
      <c r="AE156" s="42" t="s">
        <v>63</v>
      </c>
      <c r="AF156" s="42" t="s">
        <v>63</v>
      </c>
      <c r="AG156" s="42"/>
      <c r="AH156" s="42" t="s">
        <v>64</v>
      </c>
      <c r="AI156" s="42"/>
      <c r="AJ156" s="42" t="s">
        <v>63</v>
      </c>
      <c r="AK156" s="42"/>
      <c r="AL156" s="42" t="s">
        <v>63</v>
      </c>
      <c r="AM156" s="42"/>
      <c r="AN156" s="42" t="s">
        <v>63</v>
      </c>
      <c r="AO156" s="42" t="s">
        <v>63</v>
      </c>
      <c r="AP156" s="42" t="s">
        <v>63</v>
      </c>
      <c r="AQ156" s="42" t="s">
        <v>63</v>
      </c>
      <c r="AR156" s="42"/>
      <c r="AS156" s="42" t="s">
        <v>63</v>
      </c>
      <c r="AT156" s="42" t="s">
        <v>63</v>
      </c>
      <c r="AU156" s="42"/>
      <c r="AV156" s="42"/>
      <c r="AW156" s="42" t="s">
        <v>63</v>
      </c>
      <c r="AX156" s="42" t="s">
        <v>63</v>
      </c>
      <c r="AY156" s="42" t="s">
        <v>63</v>
      </c>
      <c r="AZ156" s="42" t="s">
        <v>63</v>
      </c>
      <c r="BA156" s="42"/>
      <c r="BB156" s="42" t="s">
        <v>63</v>
      </c>
      <c r="BC156" s="42" t="s">
        <v>63</v>
      </c>
      <c r="BD156" s="42" t="s">
        <v>63</v>
      </c>
      <c r="BE156" s="42" t="s">
        <v>63</v>
      </c>
      <c r="BF156" s="42" t="s">
        <v>63</v>
      </c>
      <c r="BG156" s="42" t="s">
        <v>64</v>
      </c>
      <c r="BH156" s="42" t="s">
        <v>63</v>
      </c>
      <c r="BI156" s="42" t="s">
        <v>63</v>
      </c>
      <c r="BJ156" s="42" t="s">
        <v>63</v>
      </c>
      <c r="BK156" s="42" t="s">
        <v>63</v>
      </c>
      <c r="BL156" s="42" t="s">
        <v>63</v>
      </c>
    </row>
    <row r="157" spans="1:64">
      <c r="A157" s="55" t="s">
        <v>1176</v>
      </c>
      <c r="B157" s="34" t="s">
        <v>357</v>
      </c>
      <c r="C157" s="34" t="s">
        <v>1207</v>
      </c>
      <c r="D157" s="33" t="s">
        <v>1276</v>
      </c>
      <c r="E157" s="34" t="str">
        <f>IF(_xlfn.IFNA(VLOOKUP(B157,Data!B:G,3,FALSE),"")=0, "", _xlfn.IFNA(VLOOKUP(B157,Data!B:G,3,FALSE),""))</f>
        <v/>
      </c>
      <c r="F157" s="66" t="s">
        <v>348</v>
      </c>
      <c r="H157" s="66" t="str">
        <f>IF(_xlfn.IFNA(VLOOKUP(C157,Data!A:G,5,FALSE),"")=0, "Check course registration information", _xlfn.IFNA(VLOOKUP(C157,Data!A:G,5,FALSE),""))</f>
        <v>Check course registration information</v>
      </c>
      <c r="J157" s="33" t="str">
        <f>IF(_xlfn.IFNA(VLOOKUP(C157,Data!A:G,6,FALSE),"")=0, "Check course registration information", _xlfn.IFNA(VLOOKUP(C157,Data!A:G,6,FALSE),""))</f>
        <v>Check course registration information</v>
      </c>
      <c r="K157" s="33" t="str">
        <f>IF(_xlfn.IFNA(VLOOKUP(C157,Data!A:H,7,FALSE),"")=0, "", _xlfn.IFNA(HYPERLINK(VLOOKUP(C157,Data!A:H,7,FALSE),"Catalog Link"),""))</f>
        <v>Catalog Link</v>
      </c>
      <c r="L157" s="33" t="str">
        <f>IF(_xlfn.IFNA(VLOOKUP(C157,Data!A:I,8,FALSE),"")=0, "", _xlfn.IFNA(HYPERLINK(VLOOKUP(C157,Data!A:I,8,FALSE),"Additional Information"),""))</f>
        <v/>
      </c>
      <c r="M157" s="34">
        <f t="shared" si="3"/>
        <v>3</v>
      </c>
      <c r="N157" s="42" t="s">
        <v>63</v>
      </c>
      <c r="O157" s="42" t="s">
        <v>63</v>
      </c>
      <c r="P157" s="42" t="s">
        <v>63</v>
      </c>
      <c r="Q157" s="42" t="s">
        <v>63</v>
      </c>
      <c r="R157" s="42" t="s">
        <v>63</v>
      </c>
      <c r="S157" s="42" t="s">
        <v>63</v>
      </c>
      <c r="T157" s="42" t="s">
        <v>63</v>
      </c>
      <c r="U157" s="42" t="s">
        <v>64</v>
      </c>
      <c r="V157" s="42" t="s">
        <v>63</v>
      </c>
      <c r="W157" s="42" t="s">
        <v>63</v>
      </c>
      <c r="X157" s="42" t="s">
        <v>63</v>
      </c>
      <c r="Y157" s="42" t="s">
        <v>63</v>
      </c>
      <c r="Z157" s="42" t="s">
        <v>64</v>
      </c>
      <c r="AA157" s="42" t="s">
        <v>63</v>
      </c>
      <c r="AB157" s="42" t="s">
        <v>63</v>
      </c>
      <c r="AC157" s="42"/>
      <c r="AD157" s="42" t="s">
        <v>63</v>
      </c>
      <c r="AE157" s="42" t="s">
        <v>63</v>
      </c>
      <c r="AF157" s="42" t="s">
        <v>63</v>
      </c>
      <c r="AG157" s="42" t="s">
        <v>63</v>
      </c>
      <c r="AH157" s="42" t="s">
        <v>63</v>
      </c>
      <c r="AI157" s="42"/>
      <c r="AJ157" s="42" t="s">
        <v>63</v>
      </c>
      <c r="AK157" s="42"/>
      <c r="AL157" s="42" t="s">
        <v>63</v>
      </c>
      <c r="AM157" s="42"/>
      <c r="AN157" s="42" t="s">
        <v>63</v>
      </c>
      <c r="AO157" s="42" t="s">
        <v>63</v>
      </c>
      <c r="AP157" s="42" t="s">
        <v>63</v>
      </c>
      <c r="AQ157" s="42" t="s">
        <v>63</v>
      </c>
      <c r="AR157" s="42"/>
      <c r="AS157" s="42" t="s">
        <v>63</v>
      </c>
      <c r="AT157" s="42" t="s">
        <v>63</v>
      </c>
      <c r="AU157" s="42"/>
      <c r="AV157" s="42"/>
      <c r="AW157" s="42" t="s">
        <v>63</v>
      </c>
      <c r="AX157" s="42" t="s">
        <v>63</v>
      </c>
      <c r="AY157" s="42" t="s">
        <v>64</v>
      </c>
      <c r="AZ157" s="42" t="s">
        <v>63</v>
      </c>
      <c r="BA157" s="42"/>
      <c r="BB157" s="42" t="s">
        <v>63</v>
      </c>
      <c r="BC157" s="42" t="s">
        <v>63</v>
      </c>
      <c r="BD157" s="42" t="s">
        <v>63</v>
      </c>
      <c r="BE157" s="42" t="s">
        <v>63</v>
      </c>
      <c r="BF157" s="42" t="s">
        <v>63</v>
      </c>
      <c r="BG157" s="42" t="s">
        <v>63</v>
      </c>
      <c r="BH157" s="42" t="s">
        <v>63</v>
      </c>
      <c r="BI157" s="42" t="s">
        <v>63</v>
      </c>
      <c r="BJ157" s="42" t="s">
        <v>63</v>
      </c>
      <c r="BK157" s="42" t="s">
        <v>63</v>
      </c>
      <c r="BL157" s="42" t="s">
        <v>63</v>
      </c>
    </row>
    <row r="158" spans="1:64">
      <c r="A158" s="33" t="s">
        <v>1176</v>
      </c>
      <c r="B158" s="34" t="s">
        <v>360</v>
      </c>
      <c r="C158" s="34" t="s">
        <v>360</v>
      </c>
      <c r="D158" s="33" t="s">
        <v>361</v>
      </c>
      <c r="E158" s="34">
        <f>IF(_xlfn.IFNA(VLOOKUP(B158,Data!B:G,3,FALSE),"")=0, "", _xlfn.IFNA(VLOOKUP(B158,Data!B:G,3,FALSE),""))</f>
        <v>3</v>
      </c>
      <c r="F158" s="66" t="s">
        <v>348</v>
      </c>
      <c r="H158" s="66" t="str">
        <f>IF(_xlfn.IFNA(VLOOKUP(C158,Data!A:G,5,FALSE),"")=0, "Check course registration information", _xlfn.IFNA(VLOOKUP(C158,Data!A:G,5,FALSE),""))</f>
        <v>IE 33000 or IE 33600</v>
      </c>
      <c r="J158" s="33" t="str">
        <f>IF(_xlfn.IFNA(VLOOKUP(C158,Data!A:G,6,FALSE),"")=0, "Check course registration information", _xlfn.IFNA(VLOOKUP(C158,Data!A:G,6,FALSE),""))</f>
        <v>Reliability of components and multi-component systems. Application of quantitative methods to the design and evaluation of engineering and industrial systems and processes for assuring reliability of performance. Economic and manufacturing control activities related to product engineering aspects of reliability. Principles of maintainability. Product failure and legal liability</v>
      </c>
      <c r="K158" s="33" t="str">
        <f>IF(_xlfn.IFNA(VLOOKUP(C158,Data!A:H,7,FALSE),"")=0, "", _xlfn.IFNA(HYPERLINK(VLOOKUP(C158,Data!A:H,7,FALSE),"Catalog Link"),""))</f>
        <v>Catalog Link</v>
      </c>
      <c r="L158" s="33" t="str">
        <f>IF(_xlfn.IFNA(VLOOKUP(C158,Data!A:I,8,FALSE),"")=0, "", _xlfn.IFNA(HYPERLINK(VLOOKUP(C158,Data!A:I,8,FALSE),"Additional Information"),""))</f>
        <v/>
      </c>
      <c r="M158" s="34">
        <f t="shared" si="3"/>
        <v>4</v>
      </c>
      <c r="N158" s="42" t="s">
        <v>63</v>
      </c>
      <c r="O158" s="42" t="s">
        <v>63</v>
      </c>
      <c r="P158" s="42" t="s">
        <v>63</v>
      </c>
      <c r="Q158" s="42" t="s">
        <v>63</v>
      </c>
      <c r="R158" s="42" t="s">
        <v>63</v>
      </c>
      <c r="S158" s="42" t="s">
        <v>63</v>
      </c>
      <c r="T158" s="42" t="s">
        <v>63</v>
      </c>
      <c r="U158" s="42" t="s">
        <v>64</v>
      </c>
      <c r="V158" s="42" t="s">
        <v>63</v>
      </c>
      <c r="W158" s="42" t="s">
        <v>63</v>
      </c>
      <c r="X158" s="42" t="s">
        <v>63</v>
      </c>
      <c r="Y158" s="42" t="s">
        <v>63</v>
      </c>
      <c r="Z158" s="42" t="s">
        <v>64</v>
      </c>
      <c r="AA158" s="42" t="s">
        <v>63</v>
      </c>
      <c r="AB158" s="42" t="s">
        <v>63</v>
      </c>
      <c r="AC158" s="42"/>
      <c r="AD158" s="42" t="s">
        <v>63</v>
      </c>
      <c r="AE158" s="42" t="s">
        <v>63</v>
      </c>
      <c r="AF158" s="42" t="s">
        <v>63</v>
      </c>
      <c r="AG158" s="42" t="s">
        <v>63</v>
      </c>
      <c r="AH158" s="42" t="s">
        <v>63</v>
      </c>
      <c r="AI158" s="42"/>
      <c r="AJ158" s="42" t="s">
        <v>63</v>
      </c>
      <c r="AK158" s="42"/>
      <c r="AL158" s="42" t="s">
        <v>63</v>
      </c>
      <c r="AM158" s="42"/>
      <c r="AN158" s="42" t="s">
        <v>63</v>
      </c>
      <c r="AO158" s="42" t="s">
        <v>63</v>
      </c>
      <c r="AP158" s="42" t="s">
        <v>63</v>
      </c>
      <c r="AQ158" s="42" t="s">
        <v>63</v>
      </c>
      <c r="AR158" s="42"/>
      <c r="AS158" s="42" t="s">
        <v>63</v>
      </c>
      <c r="AT158" s="42" t="s">
        <v>63</v>
      </c>
      <c r="AU158" s="42"/>
      <c r="AV158" s="42"/>
      <c r="AW158" s="42" t="s">
        <v>63</v>
      </c>
      <c r="AX158" s="42" t="s">
        <v>63</v>
      </c>
      <c r="AY158" s="42" t="s">
        <v>64</v>
      </c>
      <c r="AZ158" s="42" t="s">
        <v>63</v>
      </c>
      <c r="BA158" s="42"/>
      <c r="BB158" s="42" t="s">
        <v>63</v>
      </c>
      <c r="BC158" s="42" t="s">
        <v>63</v>
      </c>
      <c r="BD158" s="42" t="s">
        <v>63</v>
      </c>
      <c r="BE158" s="42" t="s">
        <v>63</v>
      </c>
      <c r="BF158" s="42" t="s">
        <v>63</v>
      </c>
      <c r="BG158" s="42" t="s">
        <v>63</v>
      </c>
      <c r="BH158" s="42" t="s">
        <v>63</v>
      </c>
      <c r="BI158" s="42" t="s">
        <v>64</v>
      </c>
      <c r="BJ158" s="42" t="s">
        <v>63</v>
      </c>
      <c r="BK158" s="42" t="s">
        <v>63</v>
      </c>
      <c r="BL158" s="42" t="s">
        <v>63</v>
      </c>
    </row>
    <row r="159" spans="1:64">
      <c r="A159" s="33" t="s">
        <v>1176</v>
      </c>
      <c r="B159" s="34" t="s">
        <v>362</v>
      </c>
      <c r="C159" s="34" t="s">
        <v>362</v>
      </c>
      <c r="D159" s="33" t="s">
        <v>363</v>
      </c>
      <c r="E159" s="34">
        <f>IF(_xlfn.IFNA(VLOOKUP(B159,Data!B:G,3,FALSE),"")=0, "", _xlfn.IFNA(VLOOKUP(B159,Data!B:G,3,FALSE),""))</f>
        <v>3</v>
      </c>
      <c r="F159" s="66" t="s">
        <v>348</v>
      </c>
      <c r="H159" s="66" t="str">
        <f>IF(_xlfn.IFNA(VLOOKUP(C159,Data!A:G,5,FALSE),"")=0, "Check course registration information", _xlfn.IFNA(VLOOKUP(C159,Data!A:G,5,FALSE),""))</f>
        <v>IE 33000 or STAT 51100 or STAT 35000</v>
      </c>
      <c r="J159" s="33" t="str">
        <f>IF(_xlfn.IFNA(VLOOKUP(C159,Data!A:G,6,FALSE),"")=0, "Check course registration information", _xlfn.IFNA(VLOOKUP(C159,Data!A:G,6,FALSE),""))</f>
        <v>The application of statistics to the effective design and analysis of industrial studies relating to manufacturing and human factors engineering in order to optimize the utilization of equipment and resources. Emphasis on conducting these studies at the least cost</v>
      </c>
      <c r="K159" s="33" t="str">
        <f>IF(_xlfn.IFNA(VLOOKUP(C159,Data!A:H,7,FALSE),"")=0, "", _xlfn.IFNA(HYPERLINK(VLOOKUP(C159,Data!A:H,7,FALSE),"Catalog Link"),""))</f>
        <v>Catalog Link</v>
      </c>
      <c r="L159" s="33" t="str">
        <f>IF(_xlfn.IFNA(VLOOKUP(C159,Data!A:I,8,FALSE),"")=0, "", _xlfn.IFNA(HYPERLINK(VLOOKUP(C159,Data!A:I,8,FALSE),"Additional Information"),""))</f>
        <v/>
      </c>
      <c r="M159" s="34">
        <f t="shared" si="3"/>
        <v>3</v>
      </c>
      <c r="N159" s="42" t="s">
        <v>63</v>
      </c>
      <c r="O159" s="42"/>
      <c r="P159" s="42" t="s">
        <v>63</v>
      </c>
      <c r="Q159" s="42" t="s">
        <v>63</v>
      </c>
      <c r="R159" s="42" t="s">
        <v>63</v>
      </c>
      <c r="S159" s="42" t="s">
        <v>63</v>
      </c>
      <c r="T159" s="42" t="s">
        <v>63</v>
      </c>
      <c r="U159" s="42"/>
      <c r="V159" s="42"/>
      <c r="W159" s="42" t="s">
        <v>63</v>
      </c>
      <c r="X159" s="42" t="s">
        <v>63</v>
      </c>
      <c r="Y159" s="42" t="s">
        <v>63</v>
      </c>
      <c r="Z159" s="42" t="s">
        <v>64</v>
      </c>
      <c r="AA159" s="42" t="s">
        <v>63</v>
      </c>
      <c r="AB159" s="42" t="s">
        <v>63</v>
      </c>
      <c r="AC159" s="42"/>
      <c r="AD159" s="42" t="s">
        <v>63</v>
      </c>
      <c r="AE159" s="42" t="s">
        <v>63</v>
      </c>
      <c r="AF159" s="42" t="s">
        <v>63</v>
      </c>
      <c r="AG159" s="42" t="s">
        <v>64</v>
      </c>
      <c r="AH159" s="42" t="s">
        <v>63</v>
      </c>
      <c r="AI159" s="42"/>
      <c r="AJ159" s="42" t="s">
        <v>63</v>
      </c>
      <c r="AK159" s="42"/>
      <c r="AL159" s="42" t="s">
        <v>63</v>
      </c>
      <c r="AM159" s="42"/>
      <c r="AN159" s="42" t="s">
        <v>63</v>
      </c>
      <c r="AO159" s="42" t="s">
        <v>63</v>
      </c>
      <c r="AP159" s="42" t="s">
        <v>63</v>
      </c>
      <c r="AQ159" s="42" t="s">
        <v>63</v>
      </c>
      <c r="AR159" s="42"/>
      <c r="AS159" s="42" t="s">
        <v>63</v>
      </c>
      <c r="AT159" s="42" t="s">
        <v>63</v>
      </c>
      <c r="AU159" s="42"/>
      <c r="AV159" s="42"/>
      <c r="AW159" s="42" t="s">
        <v>63</v>
      </c>
      <c r="AX159" s="42" t="s">
        <v>63</v>
      </c>
      <c r="AY159" s="42"/>
      <c r="AZ159" s="42" t="s">
        <v>63</v>
      </c>
      <c r="BA159" s="42"/>
      <c r="BB159" s="42" t="s">
        <v>63</v>
      </c>
      <c r="BC159" s="42" t="s">
        <v>63</v>
      </c>
      <c r="BD159" s="42" t="s">
        <v>64</v>
      </c>
      <c r="BE159" s="42" t="s">
        <v>63</v>
      </c>
      <c r="BF159" s="42" t="s">
        <v>63</v>
      </c>
      <c r="BG159" s="42"/>
      <c r="BH159" s="42" t="s">
        <v>63</v>
      </c>
      <c r="BI159" s="42" t="s">
        <v>63</v>
      </c>
      <c r="BJ159" s="42" t="s">
        <v>63</v>
      </c>
      <c r="BK159" s="42"/>
      <c r="BL159" s="42" t="s">
        <v>63</v>
      </c>
    </row>
    <row r="160" spans="1:64">
      <c r="A160" s="33" t="s">
        <v>1176</v>
      </c>
      <c r="B160" s="34" t="s">
        <v>364</v>
      </c>
      <c r="C160" s="34" t="s">
        <v>364</v>
      </c>
      <c r="D160" s="33" t="s">
        <v>365</v>
      </c>
      <c r="E160" s="34">
        <f>IF(_xlfn.IFNA(VLOOKUP(B160,Data!B:G,3,FALSE),"")=0, "", _xlfn.IFNA(VLOOKUP(B160,Data!B:G,3,FALSE),""))</f>
        <v>3</v>
      </c>
      <c r="F160" s="66" t="s">
        <v>348</v>
      </c>
      <c r="H160" s="66" t="str">
        <f>IF(_xlfn.IFNA(VLOOKUP(C160,Data!A:G,5,FALSE),"")=0, "Check course registration information", _xlfn.IFNA(VLOOKUP(C160,Data!A:G,5,FALSE),""))</f>
        <v>IE 38600</v>
      </c>
      <c r="J160" s="33" t="str">
        <f>IF(_xlfn.IFNA(VLOOKUP(C160,Data!A:G,6,FALSE),"")=0, "Check course registration information", _xlfn.IFNA(VLOOKUP(C160,Data!A:G,6,FALSE),""))</f>
        <v>Application of human factors and engineering practice in accident prevention and the reduction of health hazards are presented. The objective of this course is to provide an understanding of the safety and health practices which fall within the responsibilities of the engineer in industry. Special attention is devoted to the detection and correction of hazards and to contemporary laws and enforcement on occupational safety and health</v>
      </c>
      <c r="K160" s="33" t="str">
        <f>IF(_xlfn.IFNA(VLOOKUP(C160,Data!A:H,7,FALSE),"")=0, "", _xlfn.IFNA(HYPERLINK(VLOOKUP(C160,Data!A:H,7,FALSE),"Catalog Link"),""))</f>
        <v>Catalog Link</v>
      </c>
      <c r="L160" s="33" t="str">
        <f>IF(_xlfn.IFNA(VLOOKUP(C160,Data!A:I,8,FALSE),"")=0, "", _xlfn.IFNA(HYPERLINK(VLOOKUP(C160,Data!A:I,8,FALSE),"Additional Information"),""))</f>
        <v/>
      </c>
      <c r="M160" s="34">
        <f t="shared" si="3"/>
        <v>4</v>
      </c>
      <c r="N160" s="42" t="s">
        <v>63</v>
      </c>
      <c r="O160" s="42"/>
      <c r="P160" s="42" t="s">
        <v>63</v>
      </c>
      <c r="Q160" s="42" t="s">
        <v>63</v>
      </c>
      <c r="R160" s="42" t="s">
        <v>63</v>
      </c>
      <c r="S160" s="42" t="s">
        <v>63</v>
      </c>
      <c r="T160" s="42" t="s">
        <v>63</v>
      </c>
      <c r="U160" s="42"/>
      <c r="V160" s="42"/>
      <c r="W160" s="42" t="s">
        <v>63</v>
      </c>
      <c r="X160" s="42" t="s">
        <v>63</v>
      </c>
      <c r="Y160" s="42" t="s">
        <v>63</v>
      </c>
      <c r="Z160" s="42" t="s">
        <v>64</v>
      </c>
      <c r="AA160" s="42" t="s">
        <v>63</v>
      </c>
      <c r="AB160" s="42" t="s">
        <v>63</v>
      </c>
      <c r="AC160" s="42"/>
      <c r="AD160" s="42" t="s">
        <v>63</v>
      </c>
      <c r="AE160" s="42" t="s">
        <v>63</v>
      </c>
      <c r="AF160" s="42" t="s">
        <v>63</v>
      </c>
      <c r="AG160" s="42" t="s">
        <v>64</v>
      </c>
      <c r="AH160" s="42" t="s">
        <v>63</v>
      </c>
      <c r="AI160" s="42"/>
      <c r="AJ160" s="42" t="s">
        <v>63</v>
      </c>
      <c r="AK160" s="42"/>
      <c r="AL160" s="42" t="s">
        <v>63</v>
      </c>
      <c r="AM160" s="42"/>
      <c r="AN160" s="42" t="s">
        <v>63</v>
      </c>
      <c r="AO160" s="42" t="s">
        <v>63</v>
      </c>
      <c r="AP160" s="42" t="s">
        <v>63</v>
      </c>
      <c r="AQ160" s="42" t="s">
        <v>63</v>
      </c>
      <c r="AR160" s="42"/>
      <c r="AS160" s="42" t="s">
        <v>63</v>
      </c>
      <c r="AT160" s="42" t="s">
        <v>63</v>
      </c>
      <c r="AU160" s="42"/>
      <c r="AV160" s="42"/>
      <c r="AW160" s="42" t="s">
        <v>63</v>
      </c>
      <c r="AX160" s="42" t="s">
        <v>63</v>
      </c>
      <c r="AY160" s="42"/>
      <c r="AZ160" s="42" t="s">
        <v>63</v>
      </c>
      <c r="BA160" s="42" t="s">
        <v>64</v>
      </c>
      <c r="BB160" s="42" t="s">
        <v>63</v>
      </c>
      <c r="BC160" s="42" t="s">
        <v>63</v>
      </c>
      <c r="BD160" s="42"/>
      <c r="BE160" s="42" t="s">
        <v>63</v>
      </c>
      <c r="BF160" s="42" t="s">
        <v>63</v>
      </c>
      <c r="BG160" s="42"/>
      <c r="BH160" s="42" t="s">
        <v>63</v>
      </c>
      <c r="BI160" s="42" t="s">
        <v>64</v>
      </c>
      <c r="BJ160" s="42" t="s">
        <v>63</v>
      </c>
      <c r="BK160" s="42"/>
      <c r="BL160" s="42" t="s">
        <v>63</v>
      </c>
    </row>
    <row r="161" spans="1:64">
      <c r="A161" s="33" t="s">
        <v>1176</v>
      </c>
      <c r="B161" s="34" t="s">
        <v>366</v>
      </c>
      <c r="C161" s="34" t="s">
        <v>366</v>
      </c>
      <c r="D161" s="33" t="s">
        <v>367</v>
      </c>
      <c r="E161" s="34">
        <f>IF(_xlfn.IFNA(VLOOKUP(B161,Data!B:G,3,FALSE),"")=0, "", _xlfn.IFNA(VLOOKUP(B161,Data!B:G,3,FALSE),""))</f>
        <v>3</v>
      </c>
      <c r="F161" s="66" t="s">
        <v>348</v>
      </c>
      <c r="H161" s="66" t="str">
        <f>IF(_xlfn.IFNA(VLOOKUP(C161,Data!A:G,5,FALSE),"")=0, "Check course registration information", _xlfn.IFNA(VLOOKUP(C161,Data!A:G,5,FALSE),""))</f>
        <v>IE 38300</v>
      </c>
      <c r="J161" s="33" t="str">
        <f>IF(_xlfn.IFNA(VLOOKUP(C161,Data!A:G,6,FALSE),"")=0, "Check course registration information", _xlfn.IFNA(VLOOKUP(C161,Data!A:G,6,FALSE),""))</f>
        <v>Background and development of production management, plus current concepts and controls applicable to production management functions. Not open to Industrial Engineering students with a minor in management</v>
      </c>
      <c r="K161" s="33" t="str">
        <f>IF(_xlfn.IFNA(VLOOKUP(C161,Data!A:H,7,FALSE),"")=0, "", _xlfn.IFNA(HYPERLINK(VLOOKUP(C161,Data!A:H,7,FALSE),"Catalog Link"),""))</f>
        <v>Catalog Link</v>
      </c>
      <c r="L161" s="33" t="str">
        <f>IF(_xlfn.IFNA(VLOOKUP(C161,Data!A:I,8,FALSE),"")=0, "", _xlfn.IFNA(HYPERLINK(VLOOKUP(C161,Data!A:I,8,FALSE),"Additional Information"),""))</f>
        <v/>
      </c>
      <c r="M161" s="34">
        <f t="shared" si="3"/>
        <v>7</v>
      </c>
      <c r="N161" s="42" t="s">
        <v>63</v>
      </c>
      <c r="O161" s="42" t="s">
        <v>63</v>
      </c>
      <c r="P161" s="42" t="s">
        <v>63</v>
      </c>
      <c r="Q161" s="42" t="s">
        <v>63</v>
      </c>
      <c r="R161" s="42" t="s">
        <v>63</v>
      </c>
      <c r="S161" s="42" t="s">
        <v>63</v>
      </c>
      <c r="T161" s="42" t="s">
        <v>63</v>
      </c>
      <c r="U161" s="42" t="s">
        <v>64</v>
      </c>
      <c r="V161" s="42" t="s">
        <v>63</v>
      </c>
      <c r="W161" s="42" t="s">
        <v>63</v>
      </c>
      <c r="X161" s="42" t="s">
        <v>63</v>
      </c>
      <c r="Y161" s="42" t="s">
        <v>63</v>
      </c>
      <c r="Z161" s="42" t="s">
        <v>64</v>
      </c>
      <c r="AA161" s="42" t="s">
        <v>63</v>
      </c>
      <c r="AB161" s="42" t="s">
        <v>63</v>
      </c>
      <c r="AC161" s="42"/>
      <c r="AD161" s="42" t="s">
        <v>63</v>
      </c>
      <c r="AE161" s="42" t="s">
        <v>63</v>
      </c>
      <c r="AF161" s="42" t="s">
        <v>63</v>
      </c>
      <c r="AG161" s="42" t="s">
        <v>64</v>
      </c>
      <c r="AH161" s="42" t="s">
        <v>63</v>
      </c>
      <c r="AI161" s="42"/>
      <c r="AJ161" s="42" t="s">
        <v>63</v>
      </c>
      <c r="AK161" s="42"/>
      <c r="AL161" s="42" t="s">
        <v>63</v>
      </c>
      <c r="AM161" s="42"/>
      <c r="AN161" s="42" t="s">
        <v>63</v>
      </c>
      <c r="AO161" s="42" t="s">
        <v>63</v>
      </c>
      <c r="AP161" s="42" t="s">
        <v>63</v>
      </c>
      <c r="AQ161" s="42" t="s">
        <v>63</v>
      </c>
      <c r="AR161" s="42" t="s">
        <v>64</v>
      </c>
      <c r="AS161" s="42"/>
      <c r="AT161" s="42" t="s">
        <v>63</v>
      </c>
      <c r="AU161" s="42"/>
      <c r="AV161" s="42"/>
      <c r="AW161" s="42" t="s">
        <v>63</v>
      </c>
      <c r="AX161" s="42" t="s">
        <v>63</v>
      </c>
      <c r="AY161" s="42" t="s">
        <v>64</v>
      </c>
      <c r="AZ161" s="42" t="s">
        <v>63</v>
      </c>
      <c r="BA161" s="42"/>
      <c r="BB161" s="42" t="s">
        <v>63</v>
      </c>
      <c r="BC161" s="42" t="s">
        <v>63</v>
      </c>
      <c r="BD161" s="42" t="s">
        <v>64</v>
      </c>
      <c r="BE161" s="42" t="s">
        <v>63</v>
      </c>
      <c r="BF161" s="42" t="s">
        <v>63</v>
      </c>
      <c r="BG161" s="42" t="s">
        <v>63</v>
      </c>
      <c r="BH161" s="42" t="s">
        <v>63</v>
      </c>
      <c r="BI161" s="42" t="s">
        <v>64</v>
      </c>
      <c r="BJ161" s="42" t="s">
        <v>63</v>
      </c>
      <c r="BK161" s="42" t="s">
        <v>63</v>
      </c>
      <c r="BL161" s="42" t="s">
        <v>63</v>
      </c>
    </row>
    <row r="162" spans="1:64">
      <c r="A162" s="33" t="s">
        <v>1176</v>
      </c>
      <c r="B162" s="34" t="s">
        <v>494</v>
      </c>
      <c r="C162" s="34" t="s">
        <v>494</v>
      </c>
      <c r="D162" s="33" t="s">
        <v>495</v>
      </c>
      <c r="E162" s="34">
        <f>IF(_xlfn.IFNA(VLOOKUP(B162,Data!B:G,3,FALSE),"")=0, "", _xlfn.IFNA(VLOOKUP(B162,Data!B:G,3,FALSE),""))</f>
        <v>3</v>
      </c>
      <c r="F162" s="66" t="s">
        <v>106</v>
      </c>
      <c r="H162" s="66" t="str">
        <f>IF(_xlfn.IFNA(VLOOKUP(C162,Data!A:G,5,FALSE),"")=0, "Check course registration information", _xlfn.IFNA(VLOOKUP(C162,Data!A:G,5,FALSE),""))</f>
        <v>IE 37000</v>
      </c>
      <c r="J162" s="33" t="str">
        <f>IF(_xlfn.IFNA(VLOOKUP(C162,Data!A:G,6,FALSE),"")=0, "Check course registration information", _xlfn.IFNA(VLOOKUP(C162,Data!A:G,6,FALSE),""))</f>
        <v>Theories and applications of materials forming and removal processes in manufacturing, including product properties, process capabilities, processing equipment design, and economics. A systems approach to all aspects of manufacturing process engineering</v>
      </c>
      <c r="K162" s="33" t="str">
        <f>IF(_xlfn.IFNA(VLOOKUP(C162,Data!A:H,7,FALSE),"")=0, "", _xlfn.IFNA(HYPERLINK(VLOOKUP(C162,Data!A:H,7,FALSE),"Catalog Link"),""))</f>
        <v>Catalog Link</v>
      </c>
      <c r="L162" s="33" t="str">
        <f>IF(_xlfn.IFNA(VLOOKUP(C162,Data!A:I,8,FALSE),"")=0, "", _xlfn.IFNA(HYPERLINK(VLOOKUP(C162,Data!A:I,8,FALSE),"Additional Information"),""))</f>
        <v/>
      </c>
      <c r="M162" s="34">
        <f t="shared" si="3"/>
        <v>5</v>
      </c>
      <c r="N162" s="42" t="s">
        <v>63</v>
      </c>
      <c r="O162" s="42" t="s">
        <v>63</v>
      </c>
      <c r="P162" s="42" t="s">
        <v>63</v>
      </c>
      <c r="Q162" s="42" t="s">
        <v>63</v>
      </c>
      <c r="R162" s="42" t="s">
        <v>63</v>
      </c>
      <c r="S162" s="42" t="s">
        <v>63</v>
      </c>
      <c r="T162" s="42" t="s">
        <v>63</v>
      </c>
      <c r="U162" s="42" t="s">
        <v>64</v>
      </c>
      <c r="V162" s="42" t="s">
        <v>63</v>
      </c>
      <c r="W162" s="42" t="s">
        <v>63</v>
      </c>
      <c r="X162" s="42" t="s">
        <v>63</v>
      </c>
      <c r="Y162" s="42" t="s">
        <v>63</v>
      </c>
      <c r="Z162" s="42" t="s">
        <v>64</v>
      </c>
      <c r="AA162" s="42" t="s">
        <v>63</v>
      </c>
      <c r="AB162" s="42" t="s">
        <v>63</v>
      </c>
      <c r="AC162" s="42"/>
      <c r="AD162" s="42" t="s">
        <v>63</v>
      </c>
      <c r="AE162" s="42" t="s">
        <v>63</v>
      </c>
      <c r="AF162" s="42" t="s">
        <v>63</v>
      </c>
      <c r="AG162" s="42" t="s">
        <v>64</v>
      </c>
      <c r="AH162" s="42" t="s">
        <v>63</v>
      </c>
      <c r="AI162" s="42"/>
      <c r="AJ162" s="42" t="s">
        <v>63</v>
      </c>
      <c r="AK162" s="42"/>
      <c r="AL162" s="42" t="s">
        <v>63</v>
      </c>
      <c r="AM162" s="42"/>
      <c r="AN162" s="42" t="s">
        <v>63</v>
      </c>
      <c r="AO162" s="42" t="s">
        <v>63</v>
      </c>
      <c r="AP162" s="42" t="s">
        <v>63</v>
      </c>
      <c r="AQ162" s="42" t="s">
        <v>63</v>
      </c>
      <c r="AR162" s="42" t="s">
        <v>64</v>
      </c>
      <c r="AS162" s="42"/>
      <c r="AT162" s="42" t="s">
        <v>63</v>
      </c>
      <c r="AU162" s="42"/>
      <c r="AV162" s="42"/>
      <c r="AW162" s="42" t="s">
        <v>63</v>
      </c>
      <c r="AX162" s="42" t="s">
        <v>63</v>
      </c>
      <c r="AY162" s="42" t="s">
        <v>63</v>
      </c>
      <c r="AZ162" s="42" t="s">
        <v>63</v>
      </c>
      <c r="BA162" s="42"/>
      <c r="BB162" s="42" t="s">
        <v>63</v>
      </c>
      <c r="BC162" s="42" t="s">
        <v>63</v>
      </c>
      <c r="BD162" s="42" t="s">
        <v>64</v>
      </c>
      <c r="BE162" s="42" t="s">
        <v>63</v>
      </c>
      <c r="BF162" s="42" t="s">
        <v>63</v>
      </c>
      <c r="BG162" s="42" t="s">
        <v>63</v>
      </c>
      <c r="BH162" s="42" t="s">
        <v>63</v>
      </c>
      <c r="BI162" s="42" t="s">
        <v>63</v>
      </c>
      <c r="BJ162" s="42" t="s">
        <v>63</v>
      </c>
      <c r="BK162" s="42" t="s">
        <v>63</v>
      </c>
      <c r="BL162" s="42" t="s">
        <v>63</v>
      </c>
    </row>
    <row r="163" spans="1:64">
      <c r="A163" s="33" t="s">
        <v>1176</v>
      </c>
      <c r="B163" s="34" t="s">
        <v>498</v>
      </c>
      <c r="C163" s="34" t="s">
        <v>498</v>
      </c>
      <c r="D163" s="33" t="s">
        <v>499</v>
      </c>
      <c r="E163" s="34">
        <f>IF(_xlfn.IFNA(VLOOKUP(B163,Data!B:G,3,FALSE),"")=0, "", _xlfn.IFNA(VLOOKUP(B163,Data!B:G,3,FALSE),""))</f>
        <v>3</v>
      </c>
      <c r="F163" s="66" t="s">
        <v>106</v>
      </c>
      <c r="H163" s="66" t="str">
        <f>IF(_xlfn.IFNA(VLOOKUP(C163,Data!A:G,5,FALSE),"")=0, "Check course registration information", _xlfn.IFNA(VLOOKUP(C163,Data!A:G,5,FALSE),""))</f>
        <v>IE 38300</v>
      </c>
      <c r="J163" s="33" t="str">
        <f>IF(_xlfn.IFNA(VLOOKUP(C163,Data!A:G,6,FALSE),"")=0, "Check course registration information", _xlfn.IFNA(VLOOKUP(C163,Data!A:G,6,FALSE),""))</f>
        <v>Design and control of discrete part manufacturing systems in contemporary production environments, with emphasis on flexible, demand-driven, product-based manufacturing. Currently used planning and control methodologies, such as MRP, OPT, and JIT are reviewed and integrated with appropriate facility design methodologies, including cellular design algorithms. Introduction to Computer Integrated Manufacturing (CIM) architecture and reference models and relevant control procedures, including basis approaches to appropriate data management methodologies</v>
      </c>
      <c r="K163" s="33" t="str">
        <f>IF(_xlfn.IFNA(VLOOKUP(C163,Data!A:H,7,FALSE),"")=0, "", _xlfn.IFNA(HYPERLINK(VLOOKUP(C163,Data!A:H,7,FALSE),"Catalog Link"),""))</f>
        <v>Catalog Link</v>
      </c>
      <c r="L163" s="33" t="str">
        <f>IF(_xlfn.IFNA(VLOOKUP(C163,Data!A:I,8,FALSE),"")=0, "", _xlfn.IFNA(HYPERLINK(VLOOKUP(C163,Data!A:I,8,FALSE),"Additional Information"),""))</f>
        <v/>
      </c>
      <c r="M163" s="34">
        <f t="shared" si="3"/>
        <v>4</v>
      </c>
      <c r="N163" s="42" t="s">
        <v>63</v>
      </c>
      <c r="O163" s="42" t="s">
        <v>63</v>
      </c>
      <c r="P163" s="42" t="s">
        <v>63</v>
      </c>
      <c r="Q163" s="42" t="s">
        <v>63</v>
      </c>
      <c r="R163" s="42" t="s">
        <v>63</v>
      </c>
      <c r="S163" s="42" t="s">
        <v>63</v>
      </c>
      <c r="T163" s="42" t="s">
        <v>63</v>
      </c>
      <c r="U163" s="42" t="s">
        <v>64</v>
      </c>
      <c r="V163" s="42" t="s">
        <v>63</v>
      </c>
      <c r="W163" s="42" t="s">
        <v>63</v>
      </c>
      <c r="X163" s="42" t="s">
        <v>63</v>
      </c>
      <c r="Y163" s="42" t="s">
        <v>63</v>
      </c>
      <c r="Z163" s="42" t="s">
        <v>64</v>
      </c>
      <c r="AA163" s="42" t="s">
        <v>63</v>
      </c>
      <c r="AB163" s="42" t="s">
        <v>63</v>
      </c>
      <c r="AC163" s="42"/>
      <c r="AD163" s="42" t="s">
        <v>63</v>
      </c>
      <c r="AE163" s="42" t="s">
        <v>63</v>
      </c>
      <c r="AF163" s="42" t="s">
        <v>63</v>
      </c>
      <c r="AG163" s="42" t="s">
        <v>63</v>
      </c>
      <c r="AH163" s="42" t="s">
        <v>63</v>
      </c>
      <c r="AI163" s="42"/>
      <c r="AJ163" s="42" t="s">
        <v>63</v>
      </c>
      <c r="AK163" s="42"/>
      <c r="AL163" s="42" t="s">
        <v>63</v>
      </c>
      <c r="AM163" s="42"/>
      <c r="AN163" s="42" t="s">
        <v>63</v>
      </c>
      <c r="AO163" s="42" t="s">
        <v>63</v>
      </c>
      <c r="AP163" s="42" t="s">
        <v>63</v>
      </c>
      <c r="AQ163" s="42" t="s">
        <v>63</v>
      </c>
      <c r="AR163" s="42" t="s">
        <v>64</v>
      </c>
      <c r="AS163" s="42"/>
      <c r="AT163" s="42" t="s">
        <v>63</v>
      </c>
      <c r="AU163" s="42"/>
      <c r="AV163" s="42"/>
      <c r="AW163" s="42" t="s">
        <v>63</v>
      </c>
      <c r="AX163" s="42" t="s">
        <v>63</v>
      </c>
      <c r="AY163" s="42" t="s">
        <v>63</v>
      </c>
      <c r="AZ163" s="42" t="s">
        <v>63</v>
      </c>
      <c r="BA163" s="42"/>
      <c r="BB163" s="42" t="s">
        <v>63</v>
      </c>
      <c r="BC163" s="42" t="s">
        <v>63</v>
      </c>
      <c r="BD163" s="42" t="s">
        <v>64</v>
      </c>
      <c r="BE163" s="42" t="s">
        <v>63</v>
      </c>
      <c r="BF163" s="42" t="s">
        <v>63</v>
      </c>
      <c r="BG163" s="42" t="s">
        <v>63</v>
      </c>
      <c r="BH163" s="42" t="s">
        <v>63</v>
      </c>
      <c r="BI163" s="42" t="s">
        <v>63</v>
      </c>
      <c r="BJ163" s="42" t="s">
        <v>63</v>
      </c>
      <c r="BK163" s="42" t="s">
        <v>63</v>
      </c>
      <c r="BL163" s="42" t="s">
        <v>63</v>
      </c>
    </row>
    <row r="164" spans="1:64">
      <c r="A164" s="33" t="s">
        <v>1176</v>
      </c>
      <c r="B164" s="34" t="s">
        <v>368</v>
      </c>
      <c r="C164" s="34" t="s">
        <v>368</v>
      </c>
      <c r="D164" s="33" t="s">
        <v>369</v>
      </c>
      <c r="E164" s="34">
        <f>IF(_xlfn.IFNA(VLOOKUP(B164,Data!B:G,3,FALSE),"")=0, "", _xlfn.IFNA(VLOOKUP(B164,Data!B:G,3,FALSE),""))</f>
        <v>3</v>
      </c>
      <c r="F164" s="66" t="s">
        <v>348</v>
      </c>
      <c r="H164" s="66" t="str">
        <f>IF(_xlfn.IFNA(VLOOKUP(C164,Data!A:G,5,FALSE),"")=0, "Check course registration information", _xlfn.IFNA(VLOOKUP(C164,Data!A:G,5,FALSE),""))</f>
        <v>IE 48400</v>
      </c>
      <c r="J164" s="33" t="str">
        <f>IF(_xlfn.IFNA(VLOOKUP(C164,Data!A:G,6,FALSE),"")=0, "Check course registration information", _xlfn.IFNA(VLOOKUP(C164,Data!A:G,6,FALSE),""))</f>
        <v>Study of the theoretical and applied aspects of manufacturing systems layout. Emphasis on contemporary manufacturing, including the layout of cellular systems, automated material handling systems, and storage systems</v>
      </c>
      <c r="K164" s="33" t="str">
        <f>IF(_xlfn.IFNA(VLOOKUP(C164,Data!A:H,7,FALSE),"")=0, "", _xlfn.IFNA(HYPERLINK(VLOOKUP(C164,Data!A:H,7,FALSE),"Catalog Link"),""))</f>
        <v>Catalog Link</v>
      </c>
      <c r="L164" s="33" t="str">
        <f>IF(_xlfn.IFNA(VLOOKUP(C164,Data!A:I,8,FALSE),"")=0, "", _xlfn.IFNA(HYPERLINK(VLOOKUP(C164,Data!A:I,8,FALSE),"Additional Information"),""))</f>
        <v/>
      </c>
      <c r="M164" s="34">
        <f t="shared" si="3"/>
        <v>6</v>
      </c>
      <c r="N164" s="42" t="s">
        <v>63</v>
      </c>
      <c r="O164" s="42" t="s">
        <v>63</v>
      </c>
      <c r="P164" s="42" t="s">
        <v>63</v>
      </c>
      <c r="Q164" s="42" t="s">
        <v>63</v>
      </c>
      <c r="R164" s="42" t="s">
        <v>63</v>
      </c>
      <c r="S164" s="42" t="s">
        <v>63</v>
      </c>
      <c r="T164" s="42" t="s">
        <v>63</v>
      </c>
      <c r="U164" s="42" t="s">
        <v>64</v>
      </c>
      <c r="V164" s="42" t="s">
        <v>64</v>
      </c>
      <c r="W164" s="42" t="s">
        <v>63</v>
      </c>
      <c r="X164" s="42" t="s">
        <v>63</v>
      </c>
      <c r="Y164" s="42" t="s">
        <v>63</v>
      </c>
      <c r="Z164" s="42" t="s">
        <v>64</v>
      </c>
      <c r="AA164" s="42" t="s">
        <v>63</v>
      </c>
      <c r="AB164" s="42" t="s">
        <v>63</v>
      </c>
      <c r="AC164" s="42" t="s">
        <v>64</v>
      </c>
      <c r="AD164" s="42" t="s">
        <v>63</v>
      </c>
      <c r="AE164" s="42" t="s">
        <v>63</v>
      </c>
      <c r="AF164" s="42" t="s">
        <v>63</v>
      </c>
      <c r="AG164" s="42" t="s">
        <v>63</v>
      </c>
      <c r="AH164" s="42" t="s">
        <v>63</v>
      </c>
      <c r="AI164" s="42"/>
      <c r="AJ164" s="42" t="s">
        <v>63</v>
      </c>
      <c r="AK164" s="42"/>
      <c r="AL164" s="42" t="s">
        <v>63</v>
      </c>
      <c r="AM164" s="42"/>
      <c r="AN164" s="42" t="s">
        <v>63</v>
      </c>
      <c r="AO164" s="42" t="s">
        <v>63</v>
      </c>
      <c r="AP164" s="42" t="s">
        <v>63</v>
      </c>
      <c r="AQ164" s="42" t="s">
        <v>63</v>
      </c>
      <c r="AR164" s="42"/>
      <c r="AS164" s="42" t="s">
        <v>63</v>
      </c>
      <c r="AT164" s="42" t="s">
        <v>63</v>
      </c>
      <c r="AU164" s="42"/>
      <c r="AV164" s="42"/>
      <c r="AW164" s="42" t="s">
        <v>63</v>
      </c>
      <c r="AX164" s="42" t="s">
        <v>63</v>
      </c>
      <c r="AY164" s="42" t="s">
        <v>64</v>
      </c>
      <c r="AZ164" s="42" t="s">
        <v>63</v>
      </c>
      <c r="BA164" s="42"/>
      <c r="BB164" s="42" t="s">
        <v>63</v>
      </c>
      <c r="BC164" s="42" t="s">
        <v>63</v>
      </c>
      <c r="BD164" s="42" t="s">
        <v>63</v>
      </c>
      <c r="BE164" s="42" t="s">
        <v>63</v>
      </c>
      <c r="BF164" s="42" t="s">
        <v>63</v>
      </c>
      <c r="BG164" s="42" t="s">
        <v>63</v>
      </c>
      <c r="BH164" s="42" t="s">
        <v>63</v>
      </c>
      <c r="BI164" s="42" t="s">
        <v>64</v>
      </c>
      <c r="BJ164" s="42" t="s">
        <v>63</v>
      </c>
      <c r="BK164" s="42" t="s">
        <v>63</v>
      </c>
      <c r="BL164" s="42" t="s">
        <v>63</v>
      </c>
    </row>
    <row r="165" spans="1:64">
      <c r="A165" s="33" t="s">
        <v>1176</v>
      </c>
      <c r="B165" s="34" t="s">
        <v>502</v>
      </c>
      <c r="C165" s="34" t="s">
        <v>502</v>
      </c>
      <c r="D165" s="33" t="s">
        <v>503</v>
      </c>
      <c r="E165" s="34">
        <f>IF(_xlfn.IFNA(VLOOKUP(B165,Data!B:G,3,FALSE),"")=0, "", _xlfn.IFNA(VLOOKUP(B165,Data!B:G,3,FALSE),""))</f>
        <v>3</v>
      </c>
      <c r="F165" s="66" t="s">
        <v>106</v>
      </c>
      <c r="H165" s="66" t="str">
        <f>IF(_xlfn.IFNA(VLOOKUP(C165,Data!A:G,5,FALSE),"")=0, "Check course registration information", _xlfn.IFNA(VLOOKUP(C165,Data!A:G,5,FALSE),""))</f>
        <v>IE 48400</v>
      </c>
      <c r="J165" s="33" t="str">
        <f>IF(_xlfn.IFNA(VLOOKUP(C165,Data!A:G,6,FALSE),"")=0, "Check course registration information", _xlfn.IFNA(VLOOKUP(C165,Data!A:G,6,FALSE),""))</f>
        <v>Analysis for design and evaluation of material handling systems with emphasis on material flow control and storage. Analytic models and simulation used. Economic justification models for material handling systems</v>
      </c>
      <c r="K165" s="33" t="str">
        <f>IF(_xlfn.IFNA(VLOOKUP(C165,Data!A:H,7,FALSE),"")=0, "", _xlfn.IFNA(HYPERLINK(VLOOKUP(C165,Data!A:H,7,FALSE),"Catalog Link"),""))</f>
        <v>Catalog Link</v>
      </c>
      <c r="L165" s="33" t="str">
        <f>IF(_xlfn.IFNA(VLOOKUP(C165,Data!A:I,8,FALSE),"")=0, "", _xlfn.IFNA(HYPERLINK(VLOOKUP(C165,Data!A:I,8,FALSE),"Additional Information"),""))</f>
        <v/>
      </c>
      <c r="M165" s="34">
        <f t="shared" si="3"/>
        <v>4</v>
      </c>
      <c r="N165" s="42" t="s">
        <v>63</v>
      </c>
      <c r="O165" s="42" t="s">
        <v>63</v>
      </c>
      <c r="P165" s="42" t="s">
        <v>63</v>
      </c>
      <c r="Q165" s="42" t="s">
        <v>63</v>
      </c>
      <c r="R165" s="42" t="s">
        <v>63</v>
      </c>
      <c r="S165" s="42" t="s">
        <v>63</v>
      </c>
      <c r="T165" s="42" t="s">
        <v>63</v>
      </c>
      <c r="U165" s="42" t="s">
        <v>64</v>
      </c>
      <c r="V165" s="42" t="s">
        <v>63</v>
      </c>
      <c r="W165" s="42" t="s">
        <v>63</v>
      </c>
      <c r="X165" s="42" t="s">
        <v>63</v>
      </c>
      <c r="Y165" s="42" t="s">
        <v>63</v>
      </c>
      <c r="Z165" s="42" t="s">
        <v>64</v>
      </c>
      <c r="AA165" s="42" t="s">
        <v>63</v>
      </c>
      <c r="AB165" s="42" t="s">
        <v>63</v>
      </c>
      <c r="AC165" s="42" t="s">
        <v>64</v>
      </c>
      <c r="AD165" s="42" t="s">
        <v>63</v>
      </c>
      <c r="AE165" s="42" t="s">
        <v>63</v>
      </c>
      <c r="AF165" s="42" t="s">
        <v>63</v>
      </c>
      <c r="AG165" s="42" t="s">
        <v>63</v>
      </c>
      <c r="AH165" s="42" t="s">
        <v>63</v>
      </c>
      <c r="AI165" s="42"/>
      <c r="AJ165" s="42" t="s">
        <v>63</v>
      </c>
      <c r="AK165" s="42"/>
      <c r="AL165" s="42" t="s">
        <v>63</v>
      </c>
      <c r="AM165" s="42"/>
      <c r="AN165" s="42" t="s">
        <v>63</v>
      </c>
      <c r="AO165" s="42" t="s">
        <v>63</v>
      </c>
      <c r="AP165" s="42" t="s">
        <v>63</v>
      </c>
      <c r="AQ165" s="42" t="s">
        <v>63</v>
      </c>
      <c r="AR165" s="42"/>
      <c r="AS165" s="42" t="s">
        <v>63</v>
      </c>
      <c r="AT165" s="42" t="s">
        <v>63</v>
      </c>
      <c r="AU165" s="42"/>
      <c r="AV165" s="42"/>
      <c r="AW165" s="42" t="s">
        <v>63</v>
      </c>
      <c r="AX165" s="42" t="s">
        <v>63</v>
      </c>
      <c r="AY165" s="42" t="s">
        <v>63</v>
      </c>
      <c r="AZ165" s="42" t="s">
        <v>63</v>
      </c>
      <c r="BA165" s="42"/>
      <c r="BB165" s="42" t="s">
        <v>63</v>
      </c>
      <c r="BC165" s="42" t="s">
        <v>63</v>
      </c>
      <c r="BD165" s="42" t="s">
        <v>64</v>
      </c>
      <c r="BE165" s="42" t="s">
        <v>63</v>
      </c>
      <c r="BF165" s="42" t="s">
        <v>63</v>
      </c>
      <c r="BG165" s="42" t="s">
        <v>63</v>
      </c>
      <c r="BH165" s="42" t="s">
        <v>63</v>
      </c>
      <c r="BI165" s="42" t="s">
        <v>63</v>
      </c>
      <c r="BJ165" s="42" t="s">
        <v>63</v>
      </c>
      <c r="BK165" s="42" t="s">
        <v>63</v>
      </c>
      <c r="BL165" s="42" t="s">
        <v>63</v>
      </c>
    </row>
    <row r="166" spans="1:64" s="36" customFormat="1" ht="15.75">
      <c r="A166" s="33" t="s">
        <v>1177</v>
      </c>
      <c r="B166" s="34" t="s">
        <v>372</v>
      </c>
      <c r="C166" s="34" t="s">
        <v>372</v>
      </c>
      <c r="D166" s="33" t="s">
        <v>373</v>
      </c>
      <c r="E166" s="34">
        <f>IF(_xlfn.IFNA(VLOOKUP(B166,Data!B:G,3,FALSE),"")=0, "", _xlfn.IFNA(VLOOKUP(B166,Data!B:G,3,FALSE),""))</f>
        <v>3</v>
      </c>
      <c r="F166" s="33" t="s">
        <v>1175</v>
      </c>
      <c r="G166" s="33"/>
      <c r="H166" s="33" t="str">
        <f>IF(_xlfn.IFNA(VLOOKUP(C166,Data!A:G,5,FALSE),"")=0, "Check course registration information", _xlfn.IFNA(VLOOKUP(C166,Data!A:G,5,FALSE),""))</f>
        <v>Check course registration information</v>
      </c>
      <c r="I166" s="33"/>
      <c r="J166" s="33" t="str">
        <f>IF(_xlfn.IFNA(VLOOKUP(C166,Data!A:G,6,FALSE),"")=0, "Check course registration information", _xlfn.IFNA(VLOOKUP(C166,Data!A:G,6,FALSE),""))</f>
        <v>A study of sales models and techniques for technical and service sales in business-to-business environments, including development of channel relationships, long-term sales agreements, customer relationship management efforts, total cost of ownership tools and complex sales presentations. Covers critical sales skills such as e-economy sales and marketing, lead management, building credibility, consultative selling, ethical negotiations, and sustainable product management</v>
      </c>
      <c r="K166" s="33" t="str">
        <f>IF(_xlfn.IFNA(VLOOKUP(C166,Data!A:H,7,FALSE),"")=0, "", _xlfn.IFNA(HYPERLINK(VLOOKUP(C166,Data!A:H,7,FALSE),"Catalog Link"),""))</f>
        <v>Catalog Link</v>
      </c>
      <c r="L166" s="33" t="str">
        <f>IF(_xlfn.IFNA(VLOOKUP(C166,Data!A:I,8,FALSE),"")=0, "", _xlfn.IFNA(HYPERLINK(VLOOKUP(C166,Data!A:I,8,FALSE),"Additional Information"),""))</f>
        <v/>
      </c>
      <c r="M166" s="34">
        <f t="shared" si="3"/>
        <v>0</v>
      </c>
      <c r="N166" s="42" t="s">
        <v>63</v>
      </c>
      <c r="O166" s="42" t="s">
        <v>63</v>
      </c>
      <c r="P166" s="42" t="s">
        <v>63</v>
      </c>
      <c r="Q166" s="42" t="s">
        <v>63</v>
      </c>
      <c r="R166" s="42" t="s">
        <v>63</v>
      </c>
      <c r="S166" s="42" t="s">
        <v>63</v>
      </c>
      <c r="T166" s="42" t="s">
        <v>63</v>
      </c>
      <c r="U166" s="42" t="s">
        <v>63</v>
      </c>
      <c r="V166" s="42" t="s">
        <v>63</v>
      </c>
      <c r="W166" s="42" t="s">
        <v>63</v>
      </c>
      <c r="X166" s="42" t="s">
        <v>63</v>
      </c>
      <c r="Y166" s="42" t="s">
        <v>63</v>
      </c>
      <c r="Z166" s="42" t="s">
        <v>63</v>
      </c>
      <c r="AA166" s="42" t="s">
        <v>63</v>
      </c>
      <c r="AB166" s="42" t="s">
        <v>63</v>
      </c>
      <c r="AC166" s="42"/>
      <c r="AD166" s="42" t="s">
        <v>63</v>
      </c>
      <c r="AE166" s="42" t="s">
        <v>63</v>
      </c>
      <c r="AF166" s="42" t="s">
        <v>63</v>
      </c>
      <c r="AG166" s="42" t="s">
        <v>63</v>
      </c>
      <c r="AH166" s="42" t="s">
        <v>63</v>
      </c>
      <c r="AI166" s="42"/>
      <c r="AJ166" s="42" t="s">
        <v>63</v>
      </c>
      <c r="AK166" s="42"/>
      <c r="AL166" s="42" t="s">
        <v>63</v>
      </c>
      <c r="AM166" s="42"/>
      <c r="AN166" s="42" t="s">
        <v>63</v>
      </c>
      <c r="AO166" s="42" t="s">
        <v>63</v>
      </c>
      <c r="AP166" s="42" t="s">
        <v>63</v>
      </c>
      <c r="AQ166" s="42" t="s">
        <v>63</v>
      </c>
      <c r="AR166" s="42"/>
      <c r="AS166" s="42" t="s">
        <v>63</v>
      </c>
      <c r="AT166" s="42" t="s">
        <v>63</v>
      </c>
      <c r="AU166" s="42"/>
      <c r="AV166" s="42"/>
      <c r="AW166" s="42" t="s">
        <v>63</v>
      </c>
      <c r="AX166" s="42" t="s">
        <v>63</v>
      </c>
      <c r="AY166" s="42" t="s">
        <v>63</v>
      </c>
      <c r="AZ166" s="42" t="s">
        <v>63</v>
      </c>
      <c r="BA166" s="42"/>
      <c r="BB166" s="42" t="s">
        <v>63</v>
      </c>
      <c r="BC166" s="42" t="s">
        <v>63</v>
      </c>
      <c r="BD166" s="42" t="s">
        <v>63</v>
      </c>
      <c r="BE166" s="42" t="s">
        <v>63</v>
      </c>
      <c r="BF166" s="42" t="s">
        <v>63</v>
      </c>
      <c r="BG166" s="42" t="s">
        <v>63</v>
      </c>
      <c r="BH166" s="42" t="s">
        <v>63</v>
      </c>
      <c r="BI166" s="42" t="s">
        <v>63</v>
      </c>
      <c r="BJ166" s="42" t="s">
        <v>63</v>
      </c>
      <c r="BK166" s="42" t="s">
        <v>63</v>
      </c>
      <c r="BL166" s="42" t="s">
        <v>63</v>
      </c>
    </row>
    <row r="167" spans="1:64">
      <c r="A167" s="33" t="s">
        <v>1176</v>
      </c>
      <c r="B167" s="34" t="s">
        <v>657</v>
      </c>
      <c r="C167" s="34" t="s">
        <v>657</v>
      </c>
      <c r="D167" s="33" t="s">
        <v>505</v>
      </c>
      <c r="E167" s="34">
        <f>IF(_xlfn.IFNA(VLOOKUP(B167,Data!B:G,3,FALSE),"")=0, "", _xlfn.IFNA(VLOOKUP(B167,Data!B:G,3,FALSE),""))</f>
        <v>3</v>
      </c>
      <c r="F167" s="66" t="s">
        <v>106</v>
      </c>
      <c r="H167" s="66" t="str">
        <f>IF(_xlfn.IFNA(VLOOKUP(C167,Data!A:G,5,FALSE),"")=0, "Check course registration information", _xlfn.IFNA(VLOOKUP(C167,Data!A:G,5,FALSE),""))</f>
        <v>Junior status and above</v>
      </c>
      <c r="J167" s="33" t="str">
        <f>IF(_xlfn.IFNA(VLOOKUP(C167,Data!A:G,6,FALSE),"")=0, "Check course registration information", _xlfn.IFNA(VLOOKUP(C167,Data!A:G,6,FALSE),""))</f>
        <v>Manufacturing processes for engineering materials, both metallic and non-metallic. Fundamentals of manufacturing processes with a "hands-on" laboratory sequence. Analysis and design of processes for various engineering materials and their link to engineering design. Hands-on experiences through laboratory experiments and demonstrations. Not open to students with credit in IE 37000</v>
      </c>
      <c r="K167" s="33" t="str">
        <f>IF(_xlfn.IFNA(VLOOKUP(C167,Data!A:H,7,FALSE),"")=0, "", _xlfn.IFNA(HYPERLINK(VLOOKUP(C167,Data!A:H,7,FALSE),"Catalog Link"),""))</f>
        <v>Catalog Link</v>
      </c>
      <c r="L167" s="33" t="str">
        <f>IF(_xlfn.IFNA(VLOOKUP(C167,Data!A:I,8,FALSE),"")=0, "", _xlfn.IFNA(HYPERLINK(VLOOKUP(C167,Data!A:I,8,FALSE),"Additional Information"),""))</f>
        <v/>
      </c>
      <c r="M167" s="34">
        <f t="shared" si="3"/>
        <v>1</v>
      </c>
      <c r="N167" s="42" t="s">
        <v>63</v>
      </c>
      <c r="O167" s="42" t="s">
        <v>63</v>
      </c>
      <c r="P167" s="42" t="s">
        <v>63</v>
      </c>
      <c r="Q167" s="42" t="s">
        <v>63</v>
      </c>
      <c r="R167" s="42" t="s">
        <v>63</v>
      </c>
      <c r="S167" s="42" t="s">
        <v>63</v>
      </c>
      <c r="T167" s="42" t="s">
        <v>63</v>
      </c>
      <c r="U167" s="42" t="s">
        <v>63</v>
      </c>
      <c r="V167" s="42" t="s">
        <v>63</v>
      </c>
      <c r="W167" s="42" t="s">
        <v>63</v>
      </c>
      <c r="X167" s="42" t="s">
        <v>63</v>
      </c>
      <c r="Y167" s="42" t="s">
        <v>63</v>
      </c>
      <c r="Z167" s="42" t="s">
        <v>63</v>
      </c>
      <c r="AA167" s="42" t="s">
        <v>63</v>
      </c>
      <c r="AB167" s="42" t="s">
        <v>63</v>
      </c>
      <c r="AC167" s="42"/>
      <c r="AD167" s="42" t="s">
        <v>63</v>
      </c>
      <c r="AE167" s="42" t="s">
        <v>63</v>
      </c>
      <c r="AF167" s="42" t="s">
        <v>63</v>
      </c>
      <c r="AG167" s="42" t="s">
        <v>63</v>
      </c>
      <c r="AH167" s="42" t="s">
        <v>63</v>
      </c>
      <c r="AI167" s="42"/>
      <c r="AJ167" s="42" t="s">
        <v>63</v>
      </c>
      <c r="AK167" s="42"/>
      <c r="AL167" s="42" t="s">
        <v>63</v>
      </c>
      <c r="AM167" s="42"/>
      <c r="AN167" s="42" t="s">
        <v>63</v>
      </c>
      <c r="AO167" s="42" t="s">
        <v>63</v>
      </c>
      <c r="AP167" s="42" t="s">
        <v>63</v>
      </c>
      <c r="AQ167" s="42" t="s">
        <v>63</v>
      </c>
      <c r="AR167" s="42"/>
      <c r="AS167" s="42" t="s">
        <v>63</v>
      </c>
      <c r="AT167" s="42" t="s">
        <v>63</v>
      </c>
      <c r="AU167" s="42"/>
      <c r="AV167" s="42"/>
      <c r="AW167" s="42" t="s">
        <v>63</v>
      </c>
      <c r="AX167" s="42" t="s">
        <v>63</v>
      </c>
      <c r="AY167" s="42" t="s">
        <v>63</v>
      </c>
      <c r="AZ167" s="42" t="s">
        <v>63</v>
      </c>
      <c r="BA167" s="42"/>
      <c r="BB167" s="42" t="s">
        <v>63</v>
      </c>
      <c r="BC167" s="42" t="s">
        <v>63</v>
      </c>
      <c r="BD167" s="42" t="s">
        <v>64</v>
      </c>
      <c r="BE167" s="42" t="s">
        <v>63</v>
      </c>
      <c r="BF167" s="42" t="s">
        <v>63</v>
      </c>
      <c r="BG167" s="42" t="s">
        <v>63</v>
      </c>
      <c r="BH167" s="42" t="s">
        <v>63</v>
      </c>
      <c r="BI167" s="42" t="s">
        <v>63</v>
      </c>
      <c r="BJ167" s="42" t="s">
        <v>63</v>
      </c>
      <c r="BK167" s="42" t="s">
        <v>63</v>
      </c>
      <c r="BL167" s="42" t="s">
        <v>63</v>
      </c>
    </row>
    <row r="168" spans="1:64">
      <c r="A168" s="33" t="s">
        <v>1177</v>
      </c>
      <c r="B168" s="34" t="s">
        <v>659</v>
      </c>
      <c r="C168" s="34" t="s">
        <v>659</v>
      </c>
      <c r="D168" s="33" t="s">
        <v>377</v>
      </c>
      <c r="E168" s="34">
        <f>IF(_xlfn.IFNA(VLOOKUP(B168,Data!B:G,3,FALSE),"")=0, "", _xlfn.IFNA(VLOOKUP(B168,Data!B:G,3,FALSE),""))</f>
        <v>3</v>
      </c>
      <c r="F168" s="33" t="s">
        <v>1175</v>
      </c>
      <c r="G168" s="33"/>
      <c r="H168" s="33" t="str">
        <f>IF(_xlfn.IFNA(VLOOKUP(C168,Data!A:G,5,FALSE),"")=0, "Check course registration information", _xlfn.IFNA(VLOOKUP(C168,Data!A:G,5,FALSE),""))</f>
        <v>ME 20000 and ME 30800</v>
      </c>
      <c r="J168" s="33" t="str">
        <f>IF(_xlfn.IFNA(VLOOKUP(C168,Data!A:G,6,FALSE),"")=0, "Check course registration information", _xlfn.IFNA(VLOOKUP(C168,Data!A:G,6,FALSE),""))</f>
        <v>Application of Thermodynamics, fluid mechanics, and heat transfer fundamentals to the design of energy systems. Applications include thermal regulation in buildings, electronic equipment, energy generation, conversion, and storage, manufacturing processes, and combustion processes. Beyond the fundamentals, this course will focus on design and analysis techniques, including analysis of energy costs, economics, and environmental issues</v>
      </c>
      <c r="K168" s="33" t="str">
        <f>IF(_xlfn.IFNA(VLOOKUP(C168,Data!A:H,7,FALSE),"")=0, "", _xlfn.IFNA(HYPERLINK(VLOOKUP(C168,Data!A:H,7,FALSE),"Catalog Link"),""))</f>
        <v>Catalog Link</v>
      </c>
      <c r="L168" s="33" t="str">
        <f>IF(_xlfn.IFNA(VLOOKUP(C168,Data!A:I,8,FALSE),"")=0, "", _xlfn.IFNA(HYPERLINK(VLOOKUP(C168,Data!A:I,8,FALSE),"Additional Information"),""))</f>
        <v/>
      </c>
      <c r="M168" s="34">
        <f t="shared" si="3"/>
        <v>1</v>
      </c>
      <c r="N168" s="42" t="s">
        <v>63</v>
      </c>
      <c r="O168" s="42" t="s">
        <v>63</v>
      </c>
      <c r="P168" s="42" t="s">
        <v>63</v>
      </c>
      <c r="Q168" s="42" t="s">
        <v>63</v>
      </c>
      <c r="R168" s="42" t="s">
        <v>63</v>
      </c>
      <c r="S168" s="42" t="s">
        <v>63</v>
      </c>
      <c r="T168" s="42" t="s">
        <v>63</v>
      </c>
      <c r="U168" s="42" t="s">
        <v>63</v>
      </c>
      <c r="V168" s="42" t="s">
        <v>63</v>
      </c>
      <c r="W168" s="42" t="s">
        <v>63</v>
      </c>
      <c r="X168" s="42" t="s">
        <v>63</v>
      </c>
      <c r="Y168" s="42" t="s">
        <v>63</v>
      </c>
      <c r="Z168" s="42" t="s">
        <v>63</v>
      </c>
      <c r="AA168" s="43" t="s">
        <v>63</v>
      </c>
      <c r="AB168" s="42" t="s">
        <v>63</v>
      </c>
      <c r="AC168" s="42"/>
      <c r="AD168" s="42" t="s">
        <v>63</v>
      </c>
      <c r="AE168" s="42" t="s">
        <v>63</v>
      </c>
      <c r="AF168" s="42" t="s">
        <v>63</v>
      </c>
      <c r="AG168" s="42" t="s">
        <v>63</v>
      </c>
      <c r="AH168" s="42" t="s">
        <v>63</v>
      </c>
      <c r="AI168" s="42"/>
      <c r="AJ168" s="42" t="s">
        <v>63</v>
      </c>
      <c r="AK168" s="42"/>
      <c r="AL168" s="42" t="s">
        <v>63</v>
      </c>
      <c r="AM168" s="42"/>
      <c r="AN168" s="42" t="s">
        <v>63</v>
      </c>
      <c r="AO168" s="42" t="s">
        <v>63</v>
      </c>
      <c r="AP168" s="42" t="s">
        <v>63</v>
      </c>
      <c r="AQ168" s="42" t="s">
        <v>63</v>
      </c>
      <c r="AR168" s="42"/>
      <c r="AS168" s="42" t="s">
        <v>63</v>
      </c>
      <c r="AT168" s="42" t="s">
        <v>63</v>
      </c>
      <c r="AU168" s="42"/>
      <c r="AV168" s="42"/>
      <c r="AW168" s="42" t="s">
        <v>63</v>
      </c>
      <c r="AX168" s="42" t="s">
        <v>63</v>
      </c>
      <c r="AY168" s="42" t="s">
        <v>63</v>
      </c>
      <c r="AZ168" s="42" t="s">
        <v>63</v>
      </c>
      <c r="BA168" s="42"/>
      <c r="BB168" s="42" t="s">
        <v>63</v>
      </c>
      <c r="BC168" s="42" t="s">
        <v>63</v>
      </c>
      <c r="BD168" s="42" t="s">
        <v>63</v>
      </c>
      <c r="BE168" s="42" t="s">
        <v>63</v>
      </c>
      <c r="BF168" s="42" t="s">
        <v>63</v>
      </c>
      <c r="BG168" s="42" t="s">
        <v>63</v>
      </c>
      <c r="BH168" s="42" t="s">
        <v>63</v>
      </c>
      <c r="BI168" s="42" t="s">
        <v>64</v>
      </c>
      <c r="BJ168" s="42" t="s">
        <v>63</v>
      </c>
      <c r="BK168" s="42" t="s">
        <v>63</v>
      </c>
      <c r="BL168" s="42" t="s">
        <v>63</v>
      </c>
    </row>
    <row r="169" spans="1:64" s="36" customFormat="1" ht="15.75">
      <c r="A169" s="33" t="s">
        <v>1177</v>
      </c>
      <c r="B169" s="34" t="s">
        <v>661</v>
      </c>
      <c r="C169" s="34" t="s">
        <v>661</v>
      </c>
      <c r="D169" s="33" t="s">
        <v>379</v>
      </c>
      <c r="E169" s="34">
        <f>IF(_xlfn.IFNA(VLOOKUP(B169,Data!B:G,3,FALSE),"")=0, "", _xlfn.IFNA(VLOOKUP(B169,Data!B:G,3,FALSE),""))</f>
        <v>3</v>
      </c>
      <c r="F169" s="33" t="s">
        <v>1175</v>
      </c>
      <c r="G169" s="33"/>
      <c r="H169" s="33" t="str">
        <f>IF(_xlfn.IFNA(VLOOKUP(C169,Data!A:G,5,FALSE),"")=0, "Check course registration information", _xlfn.IFNA(VLOOKUP(C169,Data!A:G,5,FALSE),""))</f>
        <v>Junior status and above</v>
      </c>
      <c r="I169" s="33"/>
      <c r="J169" s="33" t="str">
        <f>IF(_xlfn.IFNA(VLOOKUP(C169,Data!A:G,6,FALSE),"")=0, "Check course registration information", _xlfn.IFNA(VLOOKUP(C169,Data!A:G,6,FALSE),""))</f>
        <v>Introduction to advanced computer-aided design (CAD) for product design, modeling, and prototyping. Individual use and team-based environment to design and prototype a functional and marketable product. Projects include use of the advanced design tools to produce a working prototype that is manufacturable. Application to design, manufacturing, and analysis</v>
      </c>
      <c r="K169" s="33" t="str">
        <f>IF(_xlfn.IFNA(VLOOKUP(C169,Data!A:H,7,FALSE),"")=0, "", _xlfn.IFNA(HYPERLINK(VLOOKUP(C169,Data!A:H,7,FALSE),"Catalog Link"),""))</f>
        <v>Catalog Link</v>
      </c>
      <c r="L169" s="33" t="str">
        <f>IF(_xlfn.IFNA(VLOOKUP(C169,Data!A:I,8,FALSE),"")=0, "", _xlfn.IFNA(HYPERLINK(VLOOKUP(C169,Data!A:I,8,FALSE),"Additional Information"),""))</f>
        <v/>
      </c>
      <c r="M169" s="34">
        <f t="shared" si="3"/>
        <v>0</v>
      </c>
      <c r="N169" s="42" t="s">
        <v>63</v>
      </c>
      <c r="O169" s="42" t="s">
        <v>63</v>
      </c>
      <c r="P169" s="42" t="s">
        <v>63</v>
      </c>
      <c r="Q169" s="42" t="s">
        <v>63</v>
      </c>
      <c r="R169" s="42" t="s">
        <v>63</v>
      </c>
      <c r="S169" s="42" t="s">
        <v>63</v>
      </c>
      <c r="T169" s="42" t="s">
        <v>63</v>
      </c>
      <c r="U169" s="42" t="s">
        <v>63</v>
      </c>
      <c r="V169" s="42" t="s">
        <v>63</v>
      </c>
      <c r="W169" s="42" t="s">
        <v>63</v>
      </c>
      <c r="X169" s="42" t="s">
        <v>63</v>
      </c>
      <c r="Y169" s="42" t="s">
        <v>63</v>
      </c>
      <c r="Z169" s="42" t="s">
        <v>63</v>
      </c>
      <c r="AA169" s="43" t="s">
        <v>63</v>
      </c>
      <c r="AB169" s="42" t="s">
        <v>63</v>
      </c>
      <c r="AC169" s="42"/>
      <c r="AD169" s="42" t="s">
        <v>63</v>
      </c>
      <c r="AE169" s="42" t="s">
        <v>63</v>
      </c>
      <c r="AF169" s="42" t="s">
        <v>63</v>
      </c>
      <c r="AG169" s="42" t="s">
        <v>63</v>
      </c>
      <c r="AH169" s="42" t="s">
        <v>63</v>
      </c>
      <c r="AI169" s="42"/>
      <c r="AJ169" s="42" t="s">
        <v>63</v>
      </c>
      <c r="AK169" s="42"/>
      <c r="AL169" s="42" t="s">
        <v>63</v>
      </c>
      <c r="AM169" s="42"/>
      <c r="AN169" s="42" t="s">
        <v>63</v>
      </c>
      <c r="AO169" s="42" t="s">
        <v>63</v>
      </c>
      <c r="AP169" s="42" t="s">
        <v>63</v>
      </c>
      <c r="AQ169" s="42" t="s">
        <v>63</v>
      </c>
      <c r="AR169" s="42"/>
      <c r="AS169" s="42" t="s">
        <v>63</v>
      </c>
      <c r="AT169" s="42" t="s">
        <v>63</v>
      </c>
      <c r="AU169" s="42"/>
      <c r="AV169" s="42"/>
      <c r="AW169" s="42" t="s">
        <v>63</v>
      </c>
      <c r="AX169" s="42" t="s">
        <v>63</v>
      </c>
      <c r="AY169" s="42" t="s">
        <v>63</v>
      </c>
      <c r="AZ169" s="42" t="s">
        <v>63</v>
      </c>
      <c r="BA169" s="42"/>
      <c r="BB169" s="42" t="s">
        <v>63</v>
      </c>
      <c r="BC169" s="42" t="s">
        <v>63</v>
      </c>
      <c r="BD169" s="42" t="s">
        <v>63</v>
      </c>
      <c r="BE169" s="42" t="s">
        <v>63</v>
      </c>
      <c r="BF169" s="42" t="s">
        <v>63</v>
      </c>
      <c r="BG169" s="42" t="s">
        <v>63</v>
      </c>
      <c r="BH169" s="42" t="s">
        <v>63</v>
      </c>
      <c r="BI169" s="42" t="s">
        <v>63</v>
      </c>
      <c r="BJ169" s="42" t="s">
        <v>63</v>
      </c>
      <c r="BK169" s="42" t="s">
        <v>63</v>
      </c>
      <c r="BL169" s="42" t="s">
        <v>63</v>
      </c>
    </row>
    <row r="170" spans="1:64">
      <c r="A170" s="33" t="s">
        <v>1177</v>
      </c>
      <c r="B170" s="34" t="s">
        <v>663</v>
      </c>
      <c r="C170" s="34" t="s">
        <v>663</v>
      </c>
      <c r="D170" s="33" t="s">
        <v>381</v>
      </c>
      <c r="E170" s="34">
        <f>IF(_xlfn.IFNA(VLOOKUP(B170,Data!B:G,3,FALSE),"")=0, "", _xlfn.IFNA(VLOOKUP(B170,Data!B:G,3,FALSE),""))</f>
        <v>3</v>
      </c>
      <c r="F170" s="33" t="s">
        <v>1175</v>
      </c>
      <c r="G170" s="33"/>
      <c r="H170" s="33" t="str">
        <f>IF(_xlfn.IFNA(VLOOKUP(C170,Data!A:G,5,FALSE),"")=0, "Check course registration information", _xlfn.IFNA(VLOOKUP(C170,Data!A:G,5,FALSE),""))</f>
        <v>ME 37500</v>
      </c>
      <c r="J170" s="33" t="str">
        <f>IF(_xlfn.IFNA(VLOOKUP(C170,Data!A:G,6,FALSE),"")=0, "Check course registration information", _xlfn.IFNA(VLOOKUP(C170,Data!A:G,6,FALSE),""))</f>
        <v>Controller design in frequency domain with introduction to digital systems and control</v>
      </c>
      <c r="K170" s="33" t="str">
        <f>IF(_xlfn.IFNA(VLOOKUP(C170,Data!A:H,7,FALSE),"")=0, "", _xlfn.IFNA(HYPERLINK(VLOOKUP(C170,Data!A:H,7,FALSE),"Catalog Link"),""))</f>
        <v>Catalog Link</v>
      </c>
      <c r="L170" s="33" t="str">
        <f>IF(_xlfn.IFNA(VLOOKUP(C170,Data!A:I,8,FALSE),"")=0, "", _xlfn.IFNA(HYPERLINK(VLOOKUP(C170,Data!A:I,8,FALSE),"Additional Information"),""))</f>
        <v/>
      </c>
      <c r="M170" s="34">
        <f t="shared" si="3"/>
        <v>1</v>
      </c>
      <c r="N170" s="42" t="s">
        <v>63</v>
      </c>
      <c r="O170" s="42" t="s">
        <v>63</v>
      </c>
      <c r="P170" s="42" t="s">
        <v>63</v>
      </c>
      <c r="Q170" s="42" t="s">
        <v>63</v>
      </c>
      <c r="R170" s="42" t="s">
        <v>63</v>
      </c>
      <c r="S170" s="42" t="s">
        <v>63</v>
      </c>
      <c r="T170" s="42" t="s">
        <v>63</v>
      </c>
      <c r="U170" s="42" t="s">
        <v>63</v>
      </c>
      <c r="V170" s="42" t="s">
        <v>63</v>
      </c>
      <c r="W170" s="42" t="s">
        <v>63</v>
      </c>
      <c r="X170" s="42" t="s">
        <v>63</v>
      </c>
      <c r="Y170" s="42" t="s">
        <v>63</v>
      </c>
      <c r="Z170" s="42" t="s">
        <v>63</v>
      </c>
      <c r="AA170" s="43" t="s">
        <v>63</v>
      </c>
      <c r="AB170" s="42" t="s">
        <v>63</v>
      </c>
      <c r="AC170" s="42"/>
      <c r="AD170" s="42" t="s">
        <v>63</v>
      </c>
      <c r="AE170" s="42" t="s">
        <v>63</v>
      </c>
      <c r="AF170" s="42" t="s">
        <v>63</v>
      </c>
      <c r="AG170" s="42" t="s">
        <v>63</v>
      </c>
      <c r="AH170" s="42" t="s">
        <v>63</v>
      </c>
      <c r="AI170" s="42"/>
      <c r="AJ170" s="42" t="s">
        <v>63</v>
      </c>
      <c r="AK170" s="42"/>
      <c r="AL170" s="42" t="s">
        <v>63</v>
      </c>
      <c r="AM170" s="42"/>
      <c r="AN170" s="42" t="s">
        <v>63</v>
      </c>
      <c r="AO170" s="42" t="s">
        <v>63</v>
      </c>
      <c r="AP170" s="42" t="s">
        <v>63</v>
      </c>
      <c r="AQ170" s="42" t="s">
        <v>63</v>
      </c>
      <c r="AR170" s="42"/>
      <c r="AS170" s="42" t="s">
        <v>63</v>
      </c>
      <c r="AT170" s="42" t="s">
        <v>63</v>
      </c>
      <c r="AU170" s="42"/>
      <c r="AV170" s="42"/>
      <c r="AW170" s="42" t="s">
        <v>63</v>
      </c>
      <c r="AX170" s="42" t="s">
        <v>63</v>
      </c>
      <c r="AY170" s="42" t="s">
        <v>63</v>
      </c>
      <c r="AZ170" s="42" t="s">
        <v>63</v>
      </c>
      <c r="BA170" s="42"/>
      <c r="BB170" s="42" t="s">
        <v>63</v>
      </c>
      <c r="BC170" s="42" t="s">
        <v>63</v>
      </c>
      <c r="BD170" s="42" t="s">
        <v>64</v>
      </c>
      <c r="BE170" s="42" t="s">
        <v>63</v>
      </c>
      <c r="BF170" s="42" t="s">
        <v>63</v>
      </c>
      <c r="BG170" s="42" t="s">
        <v>63</v>
      </c>
      <c r="BH170" s="42" t="s">
        <v>63</v>
      </c>
      <c r="BI170" s="42" t="s">
        <v>63</v>
      </c>
      <c r="BJ170" s="42" t="s">
        <v>63</v>
      </c>
      <c r="BK170" s="42" t="s">
        <v>63</v>
      </c>
      <c r="BL170" s="42" t="s">
        <v>63</v>
      </c>
    </row>
    <row r="171" spans="1:64" s="36" customFormat="1" ht="15.75">
      <c r="A171" s="33" t="s">
        <v>1177</v>
      </c>
      <c r="B171" s="34" t="s">
        <v>665</v>
      </c>
      <c r="C171" s="34" t="s">
        <v>665</v>
      </c>
      <c r="D171" s="33" t="s">
        <v>383</v>
      </c>
      <c r="E171" s="34">
        <f>IF(_xlfn.IFNA(VLOOKUP(B171,Data!B:G,3,FALSE),"")=0, "", _xlfn.IFNA(VLOOKUP(B171,Data!B:G,3,FALSE),""))</f>
        <v>3</v>
      </c>
      <c r="F171" s="33" t="s">
        <v>1175</v>
      </c>
      <c r="G171" s="33"/>
      <c r="H171" s="33" t="str">
        <f>IF(_xlfn.IFNA(VLOOKUP(C171,Data!A:G,5,FALSE),"")=0, "Check course registration information", _xlfn.IFNA(VLOOKUP(C171,Data!A:G,5,FALSE),""))</f>
        <v>ME 32300</v>
      </c>
      <c r="I171" s="33"/>
      <c r="J171" s="33" t="str">
        <f>IF(_xlfn.IFNA(VLOOKUP(C171,Data!A:G,6,FALSE),"")=0, "Check course registration information", _xlfn.IFNA(VLOOKUP(C171,Data!A:G,6,FALSE),""))</f>
        <v>Introduction to finite element analysis with focus on linear elasticity and heat transfer. Matrix analysis and assembly of solutions. Strong form and weak form as a general solution process for differential equations</v>
      </c>
      <c r="K171" s="33" t="str">
        <f>IF(_xlfn.IFNA(VLOOKUP(C171,Data!A:H,7,FALSE),"")=0, "", _xlfn.IFNA(HYPERLINK(VLOOKUP(C171,Data!A:H,7,FALSE),"Catalog Link"),""))</f>
        <v>Catalog Link</v>
      </c>
      <c r="L171" s="33" t="str">
        <f>IF(_xlfn.IFNA(VLOOKUP(C171,Data!A:I,8,FALSE),"")=0, "", _xlfn.IFNA(HYPERLINK(VLOOKUP(C171,Data!A:I,8,FALSE),"Additional Information"),""))</f>
        <v/>
      </c>
      <c r="M171" s="34">
        <f t="shared" si="3"/>
        <v>0</v>
      </c>
      <c r="N171" s="42" t="s">
        <v>63</v>
      </c>
      <c r="O171" s="42" t="s">
        <v>63</v>
      </c>
      <c r="P171" s="42" t="s">
        <v>63</v>
      </c>
      <c r="Q171" s="42" t="s">
        <v>63</v>
      </c>
      <c r="R171" s="42" t="s">
        <v>63</v>
      </c>
      <c r="S171" s="42" t="s">
        <v>63</v>
      </c>
      <c r="T171" s="42" t="s">
        <v>63</v>
      </c>
      <c r="U171" s="42" t="s">
        <v>63</v>
      </c>
      <c r="V171" s="42" t="s">
        <v>63</v>
      </c>
      <c r="W171" s="42" t="s">
        <v>63</v>
      </c>
      <c r="X171" s="42" t="s">
        <v>63</v>
      </c>
      <c r="Y171" s="42" t="s">
        <v>63</v>
      </c>
      <c r="Z171" s="42" t="s">
        <v>63</v>
      </c>
      <c r="AA171" s="43" t="s">
        <v>63</v>
      </c>
      <c r="AB171" s="42" t="s">
        <v>63</v>
      </c>
      <c r="AC171" s="42"/>
      <c r="AD171" s="42" t="s">
        <v>63</v>
      </c>
      <c r="AE171" s="42" t="s">
        <v>63</v>
      </c>
      <c r="AF171" s="42" t="s">
        <v>63</v>
      </c>
      <c r="AG171" s="42" t="s">
        <v>63</v>
      </c>
      <c r="AH171" s="42" t="s">
        <v>63</v>
      </c>
      <c r="AI171" s="42"/>
      <c r="AJ171" s="42" t="s">
        <v>63</v>
      </c>
      <c r="AK171" s="42"/>
      <c r="AL171" s="42" t="s">
        <v>63</v>
      </c>
      <c r="AM171" s="42"/>
      <c r="AN171" s="42" t="s">
        <v>63</v>
      </c>
      <c r="AO171" s="42" t="s">
        <v>63</v>
      </c>
      <c r="AP171" s="42" t="s">
        <v>63</v>
      </c>
      <c r="AQ171" s="42" t="s">
        <v>63</v>
      </c>
      <c r="AR171" s="42"/>
      <c r="AS171" s="42" t="s">
        <v>63</v>
      </c>
      <c r="AT171" s="42" t="s">
        <v>63</v>
      </c>
      <c r="AU171" s="42"/>
      <c r="AV171" s="42"/>
      <c r="AW171" s="42" t="s">
        <v>63</v>
      </c>
      <c r="AX171" s="42" t="s">
        <v>63</v>
      </c>
      <c r="AY171" s="42" t="s">
        <v>63</v>
      </c>
      <c r="AZ171" s="42" t="s">
        <v>63</v>
      </c>
      <c r="BA171" s="42"/>
      <c r="BB171" s="42" t="s">
        <v>63</v>
      </c>
      <c r="BC171" s="42" t="s">
        <v>63</v>
      </c>
      <c r="BD171" s="42" t="s">
        <v>63</v>
      </c>
      <c r="BE171" s="42" t="s">
        <v>63</v>
      </c>
      <c r="BF171" s="42" t="s">
        <v>63</v>
      </c>
      <c r="BG171" s="42" t="s">
        <v>63</v>
      </c>
      <c r="BH171" s="42" t="s">
        <v>63</v>
      </c>
      <c r="BI171" s="42" t="s">
        <v>63</v>
      </c>
      <c r="BJ171" s="42" t="s">
        <v>63</v>
      </c>
      <c r="BK171" s="42" t="s">
        <v>63</v>
      </c>
      <c r="BL171" s="42" t="s">
        <v>63</v>
      </c>
    </row>
    <row r="172" spans="1:64">
      <c r="A172" s="33" t="s">
        <v>1176</v>
      </c>
      <c r="B172" s="34" t="s">
        <v>76</v>
      </c>
      <c r="C172" s="34" t="s">
        <v>76</v>
      </c>
      <c r="D172" s="33" t="s">
        <v>78</v>
      </c>
      <c r="E172" s="34">
        <f>IF(_xlfn.IFNA(VLOOKUP(B172,Data!B:G,3,FALSE),"")=0, "", _xlfn.IFNA(VLOOKUP(B172,Data!B:G,3,FALSE),""))</f>
        <v>3</v>
      </c>
      <c r="F172" s="66" t="s">
        <v>69</v>
      </c>
      <c r="H172" s="66" t="str">
        <f>IF(_xlfn.IFNA(VLOOKUP(C172,Data!A:G,5,FALSE),"")=0, "Check course registration information", _xlfn.IFNA(VLOOKUP(C172,Data!A:G,5,FALSE),""))</f>
        <v>ME 31500</v>
      </c>
      <c r="J172" s="33" t="str">
        <f>IF(_xlfn.IFNA(VLOOKUP(C172,Data!A:G,6,FALSE),"")=0, "Check course registration information", _xlfn.IFNA(VLOOKUP(C172,Data!A:G,6,FALSE),""))</f>
        <v>Transport of energy in natural and fabricated micro- and nano-scale structures. Physical nature of energy transport by three carriers-electrons, phonons, and photons. Bulk material properties (e.g., thermal/electrical conductivity) are derived from statistical particle transport theories. Effects of spatial confinement on bulk properties are quantified. Contemporary interdisciplinary engineering applications</v>
      </c>
      <c r="K172" s="33" t="str">
        <f>IF(_xlfn.IFNA(VLOOKUP(C172,Data!A:H,7,FALSE),"")=0, "", _xlfn.IFNA(HYPERLINK(VLOOKUP(C172,Data!A:H,7,FALSE),"Catalog Link"),""))</f>
        <v>Catalog Link</v>
      </c>
      <c r="L172" s="33" t="str">
        <f>IF(_xlfn.IFNA(VLOOKUP(C172,Data!A:I,8,FALSE),"")=0, "", _xlfn.IFNA(HYPERLINK(VLOOKUP(C172,Data!A:I,8,FALSE),"Additional Information"),""))</f>
        <v/>
      </c>
      <c r="M172" s="34">
        <f t="shared" si="3"/>
        <v>3</v>
      </c>
      <c r="N172" s="42" t="s">
        <v>63</v>
      </c>
      <c r="O172" s="42" t="s">
        <v>63</v>
      </c>
      <c r="P172" s="42" t="s">
        <v>63</v>
      </c>
      <c r="Q172" s="42" t="s">
        <v>63</v>
      </c>
      <c r="R172" s="42" t="s">
        <v>63</v>
      </c>
      <c r="S172" s="42" t="s">
        <v>63</v>
      </c>
      <c r="T172" s="42" t="s">
        <v>63</v>
      </c>
      <c r="U172" s="42" t="s">
        <v>63</v>
      </c>
      <c r="V172" s="42" t="s">
        <v>63</v>
      </c>
      <c r="W172" s="42" t="s">
        <v>63</v>
      </c>
      <c r="X172" s="42" t="s">
        <v>63</v>
      </c>
      <c r="Y172" s="42" t="s">
        <v>63</v>
      </c>
      <c r="Z172" s="42" t="s">
        <v>63</v>
      </c>
      <c r="AA172" s="42" t="s">
        <v>63</v>
      </c>
      <c r="AB172" s="42" t="s">
        <v>63</v>
      </c>
      <c r="AC172" s="42"/>
      <c r="AD172" s="42" t="s">
        <v>63</v>
      </c>
      <c r="AE172" s="42" t="s">
        <v>63</v>
      </c>
      <c r="AF172" s="42" t="s">
        <v>63</v>
      </c>
      <c r="AG172" s="42" t="s">
        <v>63</v>
      </c>
      <c r="AH172" s="42"/>
      <c r="AI172" s="42"/>
      <c r="AJ172" s="42" t="s">
        <v>63</v>
      </c>
      <c r="AK172" s="42"/>
      <c r="AL172" s="42" t="s">
        <v>63</v>
      </c>
      <c r="AM172" s="42" t="s">
        <v>64</v>
      </c>
      <c r="AN172" s="42" t="s">
        <v>63</v>
      </c>
      <c r="AO172" s="42" t="s">
        <v>63</v>
      </c>
      <c r="AP172" s="42" t="s">
        <v>63</v>
      </c>
      <c r="AQ172" s="42" t="s">
        <v>63</v>
      </c>
      <c r="AR172" s="42"/>
      <c r="AS172" s="42" t="s">
        <v>63</v>
      </c>
      <c r="AT172" s="42" t="s">
        <v>63</v>
      </c>
      <c r="AU172" s="42"/>
      <c r="AV172" s="42"/>
      <c r="AW172" s="42" t="s">
        <v>64</v>
      </c>
      <c r="AX172" s="42" t="s">
        <v>63</v>
      </c>
      <c r="AY172" s="42" t="s">
        <v>63</v>
      </c>
      <c r="AZ172" s="42" t="s">
        <v>63</v>
      </c>
      <c r="BA172" s="42"/>
      <c r="BB172" s="42" t="s">
        <v>63</v>
      </c>
      <c r="BC172" s="42" t="s">
        <v>63</v>
      </c>
      <c r="BD172" s="42" t="s">
        <v>63</v>
      </c>
      <c r="BE172" s="42" t="s">
        <v>63</v>
      </c>
      <c r="BF172" s="42"/>
      <c r="BG172" s="42" t="s">
        <v>63</v>
      </c>
      <c r="BH172" s="42" t="s">
        <v>63</v>
      </c>
      <c r="BI172" s="42" t="s">
        <v>64</v>
      </c>
      <c r="BJ172" s="42" t="s">
        <v>63</v>
      </c>
      <c r="BK172" s="42" t="s">
        <v>63</v>
      </c>
      <c r="BL172" s="42" t="s">
        <v>63</v>
      </c>
    </row>
    <row r="173" spans="1:64" s="36" customFormat="1" ht="15.75">
      <c r="A173" s="33" t="s">
        <v>1177</v>
      </c>
      <c r="B173" s="34" t="s">
        <v>668</v>
      </c>
      <c r="C173" s="34" t="s">
        <v>668</v>
      </c>
      <c r="D173" s="33" t="s">
        <v>387</v>
      </c>
      <c r="E173" s="34">
        <f>IF(_xlfn.IFNA(VLOOKUP(B173,Data!B:G,3,FALSE),"")=0, "", _xlfn.IFNA(VLOOKUP(B173,Data!B:G,3,FALSE),""))</f>
        <v>3</v>
      </c>
      <c r="F173" s="33" t="s">
        <v>1175</v>
      </c>
      <c r="G173" s="33"/>
      <c r="H173" s="33" t="str">
        <f>IF(_xlfn.IFNA(VLOOKUP(C173,Data!A:G,5,FALSE),"")=0, "Check course registration information", _xlfn.IFNA(VLOOKUP(C173,Data!A:G,5,FALSE),""))</f>
        <v>ME 31500</v>
      </c>
      <c r="I173" s="33"/>
      <c r="J173" s="33" t="str">
        <f>IF(_xlfn.IFNA(VLOOKUP(C173,Data!A:G,6,FALSE),"")=0, "Check course registration information", _xlfn.IFNA(VLOOKUP(C173,Data!A:G,6,FALSE),""))</f>
        <v>Basic two-phase flow equations, homogeneous model, drift-flux model, flow regimes, pressure drop in two-phase flow. Nucleation and bubble dynamics, pool boiling, subcooled boiling, forced convection boiling, critical heat flux in pool boiling, critical heat flux in forced convection boiling, minimum heat flux, film boiling, post dryout heat transfer. Flow instabilities, choking in two-phase flow, film and dropwise condensation. Applications to heat exchangers. Special boiling and two-phase flow problems. Offered in alternate years</v>
      </c>
      <c r="K173" s="33" t="str">
        <f>IF(_xlfn.IFNA(VLOOKUP(C173,Data!A:H,7,FALSE),"")=0, "", _xlfn.IFNA(HYPERLINK(VLOOKUP(C173,Data!A:H,7,FALSE),"Catalog Link"),""))</f>
        <v>Catalog Link</v>
      </c>
      <c r="L173" s="33" t="str">
        <f>IF(_xlfn.IFNA(VLOOKUP(C173,Data!A:I,8,FALSE),"")=0, "", _xlfn.IFNA(HYPERLINK(VLOOKUP(C173,Data!A:I,8,FALSE),"Additional Information"),""))</f>
        <v/>
      </c>
      <c r="M173" s="34">
        <f t="shared" si="3"/>
        <v>1</v>
      </c>
      <c r="N173" s="42" t="s">
        <v>63</v>
      </c>
      <c r="O173" s="42" t="s">
        <v>63</v>
      </c>
      <c r="P173" s="42" t="s">
        <v>63</v>
      </c>
      <c r="Q173" s="42" t="s">
        <v>63</v>
      </c>
      <c r="R173" s="42" t="s">
        <v>63</v>
      </c>
      <c r="S173" s="42" t="s">
        <v>63</v>
      </c>
      <c r="T173" s="42" t="s">
        <v>63</v>
      </c>
      <c r="U173" s="42" t="s">
        <v>63</v>
      </c>
      <c r="V173" s="42" t="s">
        <v>63</v>
      </c>
      <c r="W173" s="42" t="s">
        <v>63</v>
      </c>
      <c r="X173" s="42" t="s">
        <v>63</v>
      </c>
      <c r="Y173" s="42" t="s">
        <v>63</v>
      </c>
      <c r="Z173" s="42" t="s">
        <v>63</v>
      </c>
      <c r="AA173" s="43" t="s">
        <v>63</v>
      </c>
      <c r="AB173" s="42" t="s">
        <v>63</v>
      </c>
      <c r="AC173" s="42"/>
      <c r="AD173" s="42" t="s">
        <v>63</v>
      </c>
      <c r="AE173" s="42" t="s">
        <v>63</v>
      </c>
      <c r="AF173" s="42" t="s">
        <v>63</v>
      </c>
      <c r="AG173" s="42" t="s">
        <v>63</v>
      </c>
      <c r="AH173" s="42" t="s">
        <v>63</v>
      </c>
      <c r="AI173" s="42"/>
      <c r="AJ173" s="42" t="s">
        <v>63</v>
      </c>
      <c r="AK173" s="42"/>
      <c r="AL173" s="42" t="s">
        <v>63</v>
      </c>
      <c r="AM173" s="42"/>
      <c r="AN173" s="42" t="s">
        <v>63</v>
      </c>
      <c r="AO173" s="42" t="s">
        <v>63</v>
      </c>
      <c r="AP173" s="42" t="s">
        <v>63</v>
      </c>
      <c r="AQ173" s="42" t="s">
        <v>63</v>
      </c>
      <c r="AR173" s="42"/>
      <c r="AS173" s="42" t="s">
        <v>63</v>
      </c>
      <c r="AT173" s="42" t="s">
        <v>63</v>
      </c>
      <c r="AU173" s="42"/>
      <c r="AV173" s="42"/>
      <c r="AW173" s="42" t="s">
        <v>63</v>
      </c>
      <c r="AX173" s="42" t="s">
        <v>63</v>
      </c>
      <c r="AY173" s="42" t="s">
        <v>63</v>
      </c>
      <c r="AZ173" s="42" t="s">
        <v>63</v>
      </c>
      <c r="BA173" s="42"/>
      <c r="BB173" s="42" t="s">
        <v>63</v>
      </c>
      <c r="BC173" s="42" t="s">
        <v>63</v>
      </c>
      <c r="BD173" s="42" t="s">
        <v>63</v>
      </c>
      <c r="BE173" s="42" t="s">
        <v>63</v>
      </c>
      <c r="BF173" s="42" t="s">
        <v>63</v>
      </c>
      <c r="BG173" s="42" t="s">
        <v>63</v>
      </c>
      <c r="BH173" s="42" t="s">
        <v>63</v>
      </c>
      <c r="BI173" s="42" t="s">
        <v>64</v>
      </c>
      <c r="BJ173" s="42" t="s">
        <v>63</v>
      </c>
      <c r="BK173" s="42" t="s">
        <v>63</v>
      </c>
      <c r="BL173" s="42" t="s">
        <v>63</v>
      </c>
    </row>
    <row r="174" spans="1:64">
      <c r="A174" s="33" t="s">
        <v>1176</v>
      </c>
      <c r="B174" s="34" t="s">
        <v>79</v>
      </c>
      <c r="C174" s="34" t="s">
        <v>79</v>
      </c>
      <c r="D174" s="33" t="s">
        <v>80</v>
      </c>
      <c r="E174" s="34">
        <f>IF(_xlfn.IFNA(VLOOKUP(B174,Data!B:G,3,FALSE),"")=0, "", _xlfn.IFNA(VLOOKUP(B174,Data!B:G,3,FALSE),""))</f>
        <v>3</v>
      </c>
      <c r="F174" s="66" t="s">
        <v>69</v>
      </c>
      <c r="H174" s="66" t="str">
        <f>IF(_xlfn.IFNA(VLOOKUP(C174,Data!A:G,5,FALSE),"")=0, "Check course registration information", _xlfn.IFNA(VLOOKUP(C174,Data!A:G,5,FALSE),""))</f>
        <v>ME 31500</v>
      </c>
      <c r="J174" s="33" t="str">
        <f>IF(_xlfn.IFNA(VLOOKUP(C174,Data!A:G,6,FALSE),"")=0, "Check course registration information", _xlfn.IFNA(VLOOKUP(C174,Data!A:G,6,FALSE),""))</f>
        <v>This course covers both traditional and more innovative methods for heat extraction in electronic systems and the effectiveness and applicability of these methods over a wide range of scales. Special emphasis is given to industry-related applications with experts often attending and presenting material as part of class instruction</v>
      </c>
      <c r="K174" s="33" t="str">
        <f>IF(_xlfn.IFNA(VLOOKUP(C174,Data!A:H,7,FALSE),"")=0, "", _xlfn.IFNA(HYPERLINK(VLOOKUP(C174,Data!A:H,7,FALSE),"Catalog Link"),""))</f>
        <v>Catalog Link</v>
      </c>
      <c r="L174" s="33" t="str">
        <f>IF(_xlfn.IFNA(VLOOKUP(C174,Data!A:I,8,FALSE),"")=0, "", _xlfn.IFNA(HYPERLINK(VLOOKUP(C174,Data!A:I,8,FALSE),"Additional Information"),""))</f>
        <v/>
      </c>
      <c r="M174" s="34">
        <f t="shared" si="3"/>
        <v>2</v>
      </c>
      <c r="N174" s="42" t="s">
        <v>63</v>
      </c>
      <c r="O174" s="42" t="s">
        <v>63</v>
      </c>
      <c r="P174" s="42" t="s">
        <v>63</v>
      </c>
      <c r="Q174" s="42" t="s">
        <v>63</v>
      </c>
      <c r="R174" s="42" t="s">
        <v>63</v>
      </c>
      <c r="S174" s="42" t="s">
        <v>63</v>
      </c>
      <c r="T174" s="42" t="s">
        <v>63</v>
      </c>
      <c r="U174" s="42" t="s">
        <v>63</v>
      </c>
      <c r="V174" s="42" t="s">
        <v>63</v>
      </c>
      <c r="W174" s="42" t="s">
        <v>63</v>
      </c>
      <c r="X174" s="42" t="s">
        <v>63</v>
      </c>
      <c r="Y174" s="42" t="s">
        <v>63</v>
      </c>
      <c r="Z174" s="42" t="s">
        <v>63</v>
      </c>
      <c r="AA174" s="42" t="s">
        <v>63</v>
      </c>
      <c r="AB174" s="42" t="s">
        <v>63</v>
      </c>
      <c r="AC174" s="42"/>
      <c r="AD174" s="42" t="s">
        <v>63</v>
      </c>
      <c r="AE174" s="42" t="s">
        <v>63</v>
      </c>
      <c r="AF174" s="42" t="s">
        <v>63</v>
      </c>
      <c r="AG174" s="42" t="s">
        <v>63</v>
      </c>
      <c r="AH174" s="42" t="s">
        <v>63</v>
      </c>
      <c r="AI174" s="42"/>
      <c r="AJ174" s="42" t="s">
        <v>63</v>
      </c>
      <c r="AK174" s="42"/>
      <c r="AL174" s="42" t="s">
        <v>63</v>
      </c>
      <c r="AM174" s="42"/>
      <c r="AN174" s="42" t="s">
        <v>63</v>
      </c>
      <c r="AO174" s="42" t="s">
        <v>63</v>
      </c>
      <c r="AP174" s="42" t="s">
        <v>63</v>
      </c>
      <c r="AQ174" s="42" t="s">
        <v>63</v>
      </c>
      <c r="AR174" s="42"/>
      <c r="AS174" s="42" t="s">
        <v>64</v>
      </c>
      <c r="AT174" s="42" t="s">
        <v>63</v>
      </c>
      <c r="AU174" s="42"/>
      <c r="AV174" s="42"/>
      <c r="AW174" s="42" t="s">
        <v>63</v>
      </c>
      <c r="AX174" s="42" t="s">
        <v>63</v>
      </c>
      <c r="AY174" s="42" t="s">
        <v>63</v>
      </c>
      <c r="AZ174" s="42" t="s">
        <v>63</v>
      </c>
      <c r="BA174" s="42"/>
      <c r="BB174" s="42" t="s">
        <v>63</v>
      </c>
      <c r="BC174" s="42" t="s">
        <v>63</v>
      </c>
      <c r="BD174" s="42" t="s">
        <v>63</v>
      </c>
      <c r="BE174" s="42" t="s">
        <v>63</v>
      </c>
      <c r="BF174" s="42" t="s">
        <v>63</v>
      </c>
      <c r="BG174" s="42" t="s">
        <v>63</v>
      </c>
      <c r="BH174" s="42" t="s">
        <v>63</v>
      </c>
      <c r="BI174" s="42" t="s">
        <v>64</v>
      </c>
      <c r="BJ174" s="42" t="s">
        <v>63</v>
      </c>
      <c r="BK174" s="42" t="s">
        <v>63</v>
      </c>
      <c r="BL174" s="42" t="s">
        <v>63</v>
      </c>
    </row>
    <row r="175" spans="1:64" s="36" customFormat="1" ht="15.75">
      <c r="A175" s="33" t="s">
        <v>1177</v>
      </c>
      <c r="B175" s="34" t="s">
        <v>670</v>
      </c>
      <c r="C175" s="34" t="s">
        <v>670</v>
      </c>
      <c r="D175" s="33" t="s">
        <v>391</v>
      </c>
      <c r="E175" s="34">
        <f>IF(_xlfn.IFNA(VLOOKUP(B175,Data!B:G,3,FALSE),"")=0, "", _xlfn.IFNA(VLOOKUP(B175,Data!B:G,3,FALSE),""))</f>
        <v>3</v>
      </c>
      <c r="F175" s="33" t="s">
        <v>1175</v>
      </c>
      <c r="G175" s="33"/>
      <c r="H175" s="33" t="str">
        <f>IF(_xlfn.IFNA(VLOOKUP(C175,Data!A:G,5,FALSE),"")=0, "Check course registration information", _xlfn.IFNA(VLOOKUP(C175,Data!A:G,5,FALSE),""))</f>
        <v>ME 30000 or ME 31500</v>
      </c>
      <c r="I175" s="33"/>
      <c r="J175" s="33" t="str">
        <f>IF(_xlfn.IFNA(VLOOKUP(C175,Data!A:G,6,FALSE),"")=0, "Check course registration information", _xlfn.IFNA(VLOOKUP(C175,Data!A:G,6,FALSE),""))</f>
        <v>Modeling and optimization of thermal systems with a focus on heat-pumping equipment, such as vapor compression, absorption, and some advanced heat-pumping cycles. Students combine the use of thermodynamics, heat transfer, fluid mechanics, and numerical methods to develop and apply mathematical models for the analysis and optimization of specific equipment. Offered in alternate years</v>
      </c>
      <c r="K175" s="33" t="str">
        <f>IF(_xlfn.IFNA(VLOOKUP(C175,Data!A:H,7,FALSE),"")=0, "", _xlfn.IFNA(HYPERLINK(VLOOKUP(C175,Data!A:H,7,FALSE),"Catalog Link"),""))</f>
        <v>Catalog Link</v>
      </c>
      <c r="L175" s="33" t="str">
        <f>IF(_xlfn.IFNA(VLOOKUP(C175,Data!A:I,8,FALSE),"")=0, "", _xlfn.IFNA(HYPERLINK(VLOOKUP(C175,Data!A:I,8,FALSE),"Additional Information"),""))</f>
        <v/>
      </c>
      <c r="M175" s="34">
        <f t="shared" si="3"/>
        <v>1</v>
      </c>
      <c r="N175" s="42" t="s">
        <v>63</v>
      </c>
      <c r="O175" s="42" t="s">
        <v>63</v>
      </c>
      <c r="P175" s="42" t="s">
        <v>63</v>
      </c>
      <c r="Q175" s="42" t="s">
        <v>63</v>
      </c>
      <c r="R175" s="42" t="s">
        <v>63</v>
      </c>
      <c r="S175" s="42" t="s">
        <v>63</v>
      </c>
      <c r="T175" s="42" t="s">
        <v>63</v>
      </c>
      <c r="U175" s="42" t="s">
        <v>63</v>
      </c>
      <c r="V175" s="42" t="s">
        <v>63</v>
      </c>
      <c r="W175" s="42" t="s">
        <v>63</v>
      </c>
      <c r="X175" s="42" t="s">
        <v>63</v>
      </c>
      <c r="Y175" s="42" t="s">
        <v>63</v>
      </c>
      <c r="Z175" s="42" t="s">
        <v>63</v>
      </c>
      <c r="AA175" s="43" t="s">
        <v>63</v>
      </c>
      <c r="AB175" s="42" t="s">
        <v>63</v>
      </c>
      <c r="AC175" s="42"/>
      <c r="AD175" s="42" t="s">
        <v>63</v>
      </c>
      <c r="AE175" s="42" t="s">
        <v>63</v>
      </c>
      <c r="AF175" s="42" t="s">
        <v>63</v>
      </c>
      <c r="AG175" s="42" t="s">
        <v>63</v>
      </c>
      <c r="AH175" s="42" t="s">
        <v>63</v>
      </c>
      <c r="AI175" s="42"/>
      <c r="AJ175" s="42" t="s">
        <v>63</v>
      </c>
      <c r="AK175" s="42"/>
      <c r="AL175" s="42" t="s">
        <v>63</v>
      </c>
      <c r="AM175" s="42"/>
      <c r="AN175" s="42" t="s">
        <v>63</v>
      </c>
      <c r="AO175" s="42" t="s">
        <v>63</v>
      </c>
      <c r="AP175" s="42" t="s">
        <v>63</v>
      </c>
      <c r="AQ175" s="42" t="s">
        <v>63</v>
      </c>
      <c r="AR175" s="42"/>
      <c r="AS175" s="42" t="s">
        <v>63</v>
      </c>
      <c r="AT175" s="42" t="s">
        <v>63</v>
      </c>
      <c r="AU175" s="42"/>
      <c r="AV175" s="42"/>
      <c r="AW175" s="42" t="s">
        <v>63</v>
      </c>
      <c r="AX175" s="42" t="s">
        <v>63</v>
      </c>
      <c r="AY175" s="42" t="s">
        <v>63</v>
      </c>
      <c r="AZ175" s="42" t="s">
        <v>63</v>
      </c>
      <c r="BA175" s="42"/>
      <c r="BB175" s="42" t="s">
        <v>63</v>
      </c>
      <c r="BC175" s="42" t="s">
        <v>63</v>
      </c>
      <c r="BD175" s="42" t="s">
        <v>63</v>
      </c>
      <c r="BE175" s="42" t="s">
        <v>63</v>
      </c>
      <c r="BF175" s="42" t="s">
        <v>63</v>
      </c>
      <c r="BG175" s="42" t="s">
        <v>63</v>
      </c>
      <c r="BH175" s="42" t="s">
        <v>63</v>
      </c>
      <c r="BI175" s="42" t="s">
        <v>64</v>
      </c>
      <c r="BJ175" s="42" t="s">
        <v>63</v>
      </c>
      <c r="BK175" s="42" t="s">
        <v>63</v>
      </c>
      <c r="BL175" s="42" t="s">
        <v>63</v>
      </c>
    </row>
    <row r="176" spans="1:64">
      <c r="A176" s="33" t="s">
        <v>1177</v>
      </c>
      <c r="B176" s="34" t="s">
        <v>672</v>
      </c>
      <c r="C176" s="34" t="s">
        <v>672</v>
      </c>
      <c r="D176" s="33" t="s">
        <v>393</v>
      </c>
      <c r="E176" s="34">
        <f>IF(_xlfn.IFNA(VLOOKUP(B176,Data!B:G,3,FALSE),"")=0, "", _xlfn.IFNA(VLOOKUP(B176,Data!B:G,3,FALSE),""))</f>
        <v>3</v>
      </c>
      <c r="F176" s="33" t="s">
        <v>1175</v>
      </c>
      <c r="G176" s="33"/>
      <c r="H176" s="33" t="str">
        <f>IF(_xlfn.IFNA(VLOOKUP(C176,Data!A:G,5,FALSE),"")=0, "Check course registration information", _xlfn.IFNA(VLOOKUP(C176,Data!A:G,5,FALSE),""))</f>
        <v>ME 31500</v>
      </c>
      <c r="J176" s="33" t="str">
        <f>IF(_xlfn.IFNA(VLOOKUP(C176,Data!A:G,6,FALSE),"")=0, "Check course registration information", _xlfn.IFNA(VLOOKUP(C176,Data!A:G,6,FALSE),""))</f>
        <v>Review of current trend of building and indoor environment design. Theory of thermal comfort, indoor air quality, visual comfort, and acoustic comfort. Introduction of experimental techniques and advanced computer tools for indoor environment analysis and design</v>
      </c>
      <c r="K176" s="33" t="str">
        <f>IF(_xlfn.IFNA(VLOOKUP(C176,Data!A:H,7,FALSE),"")=0, "", _xlfn.IFNA(HYPERLINK(VLOOKUP(C176,Data!A:H,7,FALSE),"Catalog Link"),""))</f>
        <v>Catalog Link</v>
      </c>
      <c r="L176" s="33" t="str">
        <f>IF(_xlfn.IFNA(VLOOKUP(C176,Data!A:I,8,FALSE),"")=0, "", _xlfn.IFNA(HYPERLINK(VLOOKUP(C176,Data!A:I,8,FALSE),"Additional Information"),""))</f>
        <v/>
      </c>
      <c r="M176" s="34">
        <f t="shared" si="3"/>
        <v>2</v>
      </c>
      <c r="N176" s="42" t="s">
        <v>63</v>
      </c>
      <c r="O176" s="42" t="s">
        <v>63</v>
      </c>
      <c r="P176" s="42" t="s">
        <v>63</v>
      </c>
      <c r="Q176" s="42" t="s">
        <v>63</v>
      </c>
      <c r="R176" s="42" t="s">
        <v>63</v>
      </c>
      <c r="S176" s="42" t="s">
        <v>63</v>
      </c>
      <c r="T176" s="42" t="s">
        <v>63</v>
      </c>
      <c r="U176" s="42" t="s">
        <v>63</v>
      </c>
      <c r="V176" s="42" t="s">
        <v>64</v>
      </c>
      <c r="W176" s="42" t="s">
        <v>63</v>
      </c>
      <c r="X176" s="42" t="s">
        <v>63</v>
      </c>
      <c r="Y176" s="42" t="s">
        <v>63</v>
      </c>
      <c r="Z176" s="42" t="s">
        <v>63</v>
      </c>
      <c r="AA176" s="43" t="s">
        <v>63</v>
      </c>
      <c r="AB176" s="42" t="s">
        <v>63</v>
      </c>
      <c r="AC176" s="42"/>
      <c r="AD176" s="42" t="s">
        <v>63</v>
      </c>
      <c r="AE176" s="42" t="s">
        <v>63</v>
      </c>
      <c r="AF176" s="42" t="s">
        <v>63</v>
      </c>
      <c r="AG176" s="42" t="s">
        <v>63</v>
      </c>
      <c r="AH176" s="42" t="s">
        <v>63</v>
      </c>
      <c r="AI176" s="42"/>
      <c r="AJ176" s="42" t="s">
        <v>63</v>
      </c>
      <c r="AK176" s="42"/>
      <c r="AL176" s="42" t="s">
        <v>63</v>
      </c>
      <c r="AM176" s="42"/>
      <c r="AN176" s="42" t="s">
        <v>63</v>
      </c>
      <c r="AO176" s="42" t="s">
        <v>63</v>
      </c>
      <c r="AP176" s="42" t="s">
        <v>63</v>
      </c>
      <c r="AQ176" s="42" t="s">
        <v>63</v>
      </c>
      <c r="AR176" s="42"/>
      <c r="AS176" s="42" t="s">
        <v>63</v>
      </c>
      <c r="AT176" s="42" t="s">
        <v>63</v>
      </c>
      <c r="AU176" s="42"/>
      <c r="AV176" s="42"/>
      <c r="AW176" s="42" t="s">
        <v>63</v>
      </c>
      <c r="AX176" s="42" t="s">
        <v>63</v>
      </c>
      <c r="AY176" s="42" t="s">
        <v>63</v>
      </c>
      <c r="AZ176" s="42" t="s">
        <v>63</v>
      </c>
      <c r="BA176" s="42"/>
      <c r="BB176" s="42" t="s">
        <v>63</v>
      </c>
      <c r="BC176" s="42" t="s">
        <v>63</v>
      </c>
      <c r="BD176" s="42" t="s">
        <v>63</v>
      </c>
      <c r="BE176" s="42" t="s">
        <v>63</v>
      </c>
      <c r="BF176" s="42" t="s">
        <v>63</v>
      </c>
      <c r="BG176" s="42" t="s">
        <v>63</v>
      </c>
      <c r="BH176" s="42" t="s">
        <v>63</v>
      </c>
      <c r="BI176" s="42" t="s">
        <v>64</v>
      </c>
      <c r="BJ176" s="42" t="s">
        <v>63</v>
      </c>
      <c r="BK176" s="42" t="s">
        <v>63</v>
      </c>
      <c r="BL176" s="42" t="s">
        <v>63</v>
      </c>
    </row>
    <row r="177" spans="1:64" s="36" customFormat="1" ht="15.75">
      <c r="A177" s="33" t="s">
        <v>1177</v>
      </c>
      <c r="B177" s="34" t="s">
        <v>674</v>
      </c>
      <c r="C177" s="34" t="s">
        <v>674</v>
      </c>
      <c r="D177" s="33" t="s">
        <v>395</v>
      </c>
      <c r="E177" s="34">
        <f>IF(_xlfn.IFNA(VLOOKUP(B177,Data!B:G,3,FALSE),"")=0, "", _xlfn.IFNA(VLOOKUP(B177,Data!B:G,3,FALSE),""))</f>
        <v>3</v>
      </c>
      <c r="F177" s="33" t="s">
        <v>1175</v>
      </c>
      <c r="G177" s="33"/>
      <c r="H177" s="33" t="str">
        <f>IF(_xlfn.IFNA(VLOOKUP(C177,Data!A:G,5,FALSE),"")=0, "Check course registration information", _xlfn.IFNA(VLOOKUP(C177,Data!A:G,5,FALSE),""))</f>
        <v>Junior status and above</v>
      </c>
      <c r="I177" s="33"/>
      <c r="J177" s="33" t="str">
        <f>IF(_xlfn.IFNA(VLOOKUP(C177,Data!A:G,6,FALSE),"")=0, "Check course registration information", _xlfn.IFNA(VLOOKUP(C177,Data!A:G,6,FALSE),""))</f>
        <v>Multi-objective decision making under risk and uncertainty; Group decision making; Sequential decision making; Model-based and data-driven decision making; Heuristics and biases in design decision making. Applications to engineering design including estimation of customer preferences, simulation-based design, and sustainable design</v>
      </c>
      <c r="K177" s="33" t="str">
        <f>IF(_xlfn.IFNA(VLOOKUP(C177,Data!A:H,7,FALSE),"")=0, "", _xlfn.IFNA(HYPERLINK(VLOOKUP(C177,Data!A:H,7,FALSE),"Catalog Link"),""))</f>
        <v>Catalog Link</v>
      </c>
      <c r="L177" s="33" t="str">
        <f>IF(_xlfn.IFNA(VLOOKUP(C177,Data!A:I,8,FALSE),"")=0, "", _xlfn.IFNA(HYPERLINK(VLOOKUP(C177,Data!A:I,8,FALSE),"Additional Information"),""))</f>
        <v/>
      </c>
      <c r="M177" s="34">
        <f t="shared" si="3"/>
        <v>0</v>
      </c>
      <c r="N177" s="42" t="s">
        <v>63</v>
      </c>
      <c r="O177" s="42" t="s">
        <v>63</v>
      </c>
      <c r="P177" s="42" t="s">
        <v>63</v>
      </c>
      <c r="Q177" s="42" t="s">
        <v>63</v>
      </c>
      <c r="R177" s="42" t="s">
        <v>63</v>
      </c>
      <c r="S177" s="42" t="s">
        <v>63</v>
      </c>
      <c r="T177" s="42" t="s">
        <v>63</v>
      </c>
      <c r="U177" s="42" t="s">
        <v>63</v>
      </c>
      <c r="V177" s="42" t="s">
        <v>63</v>
      </c>
      <c r="W177" s="42" t="s">
        <v>63</v>
      </c>
      <c r="X177" s="42" t="s">
        <v>63</v>
      </c>
      <c r="Y177" s="42" t="s">
        <v>63</v>
      </c>
      <c r="Z177" s="42" t="s">
        <v>63</v>
      </c>
      <c r="AA177" s="43" t="s">
        <v>63</v>
      </c>
      <c r="AB177" s="42" t="s">
        <v>63</v>
      </c>
      <c r="AC177" s="42"/>
      <c r="AD177" s="42" t="s">
        <v>63</v>
      </c>
      <c r="AE177" s="42" t="s">
        <v>63</v>
      </c>
      <c r="AF177" s="42" t="s">
        <v>63</v>
      </c>
      <c r="AG177" s="42" t="s">
        <v>63</v>
      </c>
      <c r="AH177" s="42" t="s">
        <v>63</v>
      </c>
      <c r="AI177" s="42"/>
      <c r="AJ177" s="42" t="s">
        <v>63</v>
      </c>
      <c r="AK177" s="42"/>
      <c r="AL177" s="42" t="s">
        <v>63</v>
      </c>
      <c r="AM177" s="42"/>
      <c r="AN177" s="42" t="s">
        <v>63</v>
      </c>
      <c r="AO177" s="42" t="s">
        <v>63</v>
      </c>
      <c r="AP177" s="42" t="s">
        <v>63</v>
      </c>
      <c r="AQ177" s="42" t="s">
        <v>63</v>
      </c>
      <c r="AR177" s="42"/>
      <c r="AS177" s="42" t="s">
        <v>63</v>
      </c>
      <c r="AT177" s="42" t="s">
        <v>63</v>
      </c>
      <c r="AU177" s="42"/>
      <c r="AV177" s="42"/>
      <c r="AW177" s="42" t="s">
        <v>63</v>
      </c>
      <c r="AX177" s="42" t="s">
        <v>63</v>
      </c>
      <c r="AY177" s="42" t="s">
        <v>63</v>
      </c>
      <c r="AZ177" s="42" t="s">
        <v>63</v>
      </c>
      <c r="BA177" s="42"/>
      <c r="BB177" s="42" t="s">
        <v>63</v>
      </c>
      <c r="BC177" s="42" t="s">
        <v>63</v>
      </c>
      <c r="BD177" s="42" t="s">
        <v>63</v>
      </c>
      <c r="BE177" s="42" t="s">
        <v>63</v>
      </c>
      <c r="BF177" s="42" t="s">
        <v>63</v>
      </c>
      <c r="BG177" s="42" t="s">
        <v>63</v>
      </c>
      <c r="BH177" s="42" t="s">
        <v>63</v>
      </c>
      <c r="BI177" s="42" t="s">
        <v>63</v>
      </c>
      <c r="BJ177" s="42" t="s">
        <v>63</v>
      </c>
      <c r="BK177" s="42" t="s">
        <v>63</v>
      </c>
      <c r="BL177" s="42" t="s">
        <v>63</v>
      </c>
    </row>
    <row r="178" spans="1:64" s="36" customFormat="1" ht="15.75">
      <c r="A178" s="33" t="s">
        <v>1177</v>
      </c>
      <c r="B178" s="34" t="s">
        <v>676</v>
      </c>
      <c r="C178" s="34" t="s">
        <v>676</v>
      </c>
      <c r="D178" s="33" t="s">
        <v>397</v>
      </c>
      <c r="E178" s="34">
        <f>IF(_xlfn.IFNA(VLOOKUP(B178,Data!B:G,3,FALSE),"")=0, "", _xlfn.IFNA(VLOOKUP(B178,Data!B:G,3,FALSE),""))</f>
        <v>3</v>
      </c>
      <c r="F178" s="33" t="s">
        <v>1175</v>
      </c>
      <c r="G178" s="33"/>
      <c r="H178" s="33" t="str">
        <f>IF(_xlfn.IFNA(VLOOKUP(C178,Data!A:G,5,FALSE),"")=0, "Check course registration information", _xlfn.IFNA(VLOOKUP(C178,Data!A:G,5,FALSE),""))</f>
        <v>Junior status and above</v>
      </c>
      <c r="I178" s="33"/>
      <c r="J178" s="33" t="str">
        <f>IF(_xlfn.IFNA(VLOOKUP(C178,Data!A:G,6,FALSE),"")=0, "Check course registration information", _xlfn.IFNA(VLOOKUP(C178,Data!A:G,6,FALSE),""))</f>
        <v>Fundamental principles of product and process design to produce a marketable product, develop a preliminary business strategy, and construct an operational prototype. Overview of relevant principles related to product and process design. Market analysis, design parameters, manufacturing prototype plan, production process plan, and a business strategy developed in teams. Broad overview of the entire product development process, including patents, commercialization of new technologies, and the highly interdisciplinary nature of product design through industry guest lectures. Impact of information technologies and the Internet on product design, prototyping, marketing, and customization. Product prototype is required. Design and product software information technology service-type concepts. Permission of instructor required</v>
      </c>
      <c r="K178" s="33" t="str">
        <f>IF(_xlfn.IFNA(VLOOKUP(C178,Data!A:H,7,FALSE),"")=0, "", _xlfn.IFNA(HYPERLINK(VLOOKUP(C178,Data!A:H,7,FALSE),"Catalog Link"),""))</f>
        <v>Catalog Link</v>
      </c>
      <c r="L178" s="33" t="str">
        <f>IF(_xlfn.IFNA(VLOOKUP(C178,Data!A:I,8,FALSE),"")=0, "", _xlfn.IFNA(HYPERLINK(VLOOKUP(C178,Data!A:I,8,FALSE),"Additional Information"),""))</f>
        <v/>
      </c>
      <c r="M178" s="34">
        <f t="shared" si="3"/>
        <v>0</v>
      </c>
      <c r="N178" s="42" t="s">
        <v>63</v>
      </c>
      <c r="O178" s="42" t="s">
        <v>63</v>
      </c>
      <c r="P178" s="42" t="s">
        <v>63</v>
      </c>
      <c r="Q178" s="42" t="s">
        <v>63</v>
      </c>
      <c r="R178" s="42" t="s">
        <v>63</v>
      </c>
      <c r="S178" s="42" t="s">
        <v>63</v>
      </c>
      <c r="T178" s="42" t="s">
        <v>63</v>
      </c>
      <c r="U178" s="42" t="s">
        <v>63</v>
      </c>
      <c r="V178" s="42" t="s">
        <v>63</v>
      </c>
      <c r="W178" s="42" t="s">
        <v>63</v>
      </c>
      <c r="X178" s="42" t="s">
        <v>63</v>
      </c>
      <c r="Y178" s="42" t="s">
        <v>63</v>
      </c>
      <c r="Z178" s="42" t="s">
        <v>63</v>
      </c>
      <c r="AA178" s="43" t="s">
        <v>63</v>
      </c>
      <c r="AB178" s="42" t="s">
        <v>63</v>
      </c>
      <c r="AC178" s="42"/>
      <c r="AD178" s="42" t="s">
        <v>63</v>
      </c>
      <c r="AE178" s="42" t="s">
        <v>63</v>
      </c>
      <c r="AF178" s="42" t="s">
        <v>63</v>
      </c>
      <c r="AG178" s="42" t="s">
        <v>63</v>
      </c>
      <c r="AH178" s="42" t="s">
        <v>63</v>
      </c>
      <c r="AI178" s="42"/>
      <c r="AJ178" s="42" t="s">
        <v>63</v>
      </c>
      <c r="AK178" s="42"/>
      <c r="AL178" s="42" t="s">
        <v>63</v>
      </c>
      <c r="AM178" s="42"/>
      <c r="AN178" s="42" t="s">
        <v>63</v>
      </c>
      <c r="AO178" s="42" t="s">
        <v>63</v>
      </c>
      <c r="AP178" s="42" t="s">
        <v>63</v>
      </c>
      <c r="AQ178" s="42" t="s">
        <v>63</v>
      </c>
      <c r="AR178" s="42"/>
      <c r="AS178" s="42" t="s">
        <v>63</v>
      </c>
      <c r="AT178" s="42" t="s">
        <v>63</v>
      </c>
      <c r="AU178" s="42"/>
      <c r="AV178" s="42"/>
      <c r="AW178" s="42" t="s">
        <v>63</v>
      </c>
      <c r="AX178" s="42" t="s">
        <v>63</v>
      </c>
      <c r="AY178" s="42" t="s">
        <v>63</v>
      </c>
      <c r="AZ178" s="42" t="s">
        <v>63</v>
      </c>
      <c r="BA178" s="42"/>
      <c r="BB178" s="42" t="s">
        <v>63</v>
      </c>
      <c r="BC178" s="42" t="s">
        <v>63</v>
      </c>
      <c r="BD178" s="42" t="s">
        <v>63</v>
      </c>
      <c r="BE178" s="42" t="s">
        <v>63</v>
      </c>
      <c r="BF178" s="42" t="s">
        <v>63</v>
      </c>
      <c r="BG178" s="42" t="s">
        <v>63</v>
      </c>
      <c r="BH178" s="42" t="s">
        <v>63</v>
      </c>
      <c r="BI178" s="42" t="s">
        <v>63</v>
      </c>
      <c r="BJ178" s="42" t="s">
        <v>63</v>
      </c>
      <c r="BK178" s="42" t="s">
        <v>63</v>
      </c>
      <c r="BL178" s="42" t="s">
        <v>63</v>
      </c>
    </row>
    <row r="179" spans="1:64" s="36" customFormat="1" ht="15.75">
      <c r="A179" s="33" t="s">
        <v>1177</v>
      </c>
      <c r="B179" s="34" t="s">
        <v>678</v>
      </c>
      <c r="C179" s="34" t="s">
        <v>678</v>
      </c>
      <c r="D179" s="33" t="s">
        <v>399</v>
      </c>
      <c r="E179" s="34">
        <f>IF(_xlfn.IFNA(VLOOKUP(B179,Data!B:G,3,FALSE),"")=0, "", _xlfn.IFNA(VLOOKUP(B179,Data!B:G,3,FALSE),""))</f>
        <v>3</v>
      </c>
      <c r="F179" s="33" t="s">
        <v>1175</v>
      </c>
      <c r="G179" s="33"/>
      <c r="H179" s="33" t="str">
        <f>IF(_xlfn.IFNA(VLOOKUP(C179,Data!A:G,5,FALSE),"")=0, "Check course registration information", _xlfn.IFNA(VLOOKUP(C179,Data!A:G,5,FALSE),""))</f>
        <v>Junior status and above</v>
      </c>
      <c r="I179" s="33"/>
      <c r="J179" s="33" t="str">
        <f>IF(_xlfn.IFNA(VLOOKUP(C179,Data!A:G,6,FALSE),"")=0, "Check course registration information", _xlfn.IFNA(VLOOKUP(C179,Data!A:G,6,FALSE),""))</f>
        <v>Science, technology, and application of lubricated interacting surfaces in relative motion. Advanced analysis techniques and hands-on exposure to modern experimental methods provide an enhanced understanding of fundamental principles of lubrication, friction, and wear. Basics of design and analysis of machine components operating in the presence of air and liquid lubricants. Rolling fatigue, friction and wear models, and measurement techniques. Offered in alternate years</v>
      </c>
      <c r="K179" s="33" t="str">
        <f>IF(_xlfn.IFNA(VLOOKUP(C179,Data!A:H,7,FALSE),"")=0, "", _xlfn.IFNA(HYPERLINK(VLOOKUP(C179,Data!A:H,7,FALSE),"Catalog Link"),""))</f>
        <v>Catalog Link</v>
      </c>
      <c r="L179" s="33" t="str">
        <f>IF(_xlfn.IFNA(VLOOKUP(C179,Data!A:I,8,FALSE),"")=0, "", _xlfn.IFNA(HYPERLINK(VLOOKUP(C179,Data!A:I,8,FALSE),"Additional Information"),""))</f>
        <v/>
      </c>
      <c r="M179" s="34">
        <f t="shared" si="3"/>
        <v>1</v>
      </c>
      <c r="N179" s="42" t="s">
        <v>63</v>
      </c>
      <c r="O179" s="42" t="s">
        <v>63</v>
      </c>
      <c r="P179" s="42" t="s">
        <v>63</v>
      </c>
      <c r="Q179" s="42" t="s">
        <v>63</v>
      </c>
      <c r="R179" s="42" t="s">
        <v>63</v>
      </c>
      <c r="S179" s="42" t="s">
        <v>63</v>
      </c>
      <c r="T179" s="42" t="s">
        <v>63</v>
      </c>
      <c r="U179" s="42" t="s">
        <v>63</v>
      </c>
      <c r="V179" s="42" t="s">
        <v>63</v>
      </c>
      <c r="W179" s="42" t="s">
        <v>63</v>
      </c>
      <c r="X179" s="42" t="s">
        <v>63</v>
      </c>
      <c r="Y179" s="42" t="s">
        <v>63</v>
      </c>
      <c r="Z179" s="42" t="s">
        <v>63</v>
      </c>
      <c r="AA179" s="43" t="s">
        <v>63</v>
      </c>
      <c r="AB179" s="42" t="s">
        <v>63</v>
      </c>
      <c r="AC179" s="42"/>
      <c r="AD179" s="42" t="s">
        <v>63</v>
      </c>
      <c r="AE179" s="42" t="s">
        <v>63</v>
      </c>
      <c r="AF179" s="42" t="s">
        <v>63</v>
      </c>
      <c r="AG179" s="42" t="s">
        <v>63</v>
      </c>
      <c r="AH179" s="42" t="s">
        <v>63</v>
      </c>
      <c r="AI179" s="42"/>
      <c r="AJ179" s="42" t="s">
        <v>63</v>
      </c>
      <c r="AK179" s="42"/>
      <c r="AL179" s="42" t="s">
        <v>63</v>
      </c>
      <c r="AM179" s="42"/>
      <c r="AN179" s="42" t="s">
        <v>63</v>
      </c>
      <c r="AO179" s="42" t="s">
        <v>63</v>
      </c>
      <c r="AP179" s="42" t="s">
        <v>63</v>
      </c>
      <c r="AQ179" s="42" t="s">
        <v>63</v>
      </c>
      <c r="AR179" s="42"/>
      <c r="AS179" s="42" t="s">
        <v>63</v>
      </c>
      <c r="AT179" s="42" t="s">
        <v>63</v>
      </c>
      <c r="AU179" s="42"/>
      <c r="AV179" s="42"/>
      <c r="AW179" s="42" t="s">
        <v>63</v>
      </c>
      <c r="AX179" s="42" t="s">
        <v>63</v>
      </c>
      <c r="AY179" s="42" t="s">
        <v>64</v>
      </c>
      <c r="AZ179" s="42" t="s">
        <v>63</v>
      </c>
      <c r="BA179" s="42"/>
      <c r="BB179" s="42" t="s">
        <v>63</v>
      </c>
      <c r="BC179" s="42" t="s">
        <v>63</v>
      </c>
      <c r="BD179" s="42" t="s">
        <v>63</v>
      </c>
      <c r="BE179" s="42" t="s">
        <v>63</v>
      </c>
      <c r="BF179" s="42" t="s">
        <v>63</v>
      </c>
      <c r="BG179" s="42" t="s">
        <v>63</v>
      </c>
      <c r="BH179" s="42" t="s">
        <v>63</v>
      </c>
      <c r="BI179" s="42" t="s">
        <v>63</v>
      </c>
      <c r="BJ179" s="42" t="s">
        <v>63</v>
      </c>
      <c r="BK179" s="42" t="s">
        <v>63</v>
      </c>
      <c r="BL179" s="42" t="s">
        <v>63</v>
      </c>
    </row>
    <row r="180" spans="1:64">
      <c r="A180" s="33" t="s">
        <v>1176</v>
      </c>
      <c r="B180" s="34" t="s">
        <v>680</v>
      </c>
      <c r="C180" s="34" t="s">
        <v>680</v>
      </c>
      <c r="D180" s="33" t="s">
        <v>509</v>
      </c>
      <c r="E180" s="34">
        <f>IF(_xlfn.IFNA(VLOOKUP(B180,Data!B:G,3,FALSE),"")=0, "", _xlfn.IFNA(VLOOKUP(B180,Data!B:G,3,FALSE),""))</f>
        <v>3</v>
      </c>
      <c r="F180" s="66" t="s">
        <v>106</v>
      </c>
      <c r="H180" s="66" t="str">
        <f>IF(_xlfn.IFNA(VLOOKUP(C180,Data!A:G,5,FALSE),"")=0, "Check course registration information", _xlfn.IFNA(VLOOKUP(C180,Data!A:G,5,FALSE),""))</f>
        <v>Junior status and above</v>
      </c>
      <c r="J180" s="33" t="str">
        <f>IF(_xlfn.IFNA(VLOOKUP(C180,Data!A:G,6,FALSE),"")=0, "Check course registration information", _xlfn.IFNA(VLOOKUP(C180,Data!A:G,6,FALSE),""))</f>
        <v>Introduction to manufacturing concerns, such as efficient design, producibility, and quality, which must be considered early in the engineering design process. Topics include the product development cycle, manufacturing process selection, tolerancing, quality function deployment (QFD), design for assembly (DFA), quality control techniques, Taguchi's robust design methodology, life cycle engineering, and reliability. Laboratory projects in the area of tolerancing, assembly, and manufacturability are included along with a project from industry in which the students can disassemble, analyze, and redesign a product while obtaining feedback from industry concerning manufacturability</v>
      </c>
      <c r="K180" s="33" t="str">
        <f>IF(_xlfn.IFNA(VLOOKUP(C180,Data!A:H,7,FALSE),"")=0, "", _xlfn.IFNA(HYPERLINK(VLOOKUP(C180,Data!A:H,7,FALSE),"Catalog Link"),""))</f>
        <v>Catalog Link</v>
      </c>
      <c r="L180" s="33" t="str">
        <f>IF(_xlfn.IFNA(VLOOKUP(C180,Data!A:I,8,FALSE),"")=0, "", _xlfn.IFNA(HYPERLINK(VLOOKUP(C180,Data!A:I,8,FALSE),"Additional Information"),""))</f>
        <v/>
      </c>
      <c r="M180" s="34">
        <f t="shared" si="3"/>
        <v>2</v>
      </c>
      <c r="N180" s="42" t="s">
        <v>63</v>
      </c>
      <c r="O180" s="42" t="s">
        <v>63</v>
      </c>
      <c r="P180" s="42" t="s">
        <v>63</v>
      </c>
      <c r="Q180" s="42" t="s">
        <v>63</v>
      </c>
      <c r="R180" s="42" t="s">
        <v>63</v>
      </c>
      <c r="S180" s="42" t="s">
        <v>63</v>
      </c>
      <c r="T180" s="42" t="s">
        <v>63</v>
      </c>
      <c r="U180" s="42" t="s">
        <v>63</v>
      </c>
      <c r="V180" s="42" t="s">
        <v>63</v>
      </c>
      <c r="W180" s="42" t="s">
        <v>63</v>
      </c>
      <c r="X180" s="42" t="s">
        <v>63</v>
      </c>
      <c r="Y180" s="42" t="s">
        <v>63</v>
      </c>
      <c r="Z180" s="42" t="s">
        <v>63</v>
      </c>
      <c r="AA180" s="42" t="s">
        <v>63</v>
      </c>
      <c r="AB180" s="42" t="s">
        <v>63</v>
      </c>
      <c r="AC180" s="42"/>
      <c r="AD180" s="42" t="s">
        <v>63</v>
      </c>
      <c r="AE180" s="42" t="s">
        <v>63</v>
      </c>
      <c r="AF180" s="42" t="s">
        <v>63</v>
      </c>
      <c r="AG180" s="42" t="s">
        <v>63</v>
      </c>
      <c r="AH180" s="42" t="s">
        <v>64</v>
      </c>
      <c r="AI180" s="42"/>
      <c r="AJ180" s="42" t="s">
        <v>63</v>
      </c>
      <c r="AK180" s="42"/>
      <c r="AL180" s="42" t="s">
        <v>63</v>
      </c>
      <c r="AM180" s="42"/>
      <c r="AN180" s="42" t="s">
        <v>63</v>
      </c>
      <c r="AO180" s="42" t="s">
        <v>63</v>
      </c>
      <c r="AP180" s="42" t="s">
        <v>63</v>
      </c>
      <c r="AQ180" s="42" t="s">
        <v>63</v>
      </c>
      <c r="AR180" s="42"/>
      <c r="AS180" s="42" t="s">
        <v>63</v>
      </c>
      <c r="AT180" s="42" t="s">
        <v>63</v>
      </c>
      <c r="AU180" s="42" t="s">
        <v>64</v>
      </c>
      <c r="AV180" s="42"/>
      <c r="AW180" s="42" t="s">
        <v>63</v>
      </c>
      <c r="AX180" s="42" t="s">
        <v>63</v>
      </c>
      <c r="AY180" s="42"/>
      <c r="AZ180" s="42" t="s">
        <v>63</v>
      </c>
      <c r="BA180" s="42"/>
      <c r="BB180" s="42" t="s">
        <v>63</v>
      </c>
      <c r="BC180" s="42" t="s">
        <v>63</v>
      </c>
      <c r="BD180" s="42" t="s">
        <v>63</v>
      </c>
      <c r="BE180" s="42" t="s">
        <v>63</v>
      </c>
      <c r="BF180" s="42" t="s">
        <v>63</v>
      </c>
      <c r="BG180" s="42" t="s">
        <v>63</v>
      </c>
      <c r="BH180" s="42" t="s">
        <v>63</v>
      </c>
      <c r="BI180" s="42" t="s">
        <v>63</v>
      </c>
      <c r="BJ180" s="42" t="s">
        <v>63</v>
      </c>
      <c r="BK180" s="42" t="s">
        <v>63</v>
      </c>
      <c r="BL180" s="42" t="s">
        <v>63</v>
      </c>
    </row>
    <row r="181" spans="1:64" s="36" customFormat="1" ht="15.75">
      <c r="A181" s="33" t="s">
        <v>1177</v>
      </c>
      <c r="B181" s="34" t="s">
        <v>682</v>
      </c>
      <c r="C181" s="34" t="s">
        <v>682</v>
      </c>
      <c r="D181" s="33" t="s">
        <v>403</v>
      </c>
      <c r="E181" s="34">
        <f>IF(_xlfn.IFNA(VLOOKUP(B181,Data!B:G,3,FALSE),"")=0, "", _xlfn.IFNA(VLOOKUP(B181,Data!B:G,3,FALSE),""))</f>
        <v>3</v>
      </c>
      <c r="F181" s="33" t="s">
        <v>1175</v>
      </c>
      <c r="G181" s="33"/>
      <c r="H181" s="33" t="str">
        <f>IF(_xlfn.IFNA(VLOOKUP(C181,Data!A:G,5,FALSE),"")=0, "Check course registration information", _xlfn.IFNA(VLOOKUP(C181,Data!A:G,5,FALSE),""))</f>
        <v>ME 32300</v>
      </c>
      <c r="I181" s="33"/>
      <c r="J181" s="33" t="str">
        <f>IF(_xlfn.IFNA(VLOOKUP(C181,Data!A:G,6,FALSE),"")=0, "Check course registration information", _xlfn.IFNA(VLOOKUP(C181,Data!A:G,6,FALSE),""))</f>
        <v>Prediction of the macroscopie behavior of materials from their microstructure and the design of new materials. Microstructure-property relationships between the macroscopie material behavior and microscopic structure. Application to traditional structure as well as to new engineering materials. Adapting emerging constitutive relations into structure analyses. Introduction of this new approach to materials, its applications in predictive analysis tools, and its importance in simulation-based engineering</v>
      </c>
      <c r="K181" s="33" t="str">
        <f>IF(_xlfn.IFNA(VLOOKUP(C181,Data!A:H,7,FALSE),"")=0, "", _xlfn.IFNA(HYPERLINK(VLOOKUP(C181,Data!A:H,7,FALSE),"Catalog Link"),""))</f>
        <v>Catalog Link</v>
      </c>
      <c r="L181" s="33" t="str">
        <f>IF(_xlfn.IFNA(VLOOKUP(C181,Data!A:I,8,FALSE),"")=0, "", _xlfn.IFNA(HYPERLINK(VLOOKUP(C181,Data!A:I,8,FALSE),"Additional Information"),""))</f>
        <v/>
      </c>
      <c r="M181" s="34">
        <f t="shared" si="3"/>
        <v>1</v>
      </c>
      <c r="N181" s="42" t="s">
        <v>63</v>
      </c>
      <c r="O181" s="42" t="s">
        <v>63</v>
      </c>
      <c r="P181" s="42" t="s">
        <v>63</v>
      </c>
      <c r="Q181" s="42" t="s">
        <v>63</v>
      </c>
      <c r="R181" s="42" t="s">
        <v>63</v>
      </c>
      <c r="S181" s="42" t="s">
        <v>63</v>
      </c>
      <c r="T181" s="42" t="s">
        <v>63</v>
      </c>
      <c r="U181" s="42" t="s">
        <v>63</v>
      </c>
      <c r="V181" s="42" t="s">
        <v>63</v>
      </c>
      <c r="W181" s="42" t="s">
        <v>63</v>
      </c>
      <c r="X181" s="42" t="s">
        <v>63</v>
      </c>
      <c r="Y181" s="42" t="s">
        <v>63</v>
      </c>
      <c r="Z181" s="42" t="s">
        <v>63</v>
      </c>
      <c r="AA181" s="43" t="s">
        <v>63</v>
      </c>
      <c r="AB181" s="42" t="s">
        <v>63</v>
      </c>
      <c r="AC181" s="42"/>
      <c r="AD181" s="42" t="s">
        <v>63</v>
      </c>
      <c r="AE181" s="42" t="s">
        <v>63</v>
      </c>
      <c r="AF181" s="42" t="s">
        <v>63</v>
      </c>
      <c r="AG181" s="42" t="s">
        <v>63</v>
      </c>
      <c r="AH181" s="42" t="s">
        <v>63</v>
      </c>
      <c r="AI181" s="42"/>
      <c r="AJ181" s="42" t="s">
        <v>63</v>
      </c>
      <c r="AK181" s="42"/>
      <c r="AL181" s="42" t="s">
        <v>63</v>
      </c>
      <c r="AM181" s="42"/>
      <c r="AN181" s="42" t="s">
        <v>63</v>
      </c>
      <c r="AO181" s="42" t="s">
        <v>63</v>
      </c>
      <c r="AP181" s="42" t="s">
        <v>63</v>
      </c>
      <c r="AQ181" s="42" t="s">
        <v>63</v>
      </c>
      <c r="AR181" s="42"/>
      <c r="AS181" s="42" t="s">
        <v>63</v>
      </c>
      <c r="AT181" s="42" t="s">
        <v>63</v>
      </c>
      <c r="AU181" s="42"/>
      <c r="AV181" s="42"/>
      <c r="AW181" s="42" t="s">
        <v>63</v>
      </c>
      <c r="AX181" s="42" t="s">
        <v>63</v>
      </c>
      <c r="AY181" s="42"/>
      <c r="AZ181" s="42" t="s">
        <v>63</v>
      </c>
      <c r="BA181" s="42"/>
      <c r="BB181" s="42" t="s">
        <v>63</v>
      </c>
      <c r="BC181" s="42" t="s">
        <v>63</v>
      </c>
      <c r="BD181" s="42" t="s">
        <v>63</v>
      </c>
      <c r="BE181" s="42" t="s">
        <v>63</v>
      </c>
      <c r="BF181" s="42" t="s">
        <v>64</v>
      </c>
      <c r="BG181" s="42" t="s">
        <v>63</v>
      </c>
      <c r="BH181" s="42" t="s">
        <v>63</v>
      </c>
      <c r="BI181" s="42" t="s">
        <v>63</v>
      </c>
      <c r="BJ181" s="42" t="s">
        <v>63</v>
      </c>
      <c r="BK181" s="42" t="s">
        <v>63</v>
      </c>
      <c r="BL181" s="42" t="s">
        <v>63</v>
      </c>
    </row>
    <row r="182" spans="1:64" s="36" customFormat="1" ht="15.75">
      <c r="A182" s="33" t="s">
        <v>1177</v>
      </c>
      <c r="B182" s="34" t="s">
        <v>684</v>
      </c>
      <c r="C182" s="34" t="s">
        <v>684</v>
      </c>
      <c r="D182" s="33" t="s">
        <v>405</v>
      </c>
      <c r="E182" s="34">
        <f>IF(_xlfn.IFNA(VLOOKUP(B182,Data!B:G,3,FALSE),"")=0, "", _xlfn.IFNA(VLOOKUP(B182,Data!B:G,3,FALSE),""))</f>
        <v>3</v>
      </c>
      <c r="F182" s="33" t="s">
        <v>1175</v>
      </c>
      <c r="G182" s="33"/>
      <c r="H182" s="33" t="str">
        <f>IF(_xlfn.IFNA(VLOOKUP(C182,Data!A:G,5,FALSE),"")=0, "Check course registration information", _xlfn.IFNA(VLOOKUP(C182,Data!A:G,5,FALSE),""))</f>
        <v>ME 36500</v>
      </c>
      <c r="I182" s="33"/>
      <c r="J182" s="33" t="str">
        <f>IF(_xlfn.IFNA(VLOOKUP(C182,Data!A:G,6,FALSE),"")=0, "Check course registration information", _xlfn.IFNA(VLOOKUP(C182,Data!A:G,6,FALSE),""))</f>
        <v>Review of systems with one degree for freedom. LaGrange's equations of motion for multiple degree of freedom systems. Introduction to matrix methods. Transfer functions for harmonic response, impulse response, and step response. Convolution integrals for response to arbitrary inputs. Principle frequencies and modes. Applications to critical speeds, measuring instruments, isolation, torsional systems. Introduction to nonlinear problems</v>
      </c>
      <c r="K182" s="33" t="str">
        <f>IF(_xlfn.IFNA(VLOOKUP(C182,Data!A:H,7,FALSE),"")=0, "", _xlfn.IFNA(HYPERLINK(VLOOKUP(C182,Data!A:H,7,FALSE),"Catalog Link"),""))</f>
        <v>Catalog Link</v>
      </c>
      <c r="L182" s="33" t="str">
        <f>IF(_xlfn.IFNA(VLOOKUP(C182,Data!A:I,8,FALSE),"")=0, "", _xlfn.IFNA(HYPERLINK(VLOOKUP(C182,Data!A:I,8,FALSE),"Additional Information"),""))</f>
        <v/>
      </c>
      <c r="M182" s="34">
        <f t="shared" si="3"/>
        <v>1</v>
      </c>
      <c r="N182" s="42" t="s">
        <v>63</v>
      </c>
      <c r="O182" s="42" t="s">
        <v>63</v>
      </c>
      <c r="P182" s="42" t="s">
        <v>63</v>
      </c>
      <c r="Q182" s="42" t="s">
        <v>63</v>
      </c>
      <c r="R182" s="42" t="s">
        <v>63</v>
      </c>
      <c r="S182" s="42" t="s">
        <v>63</v>
      </c>
      <c r="T182" s="42" t="s">
        <v>63</v>
      </c>
      <c r="U182" s="42" t="s">
        <v>63</v>
      </c>
      <c r="V182" s="42" t="s">
        <v>63</v>
      </c>
      <c r="W182" s="42" t="s">
        <v>63</v>
      </c>
      <c r="X182" s="42" t="s">
        <v>63</v>
      </c>
      <c r="Y182" s="42" t="s">
        <v>63</v>
      </c>
      <c r="Z182" s="42" t="s">
        <v>63</v>
      </c>
      <c r="AA182" s="43" t="s">
        <v>63</v>
      </c>
      <c r="AB182" s="42" t="s">
        <v>63</v>
      </c>
      <c r="AC182" s="42"/>
      <c r="AD182" s="42" t="s">
        <v>63</v>
      </c>
      <c r="AE182" s="42" t="s">
        <v>63</v>
      </c>
      <c r="AF182" s="42" t="s">
        <v>63</v>
      </c>
      <c r="AG182" s="42" t="s">
        <v>63</v>
      </c>
      <c r="AH182" s="42" t="s">
        <v>63</v>
      </c>
      <c r="AI182" s="42"/>
      <c r="AJ182" s="42" t="s">
        <v>63</v>
      </c>
      <c r="AK182" s="42"/>
      <c r="AL182" s="42" t="s">
        <v>63</v>
      </c>
      <c r="AM182" s="42"/>
      <c r="AN182" s="42" t="s">
        <v>63</v>
      </c>
      <c r="AO182" s="42" t="s">
        <v>63</v>
      </c>
      <c r="AP182" s="42" t="s">
        <v>63</v>
      </c>
      <c r="AQ182" s="42" t="s">
        <v>63</v>
      </c>
      <c r="AR182" s="42"/>
      <c r="AS182" s="42" t="s">
        <v>63</v>
      </c>
      <c r="AT182" s="42" t="s">
        <v>63</v>
      </c>
      <c r="AU182" s="42"/>
      <c r="AV182" s="42"/>
      <c r="AW182" s="42" t="s">
        <v>63</v>
      </c>
      <c r="AX182" s="42" t="s">
        <v>63</v>
      </c>
      <c r="AY182" s="42" t="s">
        <v>63</v>
      </c>
      <c r="AZ182" s="42" t="s">
        <v>63</v>
      </c>
      <c r="BA182" s="42"/>
      <c r="BB182" s="42" t="s">
        <v>63</v>
      </c>
      <c r="BC182" s="42" t="s">
        <v>63</v>
      </c>
      <c r="BD182" s="42" t="s">
        <v>63</v>
      </c>
      <c r="BE182" s="42" t="s">
        <v>63</v>
      </c>
      <c r="BF182" s="42" t="s">
        <v>64</v>
      </c>
      <c r="BG182" s="42" t="s">
        <v>63</v>
      </c>
      <c r="BH182" s="42" t="s">
        <v>63</v>
      </c>
      <c r="BI182" s="42" t="s">
        <v>63</v>
      </c>
      <c r="BJ182" s="42" t="s">
        <v>63</v>
      </c>
      <c r="BK182" s="42" t="s">
        <v>63</v>
      </c>
      <c r="BL182" s="42" t="s">
        <v>63</v>
      </c>
    </row>
    <row r="183" spans="1:64" s="36" customFormat="1" ht="15.75">
      <c r="A183" s="33" t="s">
        <v>1177</v>
      </c>
      <c r="B183" s="34" t="s">
        <v>685</v>
      </c>
      <c r="C183" s="34" t="s">
        <v>685</v>
      </c>
      <c r="D183" s="33" t="s">
        <v>407</v>
      </c>
      <c r="E183" s="34">
        <f>IF(_xlfn.IFNA(VLOOKUP(B183,Data!B:G,3,FALSE),"")=0, "", _xlfn.IFNA(VLOOKUP(B183,Data!B:G,3,FALSE),""))</f>
        <v>3</v>
      </c>
      <c r="F183" s="33" t="s">
        <v>1175</v>
      </c>
      <c r="G183" s="33"/>
      <c r="H183" s="33" t="str">
        <f>IF(_xlfn.IFNA(VLOOKUP(C183,Data!A:G,5,FALSE),"")=0, "Check course registration information", _xlfn.IFNA(VLOOKUP(C183,Data!A:G,5,FALSE),""))</f>
        <v>ME 35200</v>
      </c>
      <c r="I183" s="33"/>
      <c r="J183" s="33" t="str">
        <f>IF(_xlfn.IFNA(VLOOKUP(C183,Data!A:G,6,FALSE),"")=0, "Check course registration information", _xlfn.IFNA(VLOOKUP(C183,Data!A:G,6,FALSE),""))</f>
        <v>Basic concepts of probability and random variables. Time-dependent reliability models. Strength-based reliability and interference theory. Weakest-link and fail-safe systems. Extremal distributions. Monte Carlo methods. Maintainability and availability. Fault tree analysis. Quality control and reliability. Offered in alternate years</v>
      </c>
      <c r="K183" s="33" t="str">
        <f>IF(_xlfn.IFNA(VLOOKUP(C183,Data!A:H,7,FALSE),"")=0, "", _xlfn.IFNA(HYPERLINK(VLOOKUP(C183,Data!A:H,7,FALSE),"Catalog Link"),""))</f>
        <v>Catalog Link</v>
      </c>
      <c r="L183" s="33" t="str">
        <f>IF(_xlfn.IFNA(VLOOKUP(C183,Data!A:I,8,FALSE),"")=0, "", _xlfn.IFNA(HYPERLINK(VLOOKUP(C183,Data!A:I,8,FALSE),"Additional Information"),""))</f>
        <v/>
      </c>
      <c r="M183" s="34">
        <f t="shared" si="3"/>
        <v>2</v>
      </c>
      <c r="N183" s="42" t="s">
        <v>63</v>
      </c>
      <c r="O183" s="42" t="s">
        <v>63</v>
      </c>
      <c r="P183" s="42" t="s">
        <v>63</v>
      </c>
      <c r="Q183" s="42" t="s">
        <v>63</v>
      </c>
      <c r="R183" s="42" t="s">
        <v>63</v>
      </c>
      <c r="S183" s="42" t="s">
        <v>63</v>
      </c>
      <c r="T183" s="42" t="s">
        <v>63</v>
      </c>
      <c r="U183" s="42" t="s">
        <v>63</v>
      </c>
      <c r="V183" s="42" t="s">
        <v>63</v>
      </c>
      <c r="W183" s="42" t="s">
        <v>63</v>
      </c>
      <c r="X183" s="42" t="s">
        <v>63</v>
      </c>
      <c r="Y183" s="42" t="s">
        <v>63</v>
      </c>
      <c r="Z183" s="42" t="s">
        <v>63</v>
      </c>
      <c r="AA183" s="43" t="s">
        <v>63</v>
      </c>
      <c r="AB183" s="42" t="s">
        <v>63</v>
      </c>
      <c r="AC183" s="42"/>
      <c r="AD183" s="42" t="s">
        <v>63</v>
      </c>
      <c r="AE183" s="42" t="s">
        <v>63</v>
      </c>
      <c r="AF183" s="42" t="s">
        <v>63</v>
      </c>
      <c r="AG183" s="42" t="s">
        <v>63</v>
      </c>
      <c r="AH183" s="42" t="s">
        <v>63</v>
      </c>
      <c r="AI183" s="42"/>
      <c r="AJ183" s="42" t="s">
        <v>63</v>
      </c>
      <c r="AK183" s="42"/>
      <c r="AL183" s="42" t="s">
        <v>63</v>
      </c>
      <c r="AM183" s="42"/>
      <c r="AN183" s="42" t="s">
        <v>63</v>
      </c>
      <c r="AO183" s="42" t="s">
        <v>63</v>
      </c>
      <c r="AP183" s="42" t="s">
        <v>63</v>
      </c>
      <c r="AQ183" s="42" t="s">
        <v>63</v>
      </c>
      <c r="AR183" s="42"/>
      <c r="AS183" s="42" t="s">
        <v>63</v>
      </c>
      <c r="AT183" s="42" t="s">
        <v>63</v>
      </c>
      <c r="AU183" s="42"/>
      <c r="AV183" s="42"/>
      <c r="AW183" s="42" t="s">
        <v>63</v>
      </c>
      <c r="AX183" s="42" t="s">
        <v>63</v>
      </c>
      <c r="AY183" s="42" t="s">
        <v>64</v>
      </c>
      <c r="AZ183" s="42" t="s">
        <v>63</v>
      </c>
      <c r="BA183" s="42"/>
      <c r="BB183" s="42" t="s">
        <v>63</v>
      </c>
      <c r="BC183" s="42" t="s">
        <v>63</v>
      </c>
      <c r="BD183" s="42" t="s">
        <v>63</v>
      </c>
      <c r="BE183" s="42" t="s">
        <v>63</v>
      </c>
      <c r="BF183" s="42" t="s">
        <v>64</v>
      </c>
      <c r="BG183" s="42" t="s">
        <v>63</v>
      </c>
      <c r="BH183" s="42" t="s">
        <v>63</v>
      </c>
      <c r="BI183" s="42" t="s">
        <v>63</v>
      </c>
      <c r="BJ183" s="42" t="s">
        <v>63</v>
      </c>
      <c r="BK183" s="42" t="s">
        <v>63</v>
      </c>
      <c r="BL183" s="42" t="s">
        <v>63</v>
      </c>
    </row>
    <row r="184" spans="1:64" s="36" customFormat="1" ht="15.75">
      <c r="A184" s="33" t="s">
        <v>1177</v>
      </c>
      <c r="B184" s="34" t="s">
        <v>687</v>
      </c>
      <c r="C184" s="34" t="s">
        <v>687</v>
      </c>
      <c r="D184" s="33" t="s">
        <v>409</v>
      </c>
      <c r="E184" s="34">
        <f>IF(_xlfn.IFNA(VLOOKUP(B184,Data!B:G,3,FALSE),"")=0, "", _xlfn.IFNA(VLOOKUP(B184,Data!B:G,3,FALSE),""))</f>
        <v>3</v>
      </c>
      <c r="F184" s="33" t="s">
        <v>1175</v>
      </c>
      <c r="G184" s="33"/>
      <c r="H184" s="33" t="str">
        <f>IF(_xlfn.IFNA(VLOOKUP(C184,Data!A:G,5,FALSE),"")=0, "Check course registration information", _xlfn.IFNA(VLOOKUP(C184,Data!A:G,5,FALSE),""))</f>
        <v>ME 37500</v>
      </c>
      <c r="I184" s="33"/>
      <c r="J184" s="33" t="str">
        <f>IF(_xlfn.IFNA(VLOOKUP(C184,Data!A:G,6,FALSE),"")=0, "Check course registration information", _xlfn.IFNA(VLOOKUP(C184,Data!A:G,6,FALSE),""))</f>
        <v>Fundamental elements for manufacturing process control are presented with advanced control theories, modeling and analysis of actuators, controller architecture, interfacing and programming. Emphasis is on computer integrated manufacturing with computer numerical control of machine tools, automation via programmable logic controllers, motion control, process control examples, and manufacturing process monitoring. Hands-on experience is attained through laboratory experiments with state-of-the-art equipment</v>
      </c>
      <c r="K184" s="33" t="str">
        <f>IF(_xlfn.IFNA(VLOOKUP(C184,Data!A:H,7,FALSE),"")=0, "", _xlfn.IFNA(HYPERLINK(VLOOKUP(C184,Data!A:H,7,FALSE),"Catalog Link"),""))</f>
        <v>Catalog Link</v>
      </c>
      <c r="L184" s="33" t="str">
        <f>IF(_xlfn.IFNA(VLOOKUP(C184,Data!A:I,8,FALSE),"")=0, "", _xlfn.IFNA(HYPERLINK(VLOOKUP(C184,Data!A:I,8,FALSE),"Additional Information"),""))</f>
        <v/>
      </c>
      <c r="M184" s="34">
        <f t="shared" si="3"/>
        <v>1</v>
      </c>
      <c r="N184" s="42" t="s">
        <v>63</v>
      </c>
      <c r="O184" s="42" t="s">
        <v>63</v>
      </c>
      <c r="P184" s="42" t="s">
        <v>63</v>
      </c>
      <c r="Q184" s="42" t="s">
        <v>63</v>
      </c>
      <c r="R184" s="42" t="s">
        <v>63</v>
      </c>
      <c r="S184" s="42" t="s">
        <v>63</v>
      </c>
      <c r="T184" s="42" t="s">
        <v>63</v>
      </c>
      <c r="U184" s="42" t="s">
        <v>63</v>
      </c>
      <c r="V184" s="42" t="s">
        <v>63</v>
      </c>
      <c r="W184" s="42" t="s">
        <v>63</v>
      </c>
      <c r="X184" s="42" t="s">
        <v>63</v>
      </c>
      <c r="Y184" s="42" t="s">
        <v>63</v>
      </c>
      <c r="Z184" s="42" t="s">
        <v>63</v>
      </c>
      <c r="AA184" s="43" t="s">
        <v>63</v>
      </c>
      <c r="AB184" s="42" t="s">
        <v>63</v>
      </c>
      <c r="AC184" s="42"/>
      <c r="AD184" s="42" t="s">
        <v>63</v>
      </c>
      <c r="AE184" s="42" t="s">
        <v>63</v>
      </c>
      <c r="AF184" s="42" t="s">
        <v>63</v>
      </c>
      <c r="AG184" s="42" t="s">
        <v>63</v>
      </c>
      <c r="AH184" s="42" t="s">
        <v>63</v>
      </c>
      <c r="AI184" s="42"/>
      <c r="AJ184" s="42" t="s">
        <v>63</v>
      </c>
      <c r="AK184" s="42"/>
      <c r="AL184" s="42" t="s">
        <v>63</v>
      </c>
      <c r="AM184" s="42"/>
      <c r="AN184" s="42" t="s">
        <v>63</v>
      </c>
      <c r="AO184" s="42" t="s">
        <v>63</v>
      </c>
      <c r="AP184" s="42" t="s">
        <v>63</v>
      </c>
      <c r="AQ184" s="42" t="s">
        <v>63</v>
      </c>
      <c r="AR184" s="42"/>
      <c r="AS184" s="42" t="s">
        <v>63</v>
      </c>
      <c r="AT184" s="42" t="s">
        <v>63</v>
      </c>
      <c r="AU184" s="42"/>
      <c r="AV184" s="42"/>
      <c r="AW184" s="42" t="s">
        <v>63</v>
      </c>
      <c r="AX184" s="42" t="s">
        <v>63</v>
      </c>
      <c r="AY184" s="42" t="s">
        <v>63</v>
      </c>
      <c r="AZ184" s="42" t="s">
        <v>63</v>
      </c>
      <c r="BA184" s="42"/>
      <c r="BB184" s="42" t="s">
        <v>63</v>
      </c>
      <c r="BC184" s="42" t="s">
        <v>63</v>
      </c>
      <c r="BD184" s="42" t="s">
        <v>64</v>
      </c>
      <c r="BE184" s="42" t="s">
        <v>63</v>
      </c>
      <c r="BF184" s="42" t="s">
        <v>63</v>
      </c>
      <c r="BG184" s="42" t="s">
        <v>63</v>
      </c>
      <c r="BH184" s="42" t="s">
        <v>63</v>
      </c>
      <c r="BI184" s="42" t="s">
        <v>63</v>
      </c>
      <c r="BJ184" s="42" t="s">
        <v>63</v>
      </c>
      <c r="BK184" s="42" t="s">
        <v>63</v>
      </c>
      <c r="BL184" s="42" t="s">
        <v>63</v>
      </c>
    </row>
    <row r="185" spans="1:64" s="36" customFormat="1" ht="15.75">
      <c r="A185" s="33" t="s">
        <v>1177</v>
      </c>
      <c r="B185" s="34" t="s">
        <v>689</v>
      </c>
      <c r="C185" s="34" t="s">
        <v>689</v>
      </c>
      <c r="D185" s="33" t="s">
        <v>411</v>
      </c>
      <c r="E185" s="34">
        <f>IF(_xlfn.IFNA(VLOOKUP(B185,Data!B:G,3,FALSE),"")=0, "", _xlfn.IFNA(VLOOKUP(B185,Data!B:G,3,FALSE),""))</f>
        <v>3</v>
      </c>
      <c r="F185" s="33" t="s">
        <v>1175</v>
      </c>
      <c r="G185" s="33"/>
      <c r="H185" s="33" t="str">
        <f>IF(_xlfn.IFNA(VLOOKUP(C185,Data!A:G,5,FALSE),"")=0, "Check course registration information", _xlfn.IFNA(VLOOKUP(C185,Data!A:G,5,FALSE),""))</f>
        <v>ME 47500</v>
      </c>
      <c r="I185" s="33"/>
      <c r="J185" s="33" t="str">
        <f>IF(_xlfn.IFNA(VLOOKUP(C185,Data!A:G,6,FALSE),"")=0, "Check course registration information", _xlfn.IFNA(VLOOKUP(C185,Data!A:G,6,FALSE),""))</f>
        <v>Introduction to, and overview of, the field of digital control. Prior knowledge of continuous control techniques is assumed. Topics include mathematical background from residue theory through integral transforms; sampled data systems, including A/D, D/A, and hold properties, aliasing, and Z transforms. Digital control design via continuous, discrete, and state space design techniques. Implementation considerations, including nonlinear effects. Mechanical engineering examples</v>
      </c>
      <c r="K185" s="33" t="str">
        <f>IF(_xlfn.IFNA(VLOOKUP(C185,Data!A:H,7,FALSE),"")=0, "", _xlfn.IFNA(HYPERLINK(VLOOKUP(C185,Data!A:H,7,FALSE),"Catalog Link"),""))</f>
        <v>Catalog Link</v>
      </c>
      <c r="L185" s="33" t="str">
        <f>IF(_xlfn.IFNA(VLOOKUP(C185,Data!A:I,8,FALSE),"")=0, "", _xlfn.IFNA(HYPERLINK(VLOOKUP(C185,Data!A:I,8,FALSE),"Additional Information"),""))</f>
        <v/>
      </c>
      <c r="M185" s="34">
        <f t="shared" si="3"/>
        <v>0</v>
      </c>
      <c r="N185" s="42" t="s">
        <v>63</v>
      </c>
      <c r="O185" s="42" t="s">
        <v>63</v>
      </c>
      <c r="P185" s="42" t="s">
        <v>63</v>
      </c>
      <c r="Q185" s="42" t="s">
        <v>63</v>
      </c>
      <c r="R185" s="42" t="s">
        <v>63</v>
      </c>
      <c r="S185" s="42" t="s">
        <v>63</v>
      </c>
      <c r="T185" s="42" t="s">
        <v>63</v>
      </c>
      <c r="U185" s="42" t="s">
        <v>63</v>
      </c>
      <c r="V185" s="42" t="s">
        <v>63</v>
      </c>
      <c r="W185" s="42" t="s">
        <v>63</v>
      </c>
      <c r="X185" s="42" t="s">
        <v>63</v>
      </c>
      <c r="Y185" s="42" t="s">
        <v>63</v>
      </c>
      <c r="Z185" s="42" t="s">
        <v>63</v>
      </c>
      <c r="AA185" s="43" t="s">
        <v>63</v>
      </c>
      <c r="AB185" s="42" t="s">
        <v>63</v>
      </c>
      <c r="AC185" s="42"/>
      <c r="AD185" s="42" t="s">
        <v>63</v>
      </c>
      <c r="AE185" s="42" t="s">
        <v>63</v>
      </c>
      <c r="AF185" s="42" t="s">
        <v>63</v>
      </c>
      <c r="AG185" s="42" t="s">
        <v>63</v>
      </c>
      <c r="AH185" s="42" t="s">
        <v>63</v>
      </c>
      <c r="AI185" s="42"/>
      <c r="AJ185" s="42" t="s">
        <v>63</v>
      </c>
      <c r="AK185" s="42"/>
      <c r="AL185" s="42" t="s">
        <v>63</v>
      </c>
      <c r="AM185" s="42"/>
      <c r="AN185" s="42" t="s">
        <v>63</v>
      </c>
      <c r="AO185" s="42" t="s">
        <v>63</v>
      </c>
      <c r="AP185" s="42" t="s">
        <v>63</v>
      </c>
      <c r="AQ185" s="42" t="s">
        <v>63</v>
      </c>
      <c r="AR185" s="42"/>
      <c r="AS185" s="42" t="s">
        <v>63</v>
      </c>
      <c r="AT185" s="42" t="s">
        <v>63</v>
      </c>
      <c r="AU185" s="42"/>
      <c r="AV185" s="42"/>
      <c r="AW185" s="42" t="s">
        <v>63</v>
      </c>
      <c r="AX185" s="42" t="s">
        <v>63</v>
      </c>
      <c r="AY185" s="42" t="s">
        <v>63</v>
      </c>
      <c r="AZ185" s="42" t="s">
        <v>63</v>
      </c>
      <c r="BA185" s="42"/>
      <c r="BB185" s="42" t="s">
        <v>63</v>
      </c>
      <c r="BC185" s="42" t="s">
        <v>63</v>
      </c>
      <c r="BD185" s="42" t="s">
        <v>63</v>
      </c>
      <c r="BE185" s="42" t="s">
        <v>63</v>
      </c>
      <c r="BF185" s="42" t="s">
        <v>63</v>
      </c>
      <c r="BG185" s="42" t="s">
        <v>63</v>
      </c>
      <c r="BH185" s="42" t="s">
        <v>63</v>
      </c>
      <c r="BI185" s="42" t="s">
        <v>63</v>
      </c>
      <c r="BJ185" s="42" t="s">
        <v>63</v>
      </c>
      <c r="BK185" s="42" t="s">
        <v>63</v>
      </c>
      <c r="BL185" s="42" t="s">
        <v>63</v>
      </c>
    </row>
    <row r="186" spans="1:64" s="36" customFormat="1" ht="15.75">
      <c r="A186" s="33" t="s">
        <v>1177</v>
      </c>
      <c r="B186" s="34" t="s">
        <v>691</v>
      </c>
      <c r="C186" s="34" t="s">
        <v>691</v>
      </c>
      <c r="D186" s="33" t="s">
        <v>413</v>
      </c>
      <c r="E186" s="34">
        <f>IF(_xlfn.IFNA(VLOOKUP(B186,Data!B:G,3,FALSE),"")=0, "", _xlfn.IFNA(VLOOKUP(B186,Data!B:G,3,FALSE),""))</f>
        <v>3</v>
      </c>
      <c r="F186" s="33" t="s">
        <v>1175</v>
      </c>
      <c r="G186" s="33"/>
      <c r="H186" s="33" t="str">
        <f>IF(_xlfn.IFNA(VLOOKUP(C186,Data!A:G,5,FALSE),"")=0, "Check course registration information", _xlfn.IFNA(VLOOKUP(C186,Data!A:G,5,FALSE),""))</f>
        <v>ME 37500</v>
      </c>
      <c r="I186" s="33"/>
      <c r="J186" s="33" t="str">
        <f>IF(_xlfn.IFNA(VLOOKUP(C186,Data!A:G,6,FALSE),"")=0, "Check course registration information", _xlfn.IFNA(VLOOKUP(C186,Data!A:G,6,FALSE),""))</f>
        <v>Fundamentals of signal processing associated with Fourier analyzer systems are presented. Emphasis is on amplitude accuracy and frequency resolution properties necessary for reliable experimental methodologies in system identification, spectrum estimation, and correlation analysis. Deterministic, as well as random, data analyses are presented. Students are required to develop algorithms that significantly expand the utility of Fourier analyzer systems</v>
      </c>
      <c r="K186" s="33" t="str">
        <f>IF(_xlfn.IFNA(VLOOKUP(C186,Data!A:H,7,FALSE),"")=0, "", _xlfn.IFNA(HYPERLINK(VLOOKUP(C186,Data!A:H,7,FALSE),"Catalog Link"),""))</f>
        <v>Catalog Link</v>
      </c>
      <c r="L186" s="33" t="str">
        <f>IF(_xlfn.IFNA(VLOOKUP(C186,Data!A:I,8,FALSE),"")=0, "", _xlfn.IFNA(HYPERLINK(VLOOKUP(C186,Data!A:I,8,FALSE),"Additional Information"),""))</f>
        <v/>
      </c>
      <c r="M186" s="34">
        <f t="shared" si="3"/>
        <v>0</v>
      </c>
      <c r="N186" s="42" t="s">
        <v>63</v>
      </c>
      <c r="O186" s="42" t="s">
        <v>63</v>
      </c>
      <c r="P186" s="42" t="s">
        <v>63</v>
      </c>
      <c r="Q186" s="42" t="s">
        <v>63</v>
      </c>
      <c r="R186" s="42" t="s">
        <v>63</v>
      </c>
      <c r="S186" s="42" t="s">
        <v>63</v>
      </c>
      <c r="T186" s="42" t="s">
        <v>63</v>
      </c>
      <c r="U186" s="42" t="s">
        <v>63</v>
      </c>
      <c r="V186" s="42" t="s">
        <v>63</v>
      </c>
      <c r="W186" s="42" t="s">
        <v>63</v>
      </c>
      <c r="X186" s="42" t="s">
        <v>63</v>
      </c>
      <c r="Y186" s="42" t="s">
        <v>63</v>
      </c>
      <c r="Z186" s="42" t="s">
        <v>63</v>
      </c>
      <c r="AA186" s="43" t="s">
        <v>63</v>
      </c>
      <c r="AB186" s="42" t="s">
        <v>63</v>
      </c>
      <c r="AC186" s="42"/>
      <c r="AD186" s="42" t="s">
        <v>63</v>
      </c>
      <c r="AE186" s="42" t="s">
        <v>63</v>
      </c>
      <c r="AF186" s="42" t="s">
        <v>63</v>
      </c>
      <c r="AG186" s="42" t="s">
        <v>63</v>
      </c>
      <c r="AH186" s="42" t="s">
        <v>63</v>
      </c>
      <c r="AI186" s="42"/>
      <c r="AJ186" s="42" t="s">
        <v>63</v>
      </c>
      <c r="AK186" s="42"/>
      <c r="AL186" s="42" t="s">
        <v>63</v>
      </c>
      <c r="AM186" s="42"/>
      <c r="AN186" s="42" t="s">
        <v>63</v>
      </c>
      <c r="AO186" s="42" t="s">
        <v>63</v>
      </c>
      <c r="AP186" s="42" t="s">
        <v>63</v>
      </c>
      <c r="AQ186" s="42" t="s">
        <v>63</v>
      </c>
      <c r="AR186" s="42"/>
      <c r="AS186" s="42" t="s">
        <v>63</v>
      </c>
      <c r="AT186" s="42" t="s">
        <v>63</v>
      </c>
      <c r="AU186" s="42"/>
      <c r="AV186" s="42"/>
      <c r="AW186" s="42" t="s">
        <v>63</v>
      </c>
      <c r="AX186" s="42" t="s">
        <v>63</v>
      </c>
      <c r="AY186" s="42" t="s">
        <v>63</v>
      </c>
      <c r="AZ186" s="42" t="s">
        <v>63</v>
      </c>
      <c r="BA186" s="42"/>
      <c r="BB186" s="42" t="s">
        <v>63</v>
      </c>
      <c r="BC186" s="42" t="s">
        <v>63</v>
      </c>
      <c r="BD186" s="42" t="s">
        <v>63</v>
      </c>
      <c r="BE186" s="42" t="s">
        <v>63</v>
      </c>
      <c r="BF186" s="42" t="s">
        <v>63</v>
      </c>
      <c r="BG186" s="42" t="s">
        <v>63</v>
      </c>
      <c r="BH186" s="42" t="s">
        <v>63</v>
      </c>
      <c r="BI186" s="42" t="s">
        <v>63</v>
      </c>
      <c r="BJ186" s="42" t="s">
        <v>63</v>
      </c>
      <c r="BK186" s="42" t="s">
        <v>63</v>
      </c>
      <c r="BL186" s="42" t="s">
        <v>63</v>
      </c>
    </row>
    <row r="187" spans="1:64">
      <c r="A187" s="33" t="s">
        <v>1177</v>
      </c>
      <c r="B187" s="34" t="s">
        <v>693</v>
      </c>
      <c r="C187" s="34" t="s">
        <v>693</v>
      </c>
      <c r="D187" s="33" t="s">
        <v>415</v>
      </c>
      <c r="E187" s="34">
        <f>IF(_xlfn.IFNA(VLOOKUP(B187,Data!B:G,3,FALSE),"")=0, "", _xlfn.IFNA(VLOOKUP(B187,Data!B:G,3,FALSE),""))</f>
        <v>3</v>
      </c>
      <c r="F187" s="33" t="s">
        <v>1175</v>
      </c>
      <c r="G187" s="33"/>
      <c r="H187" s="33" t="str">
        <f>IF(_xlfn.IFNA(VLOOKUP(C187,Data!A:G,5,FALSE),"")=0, "Check course registration information", _xlfn.IFNA(VLOOKUP(C187,Data!A:G,5,FALSE),""))</f>
        <v>MA 30300</v>
      </c>
      <c r="J187" s="33" t="str">
        <f>IF(_xlfn.IFNA(VLOOKUP(C187,Data!A:G,6,FALSE),"")=0, "Check course registration information", _xlfn.IFNA(VLOOKUP(C187,Data!A:G,6,FALSE),""))</f>
        <v>The solution of problems arising in mechanical engineering using numerical methods. Topics include nonlinear algebraic equations, sets of linear algebraic equations, eigenvalue problems, interpolation, curve fitting, ordinary differential equations, and partial differential equations. Applications include fluid mechanics, gas dynamics, heat and mass transfer, thermodynamics, vibrations, automatic control systems, kinematics, and design</v>
      </c>
      <c r="K187" s="33" t="str">
        <f>IF(_xlfn.IFNA(VLOOKUP(C187,Data!A:H,7,FALSE),"")=0, "", _xlfn.IFNA(HYPERLINK(VLOOKUP(C187,Data!A:H,7,FALSE),"Catalog Link"),""))</f>
        <v>Catalog Link</v>
      </c>
      <c r="L187" s="33" t="str">
        <f>IF(_xlfn.IFNA(VLOOKUP(C187,Data!A:I,8,FALSE),"")=0, "", _xlfn.IFNA(HYPERLINK(VLOOKUP(C187,Data!A:I,8,FALSE),"Additional Information"),""))</f>
        <v/>
      </c>
      <c r="M187" s="34">
        <f t="shared" si="3"/>
        <v>0</v>
      </c>
      <c r="N187" s="42" t="s">
        <v>63</v>
      </c>
      <c r="O187" s="42" t="s">
        <v>63</v>
      </c>
      <c r="P187" s="42" t="s">
        <v>63</v>
      </c>
      <c r="Q187" s="42" t="s">
        <v>63</v>
      </c>
      <c r="R187" s="42" t="s">
        <v>63</v>
      </c>
      <c r="S187" s="42" t="s">
        <v>63</v>
      </c>
      <c r="T187" s="42" t="s">
        <v>63</v>
      </c>
      <c r="U187" s="42" t="s">
        <v>63</v>
      </c>
      <c r="V187" s="42" t="s">
        <v>63</v>
      </c>
      <c r="W187" s="42" t="s">
        <v>63</v>
      </c>
      <c r="X187" s="42" t="s">
        <v>63</v>
      </c>
      <c r="Y187" s="42" t="s">
        <v>63</v>
      </c>
      <c r="Z187" s="42" t="s">
        <v>63</v>
      </c>
      <c r="AA187" s="43" t="s">
        <v>63</v>
      </c>
      <c r="AB187" s="42" t="s">
        <v>63</v>
      </c>
      <c r="AC187" s="42"/>
      <c r="AD187" s="42" t="s">
        <v>63</v>
      </c>
      <c r="AE187" s="42" t="s">
        <v>63</v>
      </c>
      <c r="AF187" s="42" t="s">
        <v>63</v>
      </c>
      <c r="AG187" s="42" t="s">
        <v>63</v>
      </c>
      <c r="AH187" s="42" t="s">
        <v>63</v>
      </c>
      <c r="AI187" s="42"/>
      <c r="AJ187" s="42" t="s">
        <v>63</v>
      </c>
      <c r="AK187" s="42"/>
      <c r="AL187" s="42" t="s">
        <v>63</v>
      </c>
      <c r="AM187" s="42"/>
      <c r="AN187" s="42" t="s">
        <v>63</v>
      </c>
      <c r="AO187" s="42" t="s">
        <v>63</v>
      </c>
      <c r="AP187" s="42" t="s">
        <v>63</v>
      </c>
      <c r="AQ187" s="42" t="s">
        <v>63</v>
      </c>
      <c r="AR187" s="42"/>
      <c r="AS187" s="42" t="s">
        <v>63</v>
      </c>
      <c r="AT187" s="42" t="s">
        <v>63</v>
      </c>
      <c r="AU187" s="42"/>
      <c r="AV187" s="42"/>
      <c r="AW187" s="42" t="s">
        <v>63</v>
      </c>
      <c r="AX187" s="42" t="s">
        <v>63</v>
      </c>
      <c r="AY187" s="42" t="s">
        <v>63</v>
      </c>
      <c r="AZ187" s="42" t="s">
        <v>63</v>
      </c>
      <c r="BA187" s="42"/>
      <c r="BB187" s="42" t="s">
        <v>63</v>
      </c>
      <c r="BC187" s="42" t="s">
        <v>63</v>
      </c>
      <c r="BD187" s="42" t="s">
        <v>63</v>
      </c>
      <c r="BE187" s="42" t="s">
        <v>63</v>
      </c>
      <c r="BF187" s="42" t="s">
        <v>63</v>
      </c>
      <c r="BG187" s="42" t="s">
        <v>63</v>
      </c>
      <c r="BH187" s="42" t="s">
        <v>63</v>
      </c>
      <c r="BI187" s="42" t="s">
        <v>63</v>
      </c>
      <c r="BJ187" s="42" t="s">
        <v>63</v>
      </c>
      <c r="BK187" s="42" t="s">
        <v>63</v>
      </c>
      <c r="BL187" s="42" t="s">
        <v>63</v>
      </c>
    </row>
    <row r="188" spans="1:64" s="36" customFormat="1" ht="15.75">
      <c r="A188" s="33" t="s">
        <v>1177</v>
      </c>
      <c r="B188" s="34" t="s">
        <v>694</v>
      </c>
      <c r="C188" s="34" t="s">
        <v>694</v>
      </c>
      <c r="D188" s="33" t="s">
        <v>417</v>
      </c>
      <c r="E188" s="34">
        <f>IF(_xlfn.IFNA(VLOOKUP(B188,Data!B:G,3,FALSE),"")=0, "", _xlfn.IFNA(VLOOKUP(B188,Data!B:G,3,FALSE),""))</f>
        <v>3</v>
      </c>
      <c r="F188" s="33" t="s">
        <v>1175</v>
      </c>
      <c r="G188" s="33"/>
      <c r="H188" s="33" t="str">
        <f>IF(_xlfn.IFNA(VLOOKUP(C188,Data!A:G,5,FALSE),"")=0, "Check course registration information", _xlfn.IFNA(VLOOKUP(C188,Data!A:G,5,FALSE),""))</f>
        <v>ME 37500</v>
      </c>
      <c r="I188" s="33"/>
      <c r="J188" s="33" t="str">
        <f>IF(_xlfn.IFNA(VLOOKUP(C188,Data!A:G,6,FALSE),"")=0, "Check course registration information", _xlfn.IFNA(VLOOKUP(C188,Data!A:G,6,FALSE),""))</f>
        <v>Architecture of microcomputers; operating systems, logic functions, logic circuit design; I/O structure and interfacing; assembly language, manual assembly; software and hardware interrupts; data acquisition, serial and parallel communications; the role of high-level languages. Laboratory experiments on applications to electrical, mechanical, and thermofluid systems</v>
      </c>
      <c r="K188" s="33" t="str">
        <f>IF(_xlfn.IFNA(VLOOKUP(C188,Data!A:H,7,FALSE),"")=0, "", _xlfn.IFNA(HYPERLINK(VLOOKUP(C188,Data!A:H,7,FALSE),"Catalog Link"),""))</f>
        <v>Catalog Link</v>
      </c>
      <c r="L188" s="33" t="str">
        <f>IF(_xlfn.IFNA(VLOOKUP(C188,Data!A:I,8,FALSE),"")=0, "", _xlfn.IFNA(HYPERLINK(VLOOKUP(C188,Data!A:I,8,FALSE),"Additional Information"),""))</f>
        <v/>
      </c>
      <c r="M188" s="34">
        <f t="shared" si="3"/>
        <v>1</v>
      </c>
      <c r="N188" s="42" t="s">
        <v>63</v>
      </c>
      <c r="O188" s="42" t="s">
        <v>63</v>
      </c>
      <c r="P188" s="42" t="s">
        <v>63</v>
      </c>
      <c r="Q188" s="42" t="s">
        <v>63</v>
      </c>
      <c r="R188" s="42" t="s">
        <v>63</v>
      </c>
      <c r="S188" s="42" t="s">
        <v>63</v>
      </c>
      <c r="T188" s="42" t="s">
        <v>63</v>
      </c>
      <c r="U188" s="42" t="s">
        <v>63</v>
      </c>
      <c r="V188" s="42" t="s">
        <v>63</v>
      </c>
      <c r="W188" s="42" t="s">
        <v>63</v>
      </c>
      <c r="X188" s="42" t="s">
        <v>63</v>
      </c>
      <c r="Y188" s="42" t="s">
        <v>63</v>
      </c>
      <c r="Z188" s="42" t="s">
        <v>63</v>
      </c>
      <c r="AA188" s="43" t="s">
        <v>63</v>
      </c>
      <c r="AB188" s="42" t="s">
        <v>63</v>
      </c>
      <c r="AC188" s="42"/>
      <c r="AD188" s="42" t="s">
        <v>63</v>
      </c>
      <c r="AE188" s="42" t="s">
        <v>63</v>
      </c>
      <c r="AF188" s="42" t="s">
        <v>63</v>
      </c>
      <c r="AG188" s="42" t="s">
        <v>63</v>
      </c>
      <c r="AH188" s="42" t="s">
        <v>63</v>
      </c>
      <c r="AI188" s="42"/>
      <c r="AJ188" s="42" t="s">
        <v>63</v>
      </c>
      <c r="AK188" s="42"/>
      <c r="AL188" s="42" t="s">
        <v>63</v>
      </c>
      <c r="AM188" s="42"/>
      <c r="AN188" s="42" t="s">
        <v>63</v>
      </c>
      <c r="AO188" s="42" t="s">
        <v>63</v>
      </c>
      <c r="AP188" s="42" t="s">
        <v>63</v>
      </c>
      <c r="AQ188" s="42" t="s">
        <v>63</v>
      </c>
      <c r="AR188" s="42"/>
      <c r="AS188" s="42" t="s">
        <v>63</v>
      </c>
      <c r="AT188" s="42" t="s">
        <v>63</v>
      </c>
      <c r="AU188" s="42"/>
      <c r="AV188" s="42"/>
      <c r="AW188" s="42" t="s">
        <v>63</v>
      </c>
      <c r="AX188" s="42" t="s">
        <v>63</v>
      </c>
      <c r="AY188" s="42" t="s">
        <v>63</v>
      </c>
      <c r="AZ188" s="42" t="s">
        <v>63</v>
      </c>
      <c r="BA188" s="42"/>
      <c r="BB188" s="42" t="s">
        <v>63</v>
      </c>
      <c r="BC188" s="42" t="s">
        <v>63</v>
      </c>
      <c r="BD188" s="42" t="s">
        <v>64</v>
      </c>
      <c r="BE188" s="42" t="s">
        <v>63</v>
      </c>
      <c r="BF188" s="42" t="s">
        <v>63</v>
      </c>
      <c r="BG188" s="42" t="s">
        <v>63</v>
      </c>
      <c r="BH188" s="42" t="s">
        <v>63</v>
      </c>
      <c r="BI188" s="42" t="s">
        <v>63</v>
      </c>
      <c r="BJ188" s="42" t="s">
        <v>63</v>
      </c>
      <c r="BK188" s="42" t="s">
        <v>63</v>
      </c>
      <c r="BL188" s="42" t="s">
        <v>63</v>
      </c>
    </row>
    <row r="189" spans="1:64">
      <c r="A189" s="33" t="s">
        <v>1177</v>
      </c>
      <c r="B189" s="34" t="s">
        <v>696</v>
      </c>
      <c r="C189" s="34" t="s">
        <v>696</v>
      </c>
      <c r="D189" s="33" t="s">
        <v>419</v>
      </c>
      <c r="E189" s="34">
        <f>IF(_xlfn.IFNA(VLOOKUP(B189,Data!B:G,3,FALSE),"")=0, "", _xlfn.IFNA(VLOOKUP(B189,Data!B:G,3,FALSE),""))</f>
        <v>3</v>
      </c>
      <c r="F189" s="33" t="s">
        <v>1175</v>
      </c>
      <c r="G189" s="33"/>
      <c r="H189" s="33" t="str">
        <f>IF(_xlfn.IFNA(VLOOKUP(C189,Data!A:G,5,FALSE),"")=0, "Check course registration information", _xlfn.IFNA(VLOOKUP(C189,Data!A:G,5,FALSE),""))</f>
        <v>Junior status and above</v>
      </c>
      <c r="J189" s="33" t="str">
        <f>IF(_xlfn.IFNA(VLOOKUP(C189,Data!A:G,6,FALSE),"")=0, "Check course registration information", _xlfn.IFNA(VLOOKUP(C189,Data!A:G,6,FALSE),""))</f>
        <v>Fundamentals of geometrical and physical optics as related to problems in engineering design and research. Characteristics of imaging systems; properties of light sources; optical properties of materials. Diffraction, interference, polarization, and scattering phenomena as related to optical measurement techniques. Introduction to lasers and holography. (Laboratory work can be undertaken for additional credit by special arrangement.)</v>
      </c>
      <c r="K189" s="33" t="str">
        <f>IF(_xlfn.IFNA(VLOOKUP(C189,Data!A:H,7,FALSE),"")=0, "", _xlfn.IFNA(HYPERLINK(VLOOKUP(C189,Data!A:H,7,FALSE),"Catalog Link"),""))</f>
        <v>Catalog Link</v>
      </c>
      <c r="L189" s="33" t="str">
        <f>IF(_xlfn.IFNA(VLOOKUP(C189,Data!A:I,8,FALSE),"")=0, "", _xlfn.IFNA(HYPERLINK(VLOOKUP(C189,Data!A:I,8,FALSE),"Additional Information"),""))</f>
        <v/>
      </c>
      <c r="M189" s="34">
        <f t="shared" si="3"/>
        <v>1</v>
      </c>
      <c r="N189" s="42" t="s">
        <v>63</v>
      </c>
      <c r="O189" s="42" t="s">
        <v>63</v>
      </c>
      <c r="P189" s="42" t="s">
        <v>63</v>
      </c>
      <c r="Q189" s="42" t="s">
        <v>63</v>
      </c>
      <c r="R189" s="42" t="s">
        <v>63</v>
      </c>
      <c r="S189" s="42" t="s">
        <v>63</v>
      </c>
      <c r="T189" s="42" t="s">
        <v>63</v>
      </c>
      <c r="U189" s="42" t="s">
        <v>63</v>
      </c>
      <c r="V189" s="42" t="s">
        <v>63</v>
      </c>
      <c r="W189" s="42" t="s">
        <v>63</v>
      </c>
      <c r="X189" s="42" t="s">
        <v>63</v>
      </c>
      <c r="Y189" s="42" t="s">
        <v>63</v>
      </c>
      <c r="Z189" s="42" t="s">
        <v>63</v>
      </c>
      <c r="AA189" s="43" t="s">
        <v>63</v>
      </c>
      <c r="AB189" s="42" t="s">
        <v>63</v>
      </c>
      <c r="AC189" s="42"/>
      <c r="AD189" s="42" t="s">
        <v>63</v>
      </c>
      <c r="AE189" s="42" t="s">
        <v>63</v>
      </c>
      <c r="AF189" s="42" t="s">
        <v>63</v>
      </c>
      <c r="AG189" s="42" t="s">
        <v>63</v>
      </c>
      <c r="AH189" s="42" t="s">
        <v>63</v>
      </c>
      <c r="AI189" s="42"/>
      <c r="AJ189" s="42" t="s">
        <v>63</v>
      </c>
      <c r="AK189" s="42"/>
      <c r="AL189" s="42" t="s">
        <v>63</v>
      </c>
      <c r="AM189" s="42"/>
      <c r="AN189" s="42" t="s">
        <v>64</v>
      </c>
      <c r="AO189" s="42" t="s">
        <v>63</v>
      </c>
      <c r="AP189" s="42" t="s">
        <v>63</v>
      </c>
      <c r="AQ189" s="42" t="s">
        <v>63</v>
      </c>
      <c r="AR189" s="42"/>
      <c r="AS189" s="42"/>
      <c r="AT189" s="42" t="s">
        <v>63</v>
      </c>
      <c r="AU189" s="42"/>
      <c r="AV189" s="42"/>
      <c r="AW189" s="42" t="s">
        <v>63</v>
      </c>
      <c r="AX189" s="42" t="s">
        <v>63</v>
      </c>
      <c r="AY189" s="42" t="s">
        <v>63</v>
      </c>
      <c r="AZ189" s="42" t="s">
        <v>63</v>
      </c>
      <c r="BA189" s="42"/>
      <c r="BB189" s="42" t="s">
        <v>63</v>
      </c>
      <c r="BC189" s="42" t="s">
        <v>63</v>
      </c>
      <c r="BD189" s="42" t="s">
        <v>63</v>
      </c>
      <c r="BE189" s="42" t="s">
        <v>63</v>
      </c>
      <c r="BF189" s="42" t="s">
        <v>63</v>
      </c>
      <c r="BG189" s="42" t="s">
        <v>63</v>
      </c>
      <c r="BH189" s="42" t="s">
        <v>63</v>
      </c>
      <c r="BI189" s="42" t="s">
        <v>63</v>
      </c>
      <c r="BJ189" s="42" t="s">
        <v>63</v>
      </c>
      <c r="BK189" s="42" t="s">
        <v>63</v>
      </c>
      <c r="BL189" s="42" t="s">
        <v>63</v>
      </c>
    </row>
    <row r="190" spans="1:64" s="36" customFormat="1" ht="15.75">
      <c r="A190" s="33" t="s">
        <v>1177</v>
      </c>
      <c r="B190" s="34" t="s">
        <v>698</v>
      </c>
      <c r="C190" s="34" t="s">
        <v>698</v>
      </c>
      <c r="D190" s="33" t="s">
        <v>421</v>
      </c>
      <c r="E190" s="34">
        <f>IF(_xlfn.IFNA(VLOOKUP(B190,Data!B:G,3,FALSE),"")=0, "", _xlfn.IFNA(VLOOKUP(B190,Data!B:G,3,FALSE),""))</f>
        <v>3</v>
      </c>
      <c r="F190" s="33" t="s">
        <v>1175</v>
      </c>
      <c r="G190" s="33"/>
      <c r="H190" s="33" t="str">
        <f>IF(_xlfn.IFNA(VLOOKUP(C190,Data!A:G,5,FALSE),"")=0, "Check course registration information", _xlfn.IFNA(VLOOKUP(C190,Data!A:G,5,FALSE),""))</f>
        <v>ME 37500</v>
      </c>
      <c r="I190" s="33"/>
      <c r="J190" s="33" t="str">
        <f>IF(_xlfn.IFNA(VLOOKUP(C190,Data!A:G,6,FALSE),"")=0, "Check course registration information", _xlfn.IFNA(VLOOKUP(C190,Data!A:G,6,FALSE),""))</f>
        <v>Electronic and interfacing techniques for design and control of electro-mechanical systems. Basic digital and analog design with applications to electro-mechanical interfacing via hands-on laboratory experience. Commonly used actuators and sensors and corresponding interfacing techniques. Realistic and integrated product development experience provided through a comprehensive final project where working prototypes are built to defined specifications</v>
      </c>
      <c r="K190" s="33" t="str">
        <f>IF(_xlfn.IFNA(VLOOKUP(C190,Data!A:H,7,FALSE),"")=0, "", _xlfn.IFNA(HYPERLINK(VLOOKUP(C190,Data!A:H,7,FALSE),"Catalog Link"),""))</f>
        <v>Catalog Link</v>
      </c>
      <c r="L190" s="33" t="str">
        <f>IF(_xlfn.IFNA(VLOOKUP(C190,Data!A:I,8,FALSE),"")=0, "", _xlfn.IFNA(HYPERLINK(VLOOKUP(C190,Data!A:I,8,FALSE),"Additional Information"),""))</f>
        <v/>
      </c>
      <c r="M190" s="34">
        <f t="shared" si="3"/>
        <v>0</v>
      </c>
      <c r="N190" s="42" t="s">
        <v>63</v>
      </c>
      <c r="O190" s="42" t="s">
        <v>63</v>
      </c>
      <c r="P190" s="42" t="s">
        <v>63</v>
      </c>
      <c r="Q190" s="42" t="s">
        <v>63</v>
      </c>
      <c r="R190" s="42" t="s">
        <v>63</v>
      </c>
      <c r="S190" s="42" t="s">
        <v>63</v>
      </c>
      <c r="T190" s="42" t="s">
        <v>63</v>
      </c>
      <c r="U190" s="42" t="s">
        <v>63</v>
      </c>
      <c r="V190" s="42" t="s">
        <v>63</v>
      </c>
      <c r="W190" s="42" t="s">
        <v>63</v>
      </c>
      <c r="X190" s="42" t="s">
        <v>63</v>
      </c>
      <c r="Y190" s="42" t="s">
        <v>63</v>
      </c>
      <c r="Z190" s="42" t="s">
        <v>63</v>
      </c>
      <c r="AA190" s="43" t="s">
        <v>63</v>
      </c>
      <c r="AB190" s="42" t="s">
        <v>63</v>
      </c>
      <c r="AC190" s="42"/>
      <c r="AD190" s="42" t="s">
        <v>63</v>
      </c>
      <c r="AE190" s="42" t="s">
        <v>63</v>
      </c>
      <c r="AF190" s="42" t="s">
        <v>63</v>
      </c>
      <c r="AG190" s="42" t="s">
        <v>63</v>
      </c>
      <c r="AH190" s="42" t="s">
        <v>63</v>
      </c>
      <c r="AI190" s="42"/>
      <c r="AJ190" s="42" t="s">
        <v>63</v>
      </c>
      <c r="AK190" s="42"/>
      <c r="AL190" s="42" t="s">
        <v>63</v>
      </c>
      <c r="AM190" s="42"/>
      <c r="AN190" s="42" t="s">
        <v>63</v>
      </c>
      <c r="AO190" s="42" t="s">
        <v>63</v>
      </c>
      <c r="AP190" s="42" t="s">
        <v>63</v>
      </c>
      <c r="AQ190" s="42" t="s">
        <v>63</v>
      </c>
      <c r="AR190" s="42"/>
      <c r="AS190" s="42" t="s">
        <v>63</v>
      </c>
      <c r="AT190" s="42" t="s">
        <v>63</v>
      </c>
      <c r="AU190" s="42"/>
      <c r="AV190" s="42"/>
      <c r="AW190" s="42" t="s">
        <v>63</v>
      </c>
      <c r="AX190" s="42" t="s">
        <v>63</v>
      </c>
      <c r="AY190" s="42" t="s">
        <v>63</v>
      </c>
      <c r="AZ190" s="42" t="s">
        <v>63</v>
      </c>
      <c r="BA190" s="42"/>
      <c r="BB190" s="42" t="s">
        <v>63</v>
      </c>
      <c r="BC190" s="42" t="s">
        <v>63</v>
      </c>
      <c r="BD190" s="42" t="s">
        <v>63</v>
      </c>
      <c r="BE190" s="42" t="s">
        <v>63</v>
      </c>
      <c r="BF190" s="42" t="s">
        <v>63</v>
      </c>
      <c r="BG190" s="42" t="s">
        <v>63</v>
      </c>
      <c r="BH190" s="42" t="s">
        <v>63</v>
      </c>
      <c r="BI190" s="42" t="s">
        <v>63</v>
      </c>
      <c r="BJ190" s="42" t="s">
        <v>63</v>
      </c>
      <c r="BK190" s="42" t="s">
        <v>63</v>
      </c>
      <c r="BL190" s="42" t="s">
        <v>63</v>
      </c>
    </row>
    <row r="191" spans="1:64">
      <c r="A191" s="55" t="s">
        <v>1176</v>
      </c>
      <c r="B191" s="34" t="s">
        <v>91</v>
      </c>
      <c r="C191" s="34" t="s">
        <v>91</v>
      </c>
      <c r="D191" s="33" t="s">
        <v>564</v>
      </c>
      <c r="E191" s="34">
        <f>IF(_xlfn.IFNA(VLOOKUP(B191,Data!B:G,3,FALSE),"")=0, "", _xlfn.IFNA(VLOOKUP(B191,Data!B:G,3,FALSE),""))</f>
        <v>3</v>
      </c>
      <c r="F191" s="66" t="s">
        <v>69</v>
      </c>
      <c r="H191" s="66" t="str">
        <f>IF(_xlfn.IFNA(VLOOKUP(C191,Data!A:G,5,FALSE),"")=0, "Check course registration information", _xlfn.IFNA(VLOOKUP(C191,Data!A:G,5,FALSE),""))</f>
        <v>Junior-level standing in an ABET accredited engineering curriculum or permission of course instructor</v>
      </c>
      <c r="I191" s="33" t="s">
        <v>1474</v>
      </c>
      <c r="J191" s="33" t="str">
        <f>IF(_xlfn.IFNA(VLOOKUP(C191,Data!A:G,6,FALSE),"")=0, "Check course registration information", _xlfn.IFNA(VLOOKUP(C191,Data!A:G,6,FALSE),""))</f>
        <v xml:space="preserve">This course provides a broad, hands-on introduction to principles and practices of electronics packaging. The course is broadly divided into four major modules as well as other smaller modules. The major modules provide a practical background (as it relates to electronic packaging) electrical, thermal, mechanical and materials characterization. Design considerations as well as materials selection in the above topics will also be addressed. The minor modules include package fabrication and assembly, radiation hardening, and statistical modeling and data analysis. The class will be primarily a lab-oriented with 1 lecture and 4 hours of hands-on lab each week. </v>
      </c>
      <c r="K191" s="33" t="str">
        <f>IF(_xlfn.IFNA(VLOOKUP(C191,Data!A:H,7,FALSE),"")=0, "", _xlfn.IFNA(HYPERLINK(VLOOKUP(C191,Data!A:H,7,FALSE),"Catalog Link"),""))</f>
        <v>Catalog Link</v>
      </c>
      <c r="L191" s="33" t="str">
        <f>IF(_xlfn.IFNA(VLOOKUP(C191,Data!A:I,8,FALSE),"")=0, "", _xlfn.IFNA(HYPERLINK(VLOOKUP(C191,Data!A:I,8,FALSE),"Additional Information"),""))</f>
        <v/>
      </c>
      <c r="M191" s="34">
        <f t="shared" si="3"/>
        <v>6</v>
      </c>
      <c r="N191" s="42" t="s">
        <v>63</v>
      </c>
      <c r="O191" s="42" t="s">
        <v>63</v>
      </c>
      <c r="P191" s="42" t="s">
        <v>63</v>
      </c>
      <c r="Q191" s="42" t="s">
        <v>63</v>
      </c>
      <c r="R191" s="42" t="s">
        <v>63</v>
      </c>
      <c r="S191" s="42" t="s">
        <v>64</v>
      </c>
      <c r="T191" s="42" t="s">
        <v>63</v>
      </c>
      <c r="U191" s="42" t="s">
        <v>64</v>
      </c>
      <c r="V191" s="42" t="s">
        <v>63</v>
      </c>
      <c r="W191" s="42" t="s">
        <v>63</v>
      </c>
      <c r="X191" s="42" t="s">
        <v>63</v>
      </c>
      <c r="Y191" s="42" t="s">
        <v>63</v>
      </c>
      <c r="Z191" s="42" t="s">
        <v>63</v>
      </c>
      <c r="AA191" s="42" t="s">
        <v>63</v>
      </c>
      <c r="AB191" s="42" t="s">
        <v>63</v>
      </c>
      <c r="AC191" s="42"/>
      <c r="AD191" s="42" t="s">
        <v>63</v>
      </c>
      <c r="AE191" s="42" t="s">
        <v>63</v>
      </c>
      <c r="AF191" s="42" t="s">
        <v>63</v>
      </c>
      <c r="AG191" s="42"/>
      <c r="AH191" s="42" t="s">
        <v>63</v>
      </c>
      <c r="AI191" s="42"/>
      <c r="AJ191" s="42" t="s">
        <v>63</v>
      </c>
      <c r="AK191" s="42"/>
      <c r="AL191" s="42" t="s">
        <v>63</v>
      </c>
      <c r="AM191" s="42"/>
      <c r="AN191" s="42"/>
      <c r="AO191" s="42" t="s">
        <v>63</v>
      </c>
      <c r="AP191" s="42" t="s">
        <v>63</v>
      </c>
      <c r="AQ191" s="42" t="s">
        <v>63</v>
      </c>
      <c r="AR191" s="42"/>
      <c r="AS191" s="42"/>
      <c r="AT191" s="42" t="s">
        <v>63</v>
      </c>
      <c r="AU191" s="42"/>
      <c r="AV191" s="42"/>
      <c r="AW191" s="42" t="s">
        <v>63</v>
      </c>
      <c r="AX191" s="42" t="s">
        <v>64</v>
      </c>
      <c r="AY191" s="42" t="s">
        <v>64</v>
      </c>
      <c r="AZ191" s="42" t="s">
        <v>63</v>
      </c>
      <c r="BA191" s="42"/>
      <c r="BB191" s="42" t="s">
        <v>63</v>
      </c>
      <c r="BC191" s="42" t="s">
        <v>63</v>
      </c>
      <c r="BD191" s="42" t="s">
        <v>63</v>
      </c>
      <c r="BE191" s="42" t="s">
        <v>63</v>
      </c>
      <c r="BF191" s="42" t="s">
        <v>64</v>
      </c>
      <c r="BG191" s="42" t="s">
        <v>63</v>
      </c>
      <c r="BH191" s="42" t="s">
        <v>63</v>
      </c>
      <c r="BI191" s="42" t="s">
        <v>64</v>
      </c>
      <c r="BJ191" s="42" t="s">
        <v>63</v>
      </c>
      <c r="BK191" s="42" t="s">
        <v>63</v>
      </c>
      <c r="BL191" s="42" t="s">
        <v>63</v>
      </c>
    </row>
    <row r="192" spans="1:64" s="36" customFormat="1" ht="15.75">
      <c r="A192" s="33" t="s">
        <v>1177</v>
      </c>
      <c r="B192" s="34" t="s">
        <v>91</v>
      </c>
      <c r="C192" s="34" t="s">
        <v>1172</v>
      </c>
      <c r="D192" s="33" t="s">
        <v>1173</v>
      </c>
      <c r="E192" s="34">
        <f>IF(_xlfn.IFNA(VLOOKUP(B192,Data!B:G,3,FALSE),"")=0, "", _xlfn.IFNA(VLOOKUP(B192,Data!B:G,3,FALSE),""))</f>
        <v>3</v>
      </c>
      <c r="F192" s="33" t="s">
        <v>1175</v>
      </c>
      <c r="G192" s="33"/>
      <c r="H192" s="33" t="str">
        <f>IF(_xlfn.IFNA(VLOOKUP(C192,Data!A:G,5,FALSE),"")=0, "Check course registration information", _xlfn.IFNA(VLOOKUP(C192,Data!A:G,5,FALSE),""))</f>
        <v>Check course registration information</v>
      </c>
      <c r="I192" s="33"/>
      <c r="J192" s="33" t="str">
        <f>IF(_xlfn.IFNA(VLOOKUP(C192,Data!A:G,6,FALSE),"")=0, "Check course registration information", _xlfn.IFNA(VLOOKUP(C192,Data!A:G,6,FALSE),""))</f>
        <v xml:space="preserve">This course covers an introduction to mathematical concepts, exploratory data analysis, data preparation, data visualization, supervised learning, unsupervised learning, deep learning, and reinforcement learning with applications in thermal systems. Basic knowledge in Thermodynamics and Python would be helpful but not required. Course materials will be provided to understand the required thermal concepts. Detailed instructions on how to get started with Python using Jupyter Notebook and TensorFlow will be provided at the beginning of the course. This course provides an integrated approach from fundamentals to applications with practice problems and presentations from leading industry experts on the industrial applications of AI. Students have the freedom to identify the course project based on their interests and work individually or in a group. Students who have difficulty can take help from the instructor to identify the project topics. Students will apply the concepts learned from lectures in their course projects. No exams. 
</v>
      </c>
      <c r="K192" s="33" t="str">
        <f>IF(_xlfn.IFNA(VLOOKUP(C192,Data!A:H,7,FALSE),"")=0, "", _xlfn.IFNA(HYPERLINK(VLOOKUP(C192,Data!A:H,7,FALSE),"Catalog Link"),""))</f>
        <v>Catalog Link</v>
      </c>
      <c r="L192" s="33" t="str">
        <f>IF(_xlfn.IFNA(VLOOKUP(C192,Data!A:I,8,FALSE),"")=0, "", _xlfn.IFNA(HYPERLINK(VLOOKUP(C192,Data!A:I,8,FALSE),"Additional Information"),""))</f>
        <v>Additional Information</v>
      </c>
      <c r="M192" s="34">
        <f t="shared" si="3"/>
        <v>2</v>
      </c>
      <c r="N192" s="42" t="s">
        <v>63</v>
      </c>
      <c r="O192" s="42" t="s">
        <v>63</v>
      </c>
      <c r="P192" s="42" t="s">
        <v>63</v>
      </c>
      <c r="Q192" s="42" t="s">
        <v>63</v>
      </c>
      <c r="R192" s="42" t="s">
        <v>63</v>
      </c>
      <c r="S192" s="42" t="s">
        <v>63</v>
      </c>
      <c r="T192" s="42" t="s">
        <v>63</v>
      </c>
      <c r="U192" s="42" t="s">
        <v>63</v>
      </c>
      <c r="V192" s="42" t="s">
        <v>63</v>
      </c>
      <c r="W192" s="42" t="s">
        <v>63</v>
      </c>
      <c r="X192" s="42" t="s">
        <v>63</v>
      </c>
      <c r="Y192" s="42" t="s">
        <v>63</v>
      </c>
      <c r="Z192" s="42" t="s">
        <v>64</v>
      </c>
      <c r="AA192" s="43" t="s">
        <v>63</v>
      </c>
      <c r="AB192" s="42" t="s">
        <v>63</v>
      </c>
      <c r="AC192" s="42"/>
      <c r="AD192" s="42" t="s">
        <v>63</v>
      </c>
      <c r="AE192" s="42" t="s">
        <v>63</v>
      </c>
      <c r="AF192" s="42" t="s">
        <v>63</v>
      </c>
      <c r="AG192" s="42" t="s">
        <v>63</v>
      </c>
      <c r="AH192" s="42" t="s">
        <v>63</v>
      </c>
      <c r="AI192" s="42"/>
      <c r="AJ192" s="42" t="s">
        <v>63</v>
      </c>
      <c r="AK192" s="42"/>
      <c r="AL192" s="42" t="s">
        <v>63</v>
      </c>
      <c r="AM192" s="42"/>
      <c r="AN192" s="42" t="s">
        <v>63</v>
      </c>
      <c r="AO192" s="42" t="s">
        <v>63</v>
      </c>
      <c r="AP192" s="42" t="s">
        <v>63</v>
      </c>
      <c r="AQ192" s="42" t="s">
        <v>63</v>
      </c>
      <c r="AR192" s="42"/>
      <c r="AS192" s="42" t="s">
        <v>63</v>
      </c>
      <c r="AT192" s="42" t="s">
        <v>63</v>
      </c>
      <c r="AU192" s="42"/>
      <c r="AV192" s="42"/>
      <c r="AW192" s="42" t="s">
        <v>63</v>
      </c>
      <c r="AX192" s="42" t="s">
        <v>63</v>
      </c>
      <c r="AY192" s="42" t="s">
        <v>63</v>
      </c>
      <c r="AZ192" s="42" t="s">
        <v>63</v>
      </c>
      <c r="BA192" s="42"/>
      <c r="BB192" s="42" t="s">
        <v>63</v>
      </c>
      <c r="BC192" s="42" t="s">
        <v>63</v>
      </c>
      <c r="BD192" s="42" t="s">
        <v>63</v>
      </c>
      <c r="BE192" s="42" t="s">
        <v>63</v>
      </c>
      <c r="BF192" s="42" t="s">
        <v>63</v>
      </c>
      <c r="BG192" s="42" t="s">
        <v>63</v>
      </c>
      <c r="BH192" s="42" t="s">
        <v>63</v>
      </c>
      <c r="BI192" s="42" t="s">
        <v>64</v>
      </c>
      <c r="BJ192" s="42" t="s">
        <v>63</v>
      </c>
      <c r="BK192" s="42" t="s">
        <v>63</v>
      </c>
      <c r="BL192" s="42" t="s">
        <v>63</v>
      </c>
    </row>
    <row r="193" spans="1:64">
      <c r="A193" s="55" t="s">
        <v>1176</v>
      </c>
      <c r="B193" s="34" t="s">
        <v>91</v>
      </c>
      <c r="C193" s="34" t="s">
        <v>1218</v>
      </c>
      <c r="D193" s="33" t="s">
        <v>1174</v>
      </c>
      <c r="E193" s="34">
        <f>IF(_xlfn.IFNA(VLOOKUP(B193,Data!B:G,3,FALSE),"")=0, "", _xlfn.IFNA(VLOOKUP(B193,Data!B:G,3,FALSE),""))</f>
        <v>3</v>
      </c>
      <c r="F193" s="66" t="s">
        <v>69</v>
      </c>
      <c r="H193" s="66" t="str">
        <f>IF(_xlfn.IFNA(VLOOKUP(C193,Data!A:G,5,FALSE),"")=0, "Check course registration information", _xlfn.IFNA(VLOOKUP(C193,Data!A:G,5,FALSE),""))</f>
        <v>Check course registration information</v>
      </c>
      <c r="I193" s="33" t="s">
        <v>1474</v>
      </c>
      <c r="J193" s="33" t="str">
        <f>IF(_xlfn.IFNA(VLOOKUP(C193,Data!A:G,6,FALSE),"")=0, "Check course registration information", _xlfn.IFNA(VLOOKUP(C193,Data!A:G,6,FALSE),""))</f>
        <v>Check course registration information</v>
      </c>
      <c r="K193" s="33" t="str">
        <f>IF(_xlfn.IFNA(VLOOKUP(C193,Data!A:H,7,FALSE),"")=0, "", _xlfn.IFNA(HYPERLINK(VLOOKUP(C193,Data!A:H,7,FALSE),"Catalog Link"),""))</f>
        <v>Catalog Link</v>
      </c>
      <c r="L193" s="33" t="str">
        <f>IF(_xlfn.IFNA(VLOOKUP(C193,Data!A:I,8,FALSE),"")=0, "", _xlfn.IFNA(HYPERLINK(VLOOKUP(C193,Data!A:I,8,FALSE),"Additional Information"),""))</f>
        <v/>
      </c>
      <c r="M193" s="34">
        <f t="shared" si="3"/>
        <v>6</v>
      </c>
      <c r="N193" s="42" t="s">
        <v>63</v>
      </c>
      <c r="O193" s="42" t="s">
        <v>63</v>
      </c>
      <c r="P193" s="42" t="s">
        <v>63</v>
      </c>
      <c r="Q193" s="42" t="s">
        <v>63</v>
      </c>
      <c r="R193" s="42" t="s">
        <v>63</v>
      </c>
      <c r="S193" s="42" t="s">
        <v>64</v>
      </c>
      <c r="T193" s="42" t="s">
        <v>63</v>
      </c>
      <c r="U193" s="42" t="s">
        <v>64</v>
      </c>
      <c r="V193" s="42" t="s">
        <v>63</v>
      </c>
      <c r="W193" s="42" t="s">
        <v>63</v>
      </c>
      <c r="X193" s="42" t="s">
        <v>63</v>
      </c>
      <c r="Y193" s="42" t="s">
        <v>63</v>
      </c>
      <c r="Z193" s="42" t="s">
        <v>63</v>
      </c>
      <c r="AA193" s="42" t="s">
        <v>63</v>
      </c>
      <c r="AB193" s="42" t="s">
        <v>63</v>
      </c>
      <c r="AC193" s="42"/>
      <c r="AD193" s="42" t="s">
        <v>63</v>
      </c>
      <c r="AE193" s="42" t="s">
        <v>63</v>
      </c>
      <c r="AF193" s="42" t="s">
        <v>63</v>
      </c>
      <c r="AG193" s="42"/>
      <c r="AH193" s="42" t="s">
        <v>63</v>
      </c>
      <c r="AI193" s="42"/>
      <c r="AJ193" s="42" t="s">
        <v>63</v>
      </c>
      <c r="AK193" s="42"/>
      <c r="AL193" s="42" t="s">
        <v>63</v>
      </c>
      <c r="AM193" s="42"/>
      <c r="AN193" s="42"/>
      <c r="AO193" s="42" t="s">
        <v>63</v>
      </c>
      <c r="AP193" s="42" t="s">
        <v>63</v>
      </c>
      <c r="AQ193" s="42" t="s">
        <v>63</v>
      </c>
      <c r="AR193" s="42"/>
      <c r="AS193" s="42"/>
      <c r="AT193" s="42" t="s">
        <v>63</v>
      </c>
      <c r="AU193" s="42"/>
      <c r="AV193" s="42"/>
      <c r="AW193" s="42" t="s">
        <v>63</v>
      </c>
      <c r="AX193" s="42" t="s">
        <v>64</v>
      </c>
      <c r="AY193" s="42" t="s">
        <v>64</v>
      </c>
      <c r="AZ193" s="42" t="s">
        <v>63</v>
      </c>
      <c r="BA193" s="42"/>
      <c r="BB193" s="42" t="s">
        <v>63</v>
      </c>
      <c r="BC193" s="42" t="s">
        <v>63</v>
      </c>
      <c r="BD193" s="42" t="s">
        <v>63</v>
      </c>
      <c r="BE193" s="42" t="s">
        <v>63</v>
      </c>
      <c r="BF193" s="42" t="s">
        <v>64</v>
      </c>
      <c r="BG193" s="42" t="s">
        <v>63</v>
      </c>
      <c r="BH193" s="42" t="s">
        <v>63</v>
      </c>
      <c r="BI193" s="42" t="s">
        <v>64</v>
      </c>
      <c r="BJ193" s="42" t="s">
        <v>63</v>
      </c>
      <c r="BK193" s="42" t="s">
        <v>63</v>
      </c>
      <c r="BL193" s="42" t="s">
        <v>63</v>
      </c>
    </row>
    <row r="194" spans="1:64" s="36" customFormat="1" ht="15.75">
      <c r="A194" s="33" t="s">
        <v>1177</v>
      </c>
      <c r="B194" s="34" t="s">
        <v>427</v>
      </c>
      <c r="C194" s="34" t="s">
        <v>427</v>
      </c>
      <c r="D194" s="33" t="s">
        <v>428</v>
      </c>
      <c r="E194" s="34">
        <f>IF(_xlfn.IFNA(VLOOKUP(B194,Data!B:G,3,FALSE),"")=0, "", _xlfn.IFNA(VLOOKUP(B194,Data!B:G,3,FALSE),""))</f>
        <v>3</v>
      </c>
      <c r="F194" s="33" t="s">
        <v>1175</v>
      </c>
      <c r="G194" s="33"/>
      <c r="H194" s="33" t="str">
        <f>IF(_xlfn.IFNA(VLOOKUP(C194,Data!A:G,5,FALSE),"")=0, "Check course registration information", _xlfn.IFNA(VLOOKUP(C194,Data!A:G,5,FALSE),""))</f>
        <v>Check course registration information</v>
      </c>
      <c r="I194" s="33"/>
      <c r="J194" s="33" t="str">
        <f>IF(_xlfn.IFNA(VLOOKUP(C194,Data!A:G,6,FALSE),"")=0, "Check course registration information", _xlfn.IFNA(VLOOKUP(C194,Data!A:G,6,FALSE),""))</f>
        <v>The solution of problems in mechanical engineering using the generalized numerical techniques; the finite element method and the boundary element method. Topics include reformulation of partial differential equations into appropriate form for each method. The development and implementation of code and solution of problems. Applications include: acoustics, fluid dynamics, heat transfer, design, mechanics and biomechanics. Prerequisite: ME 58100</v>
      </c>
      <c r="K194" s="33" t="str">
        <f>IF(_xlfn.IFNA(VLOOKUP(C194,Data!A:H,7,FALSE),"")=0, "", _xlfn.IFNA(HYPERLINK(VLOOKUP(C194,Data!A:H,7,FALSE),"Catalog Link"),""))</f>
        <v>Catalog Link</v>
      </c>
      <c r="L194" s="33" t="str">
        <f>IF(_xlfn.IFNA(VLOOKUP(C194,Data!A:I,8,FALSE),"")=0, "", _xlfn.IFNA(HYPERLINK(VLOOKUP(C194,Data!A:I,8,FALSE),"Additional Information"),""))</f>
        <v/>
      </c>
      <c r="M194" s="34">
        <f t="shared" si="3"/>
        <v>0</v>
      </c>
      <c r="N194" s="42" t="s">
        <v>63</v>
      </c>
      <c r="O194" s="42" t="s">
        <v>63</v>
      </c>
      <c r="P194" s="42" t="s">
        <v>63</v>
      </c>
      <c r="Q194" s="42" t="s">
        <v>63</v>
      </c>
      <c r="R194" s="42" t="s">
        <v>63</v>
      </c>
      <c r="S194" s="42" t="s">
        <v>63</v>
      </c>
      <c r="T194" s="42" t="s">
        <v>63</v>
      </c>
      <c r="U194" s="42" t="s">
        <v>63</v>
      </c>
      <c r="V194" s="42" t="s">
        <v>63</v>
      </c>
      <c r="W194" s="42" t="s">
        <v>63</v>
      </c>
      <c r="X194" s="42" t="s">
        <v>63</v>
      </c>
      <c r="Y194" s="42" t="s">
        <v>63</v>
      </c>
      <c r="Z194" s="42" t="s">
        <v>63</v>
      </c>
      <c r="AA194" s="43" t="s">
        <v>63</v>
      </c>
      <c r="AB194" s="42" t="s">
        <v>63</v>
      </c>
      <c r="AC194" s="42"/>
      <c r="AD194" s="42" t="s">
        <v>63</v>
      </c>
      <c r="AE194" s="42" t="s">
        <v>63</v>
      </c>
      <c r="AF194" s="42" t="s">
        <v>63</v>
      </c>
      <c r="AG194" s="42" t="s">
        <v>63</v>
      </c>
      <c r="AH194" s="42" t="s">
        <v>63</v>
      </c>
      <c r="AI194" s="42"/>
      <c r="AJ194" s="42" t="s">
        <v>63</v>
      </c>
      <c r="AK194" s="42"/>
      <c r="AL194" s="42" t="s">
        <v>63</v>
      </c>
      <c r="AM194" s="42"/>
      <c r="AN194" s="42" t="s">
        <v>63</v>
      </c>
      <c r="AO194" s="42" t="s">
        <v>63</v>
      </c>
      <c r="AP194" s="42" t="s">
        <v>63</v>
      </c>
      <c r="AQ194" s="42" t="s">
        <v>63</v>
      </c>
      <c r="AR194" s="42"/>
      <c r="AS194" s="42" t="s">
        <v>63</v>
      </c>
      <c r="AT194" s="42" t="s">
        <v>63</v>
      </c>
      <c r="AU194" s="42"/>
      <c r="AV194" s="42"/>
      <c r="AW194" s="42" t="s">
        <v>63</v>
      </c>
      <c r="AX194" s="42" t="s">
        <v>63</v>
      </c>
      <c r="AY194" s="42" t="s">
        <v>63</v>
      </c>
      <c r="AZ194" s="42" t="s">
        <v>63</v>
      </c>
      <c r="BA194" s="42"/>
      <c r="BB194" s="42" t="s">
        <v>63</v>
      </c>
      <c r="BC194" s="42" t="s">
        <v>63</v>
      </c>
      <c r="BD194" s="42" t="s">
        <v>63</v>
      </c>
      <c r="BE194" s="42" t="s">
        <v>63</v>
      </c>
      <c r="BF194" s="42" t="s">
        <v>63</v>
      </c>
      <c r="BG194" s="42" t="s">
        <v>63</v>
      </c>
      <c r="BH194" s="42" t="s">
        <v>63</v>
      </c>
      <c r="BI194" s="42" t="s">
        <v>63</v>
      </c>
      <c r="BJ194" s="42" t="s">
        <v>63</v>
      </c>
      <c r="BK194" s="42" t="s">
        <v>63</v>
      </c>
      <c r="BL194" s="42" t="s">
        <v>63</v>
      </c>
    </row>
    <row r="195" spans="1:64" s="36" customFormat="1" ht="15.75">
      <c r="A195" s="33" t="s">
        <v>1177</v>
      </c>
      <c r="B195" s="34" t="s">
        <v>429</v>
      </c>
      <c r="C195" s="34" t="s">
        <v>429</v>
      </c>
      <c r="D195" s="33" t="s">
        <v>430</v>
      </c>
      <c r="E195" s="34">
        <f>IF(_xlfn.IFNA(VLOOKUP(B195,Data!B:G,3,FALSE),"")=0, "", _xlfn.IFNA(VLOOKUP(B195,Data!B:G,3,FALSE),""))</f>
        <v>3</v>
      </c>
      <c r="F195" s="33" t="s">
        <v>1175</v>
      </c>
      <c r="G195" s="33"/>
      <c r="H195" s="33" t="str">
        <f>IF(_xlfn.IFNA(VLOOKUP(C195,Data!A:G,5,FALSE),"")=0, "Check course registration information", _xlfn.IFNA(VLOOKUP(C195,Data!A:G,5,FALSE),""))</f>
        <v>MET 23000 or MET 33000</v>
      </c>
      <c r="I195" s="33"/>
      <c r="J195" s="33" t="str">
        <f>IF(_xlfn.IFNA(VLOOKUP(C195,Data!A:G,6,FALSE),"")=0, "Check course registration information", _xlfn.IFNA(VLOOKUP(C195,Data!A:G,6,FALSE),""))</f>
        <v>The application of pneumatic motion control systems to industrial motion control and robotics is studied. Circuit design with control logic of both fluid and electronic types is stressed, as applied to pneumatic point-to-point and proportional controls. Control designs are implemented, tested, and evaluated in the laboratory</v>
      </c>
      <c r="K195" s="33" t="str">
        <f>IF(_xlfn.IFNA(VLOOKUP(C195,Data!A:H,7,FALSE),"")=0, "", _xlfn.IFNA(HYPERLINK(VLOOKUP(C195,Data!A:H,7,FALSE),"Catalog Link"),""))</f>
        <v>Catalog Link</v>
      </c>
      <c r="L195" s="33" t="str">
        <f>IF(_xlfn.IFNA(VLOOKUP(C195,Data!A:I,8,FALSE),"")=0, "", _xlfn.IFNA(HYPERLINK(VLOOKUP(C195,Data!A:I,8,FALSE),"Additional Information"),""))</f>
        <v/>
      </c>
      <c r="M195" s="34">
        <f t="shared" ref="M195:M258" si="4">COUNTIF(N195:BL195,"x")</f>
        <v>1</v>
      </c>
      <c r="N195" s="42" t="s">
        <v>63</v>
      </c>
      <c r="O195" s="42" t="s">
        <v>63</v>
      </c>
      <c r="P195" s="42" t="s">
        <v>63</v>
      </c>
      <c r="Q195" s="42" t="s">
        <v>63</v>
      </c>
      <c r="R195" s="42" t="s">
        <v>63</v>
      </c>
      <c r="S195" s="42" t="s">
        <v>63</v>
      </c>
      <c r="T195" s="42" t="s">
        <v>63</v>
      </c>
      <c r="U195" s="42" t="s">
        <v>63</v>
      </c>
      <c r="V195" s="42" t="s">
        <v>63</v>
      </c>
      <c r="W195" s="42" t="s">
        <v>63</v>
      </c>
      <c r="X195" s="42" t="s">
        <v>63</v>
      </c>
      <c r="Y195" s="42" t="s">
        <v>63</v>
      </c>
      <c r="Z195" s="42" t="s">
        <v>63</v>
      </c>
      <c r="AA195" s="42" t="s">
        <v>63</v>
      </c>
      <c r="AB195" s="42" t="s">
        <v>63</v>
      </c>
      <c r="AC195" s="42"/>
      <c r="AD195" s="42" t="s">
        <v>63</v>
      </c>
      <c r="AE195" s="42" t="s">
        <v>63</v>
      </c>
      <c r="AF195" s="42" t="s">
        <v>63</v>
      </c>
      <c r="AG195" s="42" t="s">
        <v>63</v>
      </c>
      <c r="AH195" s="42" t="s">
        <v>64</v>
      </c>
      <c r="AI195" s="42"/>
      <c r="AJ195" s="42" t="s">
        <v>63</v>
      </c>
      <c r="AK195" s="42"/>
      <c r="AL195" s="42" t="s">
        <v>63</v>
      </c>
      <c r="AM195" s="42"/>
      <c r="AN195" s="42" t="s">
        <v>63</v>
      </c>
      <c r="AO195" s="42" t="s">
        <v>63</v>
      </c>
      <c r="AP195" s="42" t="s">
        <v>63</v>
      </c>
      <c r="AQ195" s="42" t="s">
        <v>63</v>
      </c>
      <c r="AR195" s="42"/>
      <c r="AS195" s="42" t="s">
        <v>63</v>
      </c>
      <c r="AT195" s="42" t="s">
        <v>63</v>
      </c>
      <c r="AU195" s="42"/>
      <c r="AV195" s="42"/>
      <c r="AW195" s="42" t="s">
        <v>63</v>
      </c>
      <c r="AX195" s="42" t="s">
        <v>63</v>
      </c>
      <c r="AY195" s="42" t="s">
        <v>63</v>
      </c>
      <c r="AZ195" s="42" t="s">
        <v>63</v>
      </c>
      <c r="BA195" s="42"/>
      <c r="BB195" s="42" t="s">
        <v>63</v>
      </c>
      <c r="BC195" s="42" t="s">
        <v>63</v>
      </c>
      <c r="BD195" s="42" t="s">
        <v>63</v>
      </c>
      <c r="BE195" s="42" t="s">
        <v>63</v>
      </c>
      <c r="BF195" s="42" t="s">
        <v>63</v>
      </c>
      <c r="BG195" s="42" t="s">
        <v>63</v>
      </c>
      <c r="BH195" s="42" t="s">
        <v>63</v>
      </c>
      <c r="BI195" s="42" t="s">
        <v>63</v>
      </c>
      <c r="BJ195" s="42" t="s">
        <v>63</v>
      </c>
      <c r="BK195" s="42" t="s">
        <v>63</v>
      </c>
      <c r="BL195" s="42" t="s">
        <v>63</v>
      </c>
    </row>
    <row r="196" spans="1:64" s="36" customFormat="1" ht="15.75">
      <c r="A196" s="33" t="s">
        <v>1177</v>
      </c>
      <c r="B196" s="34" t="s">
        <v>431</v>
      </c>
      <c r="C196" s="34" t="s">
        <v>431</v>
      </c>
      <c r="D196" s="33" t="s">
        <v>432</v>
      </c>
      <c r="E196" s="34">
        <f>IF(_xlfn.IFNA(VLOOKUP(B196,Data!B:G,3,FALSE),"")=0, "", _xlfn.IFNA(VLOOKUP(B196,Data!B:G,3,FALSE),""))</f>
        <v>3</v>
      </c>
      <c r="F196" s="33" t="s">
        <v>1175</v>
      </c>
      <c r="G196" s="33"/>
      <c r="H196" s="33" t="str">
        <f>IF(_xlfn.IFNA(VLOOKUP(C196,Data!A:G,5,FALSE),"")=0, "Check course registration information", _xlfn.IFNA(VLOOKUP(C196,Data!A:G,5,FALSE),""))</f>
        <v>MET 28400 or ECET 30201</v>
      </c>
      <c r="I196" s="33"/>
      <c r="J196" s="33" t="str">
        <f>IF(_xlfn.IFNA(VLOOKUP(C196,Data!A:G,6,FALSE),"")=0, "Check course registration information", _xlfn.IFNA(VLOOKUP(C196,Data!A:G,6,FALSE),""))</f>
        <v>This course explores the devices, algorithms, architectures, and standards that support advanced process control in smart manufacturing. Core topics include the role of control systems in managing continuous processes, loop modeling, transfer functions, and the design, implementation, and tuning of proportional-integral-derivative (PID) controllers. Students also examine the integration of modern approaches, including machine learning and artificial intelligence, to enhance control strategies and optimize system performance. Laboratory activities provide hands-on experience in applying and tuning control methods with industry-grade hardware, bridging traditional process control with data-driven approaches</v>
      </c>
      <c r="K196" s="33" t="str">
        <f>IF(_xlfn.IFNA(VLOOKUP(C196,Data!A:H,7,FALSE),"")=0, "", _xlfn.IFNA(HYPERLINK(VLOOKUP(C196,Data!A:H,7,FALSE),"Catalog Link"),""))</f>
        <v>Catalog Link</v>
      </c>
      <c r="L196" s="33" t="str">
        <f>IF(_xlfn.IFNA(VLOOKUP(C196,Data!A:I,8,FALSE),"")=0, "", _xlfn.IFNA(HYPERLINK(VLOOKUP(C196,Data!A:I,8,FALSE),"Additional Information"),""))</f>
        <v/>
      </c>
      <c r="M196" s="34">
        <f t="shared" si="4"/>
        <v>1</v>
      </c>
      <c r="N196" s="42" t="s">
        <v>63</v>
      </c>
      <c r="O196" s="42" t="s">
        <v>63</v>
      </c>
      <c r="P196" s="42" t="s">
        <v>63</v>
      </c>
      <c r="Q196" s="42" t="s">
        <v>63</v>
      </c>
      <c r="R196" s="42" t="s">
        <v>63</v>
      </c>
      <c r="S196" s="42" t="s">
        <v>63</v>
      </c>
      <c r="T196" s="42" t="s">
        <v>63</v>
      </c>
      <c r="U196" s="42" t="s">
        <v>63</v>
      </c>
      <c r="V196" s="42" t="s">
        <v>63</v>
      </c>
      <c r="W196" s="42" t="s">
        <v>63</v>
      </c>
      <c r="X196" s="42" t="s">
        <v>63</v>
      </c>
      <c r="Y196" s="42" t="s">
        <v>63</v>
      </c>
      <c r="Z196" s="42" t="s">
        <v>63</v>
      </c>
      <c r="AA196" s="42" t="s">
        <v>63</v>
      </c>
      <c r="AB196" s="42" t="s">
        <v>63</v>
      </c>
      <c r="AC196" s="42"/>
      <c r="AD196" s="42" t="s">
        <v>63</v>
      </c>
      <c r="AE196" s="42" t="s">
        <v>63</v>
      </c>
      <c r="AF196" s="42" t="s">
        <v>63</v>
      </c>
      <c r="AG196" s="42" t="s">
        <v>63</v>
      </c>
      <c r="AH196" s="42" t="s">
        <v>64</v>
      </c>
      <c r="AI196" s="42"/>
      <c r="AJ196" s="42" t="s">
        <v>63</v>
      </c>
      <c r="AK196" s="42"/>
      <c r="AL196" s="42" t="s">
        <v>63</v>
      </c>
      <c r="AM196" s="42"/>
      <c r="AN196" s="42" t="s">
        <v>63</v>
      </c>
      <c r="AO196" s="42" t="s">
        <v>63</v>
      </c>
      <c r="AP196" s="42" t="s">
        <v>63</v>
      </c>
      <c r="AQ196" s="42" t="s">
        <v>63</v>
      </c>
      <c r="AR196" s="42"/>
      <c r="AS196" s="42" t="s">
        <v>63</v>
      </c>
      <c r="AT196" s="42" t="s">
        <v>63</v>
      </c>
      <c r="AU196" s="42"/>
      <c r="AV196" s="42"/>
      <c r="AW196" s="42" t="s">
        <v>63</v>
      </c>
      <c r="AX196" s="42" t="s">
        <v>63</v>
      </c>
      <c r="AY196" s="42" t="s">
        <v>63</v>
      </c>
      <c r="AZ196" s="42" t="s">
        <v>63</v>
      </c>
      <c r="BA196" s="42"/>
      <c r="BB196" s="42" t="s">
        <v>63</v>
      </c>
      <c r="BC196" s="42" t="s">
        <v>63</v>
      </c>
      <c r="BD196" s="42" t="s">
        <v>63</v>
      </c>
      <c r="BE196" s="42" t="s">
        <v>63</v>
      </c>
      <c r="BF196" s="42" t="s">
        <v>63</v>
      </c>
      <c r="BG196" s="42" t="s">
        <v>63</v>
      </c>
      <c r="BH196" s="42" t="s">
        <v>63</v>
      </c>
      <c r="BI196" s="42" t="s">
        <v>63</v>
      </c>
      <c r="BJ196" s="42" t="s">
        <v>63</v>
      </c>
      <c r="BK196" s="42" t="s">
        <v>63</v>
      </c>
      <c r="BL196" s="42" t="s">
        <v>63</v>
      </c>
    </row>
    <row r="197" spans="1:64" s="36" customFormat="1" ht="15.75">
      <c r="A197" s="33" t="s">
        <v>1177</v>
      </c>
      <c r="B197" s="34" t="s">
        <v>433</v>
      </c>
      <c r="C197" s="34" t="s">
        <v>433</v>
      </c>
      <c r="D197" s="33" t="s">
        <v>434</v>
      </c>
      <c r="E197" s="34">
        <f>IF(_xlfn.IFNA(VLOOKUP(B197,Data!B:G,3,FALSE),"")=0, "", _xlfn.IFNA(VLOOKUP(B197,Data!B:G,3,FALSE),""))</f>
        <v>3</v>
      </c>
      <c r="F197" s="33" t="s">
        <v>1175</v>
      </c>
      <c r="G197" s="33"/>
      <c r="H197" s="33" t="str">
        <f>IF(_xlfn.IFNA(VLOOKUP(C197,Data!A:G,5,FALSE),"")=0, "Check course registration information", _xlfn.IFNA(VLOOKUP(C197,Data!A:G,5,FALSE),""))</f>
        <v>MFET 23000 and MFET 25000</v>
      </c>
      <c r="I197" s="33"/>
      <c r="J197" s="33" t="str">
        <f>IF(_xlfn.IFNA(VLOOKUP(C197,Data!A:G,6,FALSE),"")=0, "Check course registration information", _xlfn.IFNA(VLOOKUP(C197,Data!A:G,6,FALSE),""))</f>
        <v>This course addresses the application of the industrial internet of things (IIoT) for modeling and simulation of smart manufacturing assets, processes, and operations. Emphasis is placed on synchronizing modeling, simulation, and visualization with augmented reality (AR) and mixed reality (MR) using real-time data to develop innovative services, enhance efficiencies, and improve productivity in smart factories</v>
      </c>
      <c r="K197" s="33" t="str">
        <f>IF(_xlfn.IFNA(VLOOKUP(C197,Data!A:H,7,FALSE),"")=0, "", _xlfn.IFNA(HYPERLINK(VLOOKUP(C197,Data!A:H,7,FALSE),"Catalog Link"),""))</f>
        <v>Catalog Link</v>
      </c>
      <c r="L197" s="33" t="str">
        <f>IF(_xlfn.IFNA(VLOOKUP(C197,Data!A:I,8,FALSE),"")=0, "", _xlfn.IFNA(HYPERLINK(VLOOKUP(C197,Data!A:I,8,FALSE),"Additional Information"),""))</f>
        <v/>
      </c>
      <c r="M197" s="34">
        <f t="shared" si="4"/>
        <v>1</v>
      </c>
      <c r="N197" s="42" t="s">
        <v>63</v>
      </c>
      <c r="O197" s="42" t="s">
        <v>63</v>
      </c>
      <c r="P197" s="42" t="s">
        <v>63</v>
      </c>
      <c r="Q197" s="42" t="s">
        <v>63</v>
      </c>
      <c r="R197" s="42" t="s">
        <v>63</v>
      </c>
      <c r="S197" s="42" t="s">
        <v>63</v>
      </c>
      <c r="T197" s="42" t="s">
        <v>63</v>
      </c>
      <c r="U197" s="42" t="s">
        <v>63</v>
      </c>
      <c r="V197" s="42" t="s">
        <v>63</v>
      </c>
      <c r="W197" s="42" t="s">
        <v>63</v>
      </c>
      <c r="X197" s="42" t="s">
        <v>63</v>
      </c>
      <c r="Y197" s="42" t="s">
        <v>63</v>
      </c>
      <c r="Z197" s="42" t="s">
        <v>63</v>
      </c>
      <c r="AA197" s="42" t="s">
        <v>63</v>
      </c>
      <c r="AB197" s="42" t="s">
        <v>63</v>
      </c>
      <c r="AC197" s="42"/>
      <c r="AD197" s="42" t="s">
        <v>63</v>
      </c>
      <c r="AE197" s="42" t="s">
        <v>63</v>
      </c>
      <c r="AF197" s="42" t="s">
        <v>63</v>
      </c>
      <c r="AG197" s="42" t="s">
        <v>63</v>
      </c>
      <c r="AH197" s="42" t="s">
        <v>64</v>
      </c>
      <c r="AI197" s="42"/>
      <c r="AJ197" s="42" t="s">
        <v>63</v>
      </c>
      <c r="AK197" s="42"/>
      <c r="AL197" s="42" t="s">
        <v>63</v>
      </c>
      <c r="AM197" s="42"/>
      <c r="AN197" s="42" t="s">
        <v>63</v>
      </c>
      <c r="AO197" s="42" t="s">
        <v>63</v>
      </c>
      <c r="AP197" s="42" t="s">
        <v>63</v>
      </c>
      <c r="AQ197" s="42" t="s">
        <v>63</v>
      </c>
      <c r="AR197" s="42"/>
      <c r="AS197" s="42" t="s">
        <v>63</v>
      </c>
      <c r="AT197" s="42" t="s">
        <v>63</v>
      </c>
      <c r="AU197" s="42"/>
      <c r="AV197" s="42"/>
      <c r="AW197" s="42" t="s">
        <v>63</v>
      </c>
      <c r="AX197" s="42" t="s">
        <v>63</v>
      </c>
      <c r="AY197" s="42" t="s">
        <v>63</v>
      </c>
      <c r="AZ197" s="42" t="s">
        <v>63</v>
      </c>
      <c r="BA197" s="42"/>
      <c r="BB197" s="42" t="s">
        <v>63</v>
      </c>
      <c r="BC197" s="42" t="s">
        <v>63</v>
      </c>
      <c r="BD197" s="42" t="s">
        <v>63</v>
      </c>
      <c r="BE197" s="42" t="s">
        <v>63</v>
      </c>
      <c r="BF197" s="42" t="s">
        <v>63</v>
      </c>
      <c r="BG197" s="42" t="s">
        <v>63</v>
      </c>
      <c r="BH197" s="42" t="s">
        <v>63</v>
      </c>
      <c r="BI197" s="42" t="s">
        <v>63</v>
      </c>
      <c r="BJ197" s="42" t="s">
        <v>63</v>
      </c>
      <c r="BK197" s="42" t="s">
        <v>63</v>
      </c>
      <c r="BL197" s="42" t="s">
        <v>63</v>
      </c>
    </row>
    <row r="198" spans="1:64" s="36" customFormat="1" ht="15.75">
      <c r="A198" s="33" t="s">
        <v>1177</v>
      </c>
      <c r="B198" s="34" t="s">
        <v>435</v>
      </c>
      <c r="C198" s="34" t="s">
        <v>435</v>
      </c>
      <c r="D198" s="33" t="s">
        <v>436</v>
      </c>
      <c r="E198" s="34">
        <f>IF(_xlfn.IFNA(VLOOKUP(B198,Data!B:G,3,FALSE),"")=0, "", _xlfn.IFNA(VLOOKUP(B198,Data!B:G,3,FALSE),""))</f>
        <v>3</v>
      </c>
      <c r="F198" s="33" t="s">
        <v>1175</v>
      </c>
      <c r="G198" s="33"/>
      <c r="H198" s="33" t="str">
        <f>IF(_xlfn.IFNA(VLOOKUP(C198,Data!A:G,5,FALSE),"")=0, "Check course registration information", _xlfn.IFNA(VLOOKUP(C198,Data!A:G,5,FALSE),""))</f>
        <v>MFET 25000 and STAT 30100</v>
      </c>
      <c r="I198" s="33"/>
      <c r="J198" s="33" t="str">
        <f>IF(_xlfn.IFNA(VLOOKUP(C198,Data!A:G,6,FALSE),"")=0, "Check course registration information", _xlfn.IFNA(VLOOKUP(C198,Data!A:G,6,FALSE),""))</f>
        <v>An examination of smart manufacturing information systems with particular focus on applications for horizontal- and vertically-integrated manufacturing organizations. Topics include cloud-based integrated information systems to provide connectivity, visibility, and analytics of production and shop-floor execution systems and integrating manufacturing execution, manufacturing operations management, and enterprise resource planning (ERP) systems</v>
      </c>
      <c r="K198" s="33" t="str">
        <f>IF(_xlfn.IFNA(VLOOKUP(C198,Data!A:H,7,FALSE),"")=0, "", _xlfn.IFNA(HYPERLINK(VLOOKUP(C198,Data!A:H,7,FALSE),"Catalog Link"),""))</f>
        <v>Catalog Link</v>
      </c>
      <c r="L198" s="33" t="str">
        <f>IF(_xlfn.IFNA(VLOOKUP(C198,Data!A:I,8,FALSE),"")=0, "", _xlfn.IFNA(HYPERLINK(VLOOKUP(C198,Data!A:I,8,FALSE),"Additional Information"),""))</f>
        <v/>
      </c>
      <c r="M198" s="34">
        <f t="shared" si="4"/>
        <v>1</v>
      </c>
      <c r="N198" s="42" t="s">
        <v>63</v>
      </c>
      <c r="O198" s="42" t="s">
        <v>63</v>
      </c>
      <c r="P198" s="42" t="s">
        <v>63</v>
      </c>
      <c r="Q198" s="42" t="s">
        <v>63</v>
      </c>
      <c r="R198" s="42" t="s">
        <v>63</v>
      </c>
      <c r="S198" s="42" t="s">
        <v>63</v>
      </c>
      <c r="T198" s="42" t="s">
        <v>63</v>
      </c>
      <c r="U198" s="42" t="s">
        <v>63</v>
      </c>
      <c r="V198" s="42" t="s">
        <v>63</v>
      </c>
      <c r="W198" s="42" t="s">
        <v>63</v>
      </c>
      <c r="X198" s="42" t="s">
        <v>63</v>
      </c>
      <c r="Y198" s="42" t="s">
        <v>63</v>
      </c>
      <c r="Z198" s="42" t="s">
        <v>63</v>
      </c>
      <c r="AA198" s="42" t="s">
        <v>63</v>
      </c>
      <c r="AB198" s="42" t="s">
        <v>63</v>
      </c>
      <c r="AC198" s="42"/>
      <c r="AD198" s="42" t="s">
        <v>63</v>
      </c>
      <c r="AE198" s="42" t="s">
        <v>63</v>
      </c>
      <c r="AF198" s="42" t="s">
        <v>63</v>
      </c>
      <c r="AG198" s="42" t="s">
        <v>63</v>
      </c>
      <c r="AH198" s="42" t="s">
        <v>64</v>
      </c>
      <c r="AI198" s="42"/>
      <c r="AJ198" s="42" t="s">
        <v>63</v>
      </c>
      <c r="AK198" s="42"/>
      <c r="AL198" s="42" t="s">
        <v>63</v>
      </c>
      <c r="AM198" s="42"/>
      <c r="AN198" s="42" t="s">
        <v>63</v>
      </c>
      <c r="AO198" s="42" t="s">
        <v>63</v>
      </c>
      <c r="AP198" s="42" t="s">
        <v>63</v>
      </c>
      <c r="AQ198" s="42" t="s">
        <v>63</v>
      </c>
      <c r="AR198" s="42"/>
      <c r="AS198" s="42" t="s">
        <v>63</v>
      </c>
      <c r="AT198" s="42" t="s">
        <v>63</v>
      </c>
      <c r="AU198" s="42"/>
      <c r="AV198" s="42"/>
      <c r="AW198" s="42" t="s">
        <v>63</v>
      </c>
      <c r="AX198" s="42" t="s">
        <v>63</v>
      </c>
      <c r="AY198" s="42" t="s">
        <v>63</v>
      </c>
      <c r="AZ198" s="42" t="s">
        <v>63</v>
      </c>
      <c r="BA198" s="42"/>
      <c r="BB198" s="42" t="s">
        <v>63</v>
      </c>
      <c r="BC198" s="42" t="s">
        <v>63</v>
      </c>
      <c r="BD198" s="42" t="s">
        <v>63</v>
      </c>
      <c r="BE198" s="42" t="s">
        <v>63</v>
      </c>
      <c r="BF198" s="42" t="s">
        <v>63</v>
      </c>
      <c r="BG198" s="42" t="s">
        <v>63</v>
      </c>
      <c r="BH198" s="42" t="s">
        <v>63</v>
      </c>
      <c r="BI198" s="42" t="s">
        <v>63</v>
      </c>
      <c r="BJ198" s="42" t="s">
        <v>63</v>
      </c>
      <c r="BK198" s="42" t="s">
        <v>63</v>
      </c>
      <c r="BL198" s="42" t="s">
        <v>63</v>
      </c>
    </row>
    <row r="199" spans="1:64">
      <c r="A199" s="33" t="s">
        <v>1177</v>
      </c>
      <c r="B199" s="34" t="s">
        <v>437</v>
      </c>
      <c r="C199" s="34" t="s">
        <v>437</v>
      </c>
      <c r="D199" s="33" t="s">
        <v>438</v>
      </c>
      <c r="E199" s="34">
        <f>IF(_xlfn.IFNA(VLOOKUP(B199,Data!B:G,3,FALSE),"")=0, "", _xlfn.IFNA(VLOOKUP(B199,Data!B:G,3,FALSE),""))</f>
        <v>3</v>
      </c>
      <c r="F199" s="33" t="s">
        <v>1175</v>
      </c>
      <c r="G199" s="33"/>
      <c r="H199" s="33" t="str">
        <f>IF(_xlfn.IFNA(VLOOKUP(C199,Data!A:G,5,FALSE),"")=0, "Check course registration information", _xlfn.IFNA(VLOOKUP(C199,Data!A:G,5,FALSE),""))</f>
        <v>CNIT 15501 or CS 17700) and (MA 16020 or MA 16200 or MA 16600) and STAT 30100</v>
      </c>
      <c r="J199" s="33" t="str">
        <f>IF(_xlfn.IFNA(VLOOKUP(C199,Data!A:G,6,FALSE),"")=0, "Check course registration information", _xlfn.IFNA(VLOOKUP(C199,Data!A:G,6,FALSE),""))</f>
        <v>Machine learning (ML) algorithms are used to extract and analyze large amounts of manufacturing data. This course introduces fundamental ML analytic techniques and commonly used ML algorithms, with an emphasis on manufacturing applications. Students will learn to create, train, and deploy ML models on a cloud platform to develop enterprise-ready artificial intelligence (AI) solutions for smart manufacturing</v>
      </c>
      <c r="K199" s="33" t="str">
        <f>IF(_xlfn.IFNA(VLOOKUP(C199,Data!A:H,7,FALSE),"")=0, "", _xlfn.IFNA(HYPERLINK(VLOOKUP(C199,Data!A:H,7,FALSE),"Catalog Link"),""))</f>
        <v>Catalog Link</v>
      </c>
      <c r="L199" s="33" t="str">
        <f>IF(_xlfn.IFNA(VLOOKUP(C199,Data!A:I,8,FALSE),"")=0, "", _xlfn.IFNA(HYPERLINK(VLOOKUP(C199,Data!A:I,8,FALSE),"Additional Information"),""))</f>
        <v/>
      </c>
      <c r="M199" s="34">
        <f t="shared" si="4"/>
        <v>2</v>
      </c>
      <c r="N199" s="42" t="s">
        <v>63</v>
      </c>
      <c r="O199" s="42" t="s">
        <v>64</v>
      </c>
      <c r="P199" s="42" t="s">
        <v>63</v>
      </c>
      <c r="Q199" s="42" t="s">
        <v>63</v>
      </c>
      <c r="R199" s="42" t="s">
        <v>63</v>
      </c>
      <c r="S199" s="42" t="s">
        <v>63</v>
      </c>
      <c r="T199" s="42" t="s">
        <v>63</v>
      </c>
      <c r="U199" s="42" t="s">
        <v>63</v>
      </c>
      <c r="V199" s="42" t="s">
        <v>63</v>
      </c>
      <c r="W199" s="42" t="s">
        <v>63</v>
      </c>
      <c r="X199" s="42" t="s">
        <v>63</v>
      </c>
      <c r="Y199" s="42" t="s">
        <v>63</v>
      </c>
      <c r="Z199" s="42" t="s">
        <v>63</v>
      </c>
      <c r="AA199" s="42" t="s">
        <v>63</v>
      </c>
      <c r="AB199" s="42" t="s">
        <v>63</v>
      </c>
      <c r="AC199" s="42"/>
      <c r="AD199" s="42" t="s">
        <v>63</v>
      </c>
      <c r="AE199" s="42" t="s">
        <v>63</v>
      </c>
      <c r="AF199" s="42" t="s">
        <v>63</v>
      </c>
      <c r="AG199" s="42" t="s">
        <v>63</v>
      </c>
      <c r="AH199" s="42" t="s">
        <v>64</v>
      </c>
      <c r="AI199" s="42"/>
      <c r="AJ199" s="42" t="s">
        <v>63</v>
      </c>
      <c r="AK199" s="42"/>
      <c r="AL199" s="42" t="s">
        <v>63</v>
      </c>
      <c r="AM199" s="42"/>
      <c r="AN199" s="42" t="s">
        <v>63</v>
      </c>
      <c r="AO199" s="42" t="s">
        <v>63</v>
      </c>
      <c r="AP199" s="42" t="s">
        <v>63</v>
      </c>
      <c r="AQ199" s="42" t="s">
        <v>63</v>
      </c>
      <c r="AR199" s="42"/>
      <c r="AS199" s="42" t="s">
        <v>63</v>
      </c>
      <c r="AT199" s="42" t="s">
        <v>63</v>
      </c>
      <c r="AU199" s="42"/>
      <c r="AV199" s="42"/>
      <c r="AW199" s="42" t="s">
        <v>63</v>
      </c>
      <c r="AX199" s="42" t="s">
        <v>63</v>
      </c>
      <c r="AY199" s="42" t="s">
        <v>63</v>
      </c>
      <c r="AZ199" s="42" t="s">
        <v>63</v>
      </c>
      <c r="BA199" s="42"/>
      <c r="BB199" s="42" t="s">
        <v>63</v>
      </c>
      <c r="BC199" s="42" t="s">
        <v>63</v>
      </c>
      <c r="BD199" s="42" t="s">
        <v>63</v>
      </c>
      <c r="BE199" s="42" t="s">
        <v>63</v>
      </c>
      <c r="BF199" s="42" t="s">
        <v>63</v>
      </c>
      <c r="BG199" s="42" t="s">
        <v>63</v>
      </c>
      <c r="BH199" s="42" t="s">
        <v>63</v>
      </c>
      <c r="BI199" s="42" t="s">
        <v>63</v>
      </c>
      <c r="BJ199" s="42" t="s">
        <v>63</v>
      </c>
      <c r="BK199" s="42" t="s">
        <v>63</v>
      </c>
      <c r="BL199" s="42" t="s">
        <v>63</v>
      </c>
    </row>
    <row r="200" spans="1:64">
      <c r="A200" s="33" t="s">
        <v>1177</v>
      </c>
      <c r="B200" s="34" t="s">
        <v>439</v>
      </c>
      <c r="C200" s="34" t="s">
        <v>439</v>
      </c>
      <c r="D200" s="33" t="s">
        <v>440</v>
      </c>
      <c r="E200" s="34">
        <f>IF(_xlfn.IFNA(VLOOKUP(B200,Data!B:G,3,FALSE),"")=0, "", _xlfn.IFNA(VLOOKUP(B200,Data!B:G,3,FALSE),""))</f>
        <v>3</v>
      </c>
      <c r="F200" s="33" t="s">
        <v>1175</v>
      </c>
      <c r="G200" s="33"/>
      <c r="H200" s="33" t="str">
        <f>IF(_xlfn.IFNA(VLOOKUP(C200,Data!A:G,5,FALSE),"")=0, "Check course registration information", _xlfn.IFNA(VLOOKUP(C200,Data!A:G,5,FALSE),""))</f>
        <v>MFET 23000 and MFET 36100</v>
      </c>
      <c r="J200" s="33" t="str">
        <f>IF(_xlfn.IFNA(VLOOKUP(C200,Data!A:G,6,FALSE),"")=0, "Check course registration information", _xlfn.IFNA(VLOOKUP(C200,Data!A:G,6,FALSE),""))</f>
        <v>This course investigates how artificial intelligence, industrial IoT, and big data are used to enable predictive analytics with machine learning. Emphasis is on optimizing production processes, improving productivity, quality, efficiency, and integrating predictive maintenance applications in smart manufacturing operations</v>
      </c>
      <c r="K200" s="33" t="str">
        <f>IF(_xlfn.IFNA(VLOOKUP(C200,Data!A:H,7,FALSE),"")=0, "", _xlfn.IFNA(HYPERLINK(VLOOKUP(C200,Data!A:H,7,FALSE),"Catalog Link"),""))</f>
        <v>Catalog Link</v>
      </c>
      <c r="L200" s="33" t="str">
        <f>IF(_xlfn.IFNA(VLOOKUP(C200,Data!A:I,8,FALSE),"")=0, "", _xlfn.IFNA(HYPERLINK(VLOOKUP(C200,Data!A:I,8,FALSE),"Additional Information"),""))</f>
        <v/>
      </c>
      <c r="M200" s="34">
        <f t="shared" si="4"/>
        <v>2</v>
      </c>
      <c r="N200" s="42" t="s">
        <v>63</v>
      </c>
      <c r="O200" s="42" t="s">
        <v>64</v>
      </c>
      <c r="P200" s="42" t="s">
        <v>63</v>
      </c>
      <c r="Q200" s="42" t="s">
        <v>63</v>
      </c>
      <c r="R200" s="42" t="s">
        <v>63</v>
      </c>
      <c r="S200" s="42" t="s">
        <v>63</v>
      </c>
      <c r="T200" s="42" t="s">
        <v>63</v>
      </c>
      <c r="U200" s="42" t="s">
        <v>63</v>
      </c>
      <c r="V200" s="42" t="s">
        <v>63</v>
      </c>
      <c r="W200" s="42" t="s">
        <v>63</v>
      </c>
      <c r="X200" s="42" t="s">
        <v>63</v>
      </c>
      <c r="Y200" s="42" t="s">
        <v>63</v>
      </c>
      <c r="Z200" s="42" t="s">
        <v>63</v>
      </c>
      <c r="AA200" s="42" t="s">
        <v>63</v>
      </c>
      <c r="AB200" s="42" t="s">
        <v>63</v>
      </c>
      <c r="AC200" s="42"/>
      <c r="AD200" s="42" t="s">
        <v>63</v>
      </c>
      <c r="AE200" s="42" t="s">
        <v>63</v>
      </c>
      <c r="AF200" s="42" t="s">
        <v>63</v>
      </c>
      <c r="AG200" s="42" t="s">
        <v>63</v>
      </c>
      <c r="AH200" s="42" t="s">
        <v>64</v>
      </c>
      <c r="AI200" s="42"/>
      <c r="AJ200" s="42" t="s">
        <v>63</v>
      </c>
      <c r="AK200" s="42"/>
      <c r="AL200" s="42" t="s">
        <v>63</v>
      </c>
      <c r="AM200" s="42"/>
      <c r="AN200" s="42" t="s">
        <v>63</v>
      </c>
      <c r="AO200" s="42" t="s">
        <v>63</v>
      </c>
      <c r="AP200" s="42" t="s">
        <v>63</v>
      </c>
      <c r="AQ200" s="42" t="s">
        <v>63</v>
      </c>
      <c r="AR200" s="42"/>
      <c r="AS200" s="42" t="s">
        <v>63</v>
      </c>
      <c r="AT200" s="42" t="s">
        <v>63</v>
      </c>
      <c r="AU200" s="42"/>
      <c r="AV200" s="42"/>
      <c r="AW200" s="42" t="s">
        <v>63</v>
      </c>
      <c r="AX200" s="42" t="s">
        <v>63</v>
      </c>
      <c r="AY200" s="42" t="s">
        <v>63</v>
      </c>
      <c r="AZ200" s="42" t="s">
        <v>63</v>
      </c>
      <c r="BA200" s="42"/>
      <c r="BB200" s="42" t="s">
        <v>63</v>
      </c>
      <c r="BC200" s="42" t="s">
        <v>63</v>
      </c>
      <c r="BD200" s="42" t="s">
        <v>63</v>
      </c>
      <c r="BE200" s="42" t="s">
        <v>63</v>
      </c>
      <c r="BF200" s="42" t="s">
        <v>63</v>
      </c>
      <c r="BG200" s="42" t="s">
        <v>63</v>
      </c>
      <c r="BH200" s="42" t="s">
        <v>63</v>
      </c>
      <c r="BI200" s="42" t="s">
        <v>63</v>
      </c>
      <c r="BJ200" s="42" t="s">
        <v>63</v>
      </c>
      <c r="BK200" s="42" t="s">
        <v>63</v>
      </c>
      <c r="BL200" s="42" t="s">
        <v>63</v>
      </c>
    </row>
    <row r="201" spans="1:64">
      <c r="A201" s="33" t="s">
        <v>1177</v>
      </c>
      <c r="B201" s="34" t="s">
        <v>441</v>
      </c>
      <c r="C201" s="34" t="s">
        <v>441</v>
      </c>
      <c r="D201" s="33" t="s">
        <v>442</v>
      </c>
      <c r="E201" s="34">
        <f>IF(_xlfn.IFNA(VLOOKUP(B201,Data!B:G,3,FALSE),"")=0, "", _xlfn.IFNA(VLOOKUP(B201,Data!B:G,3,FALSE),""))</f>
        <v>3</v>
      </c>
      <c r="F201" s="33" t="s">
        <v>1175</v>
      </c>
      <c r="G201" s="33"/>
      <c r="H201" s="33" t="str">
        <f>IF(_xlfn.IFNA(VLOOKUP(C201,Data!A:G,5,FALSE),"")=0, "Check course registration information", _xlfn.IFNA(VLOOKUP(C201,Data!A:G,5,FALSE),""))</f>
        <v>MFET 35200 and MFET 36100 and IET 21400</v>
      </c>
      <c r="J201" s="33" t="str">
        <f>IF(_xlfn.IFNA(VLOOKUP(C201,Data!A:G,6,FALSE),"")=0, "Check course registration information", _xlfn.IFNA(VLOOKUP(C201,Data!A:G,6,FALSE),""))</f>
        <v>Artificial intelligence (AI), machine learning (ML), industrial IoT (IIoT), and big data are applied to enable predictive analytics with machine learning for optimizing processes and operation in a horizontally-integrated smart manufacturing value-chain network</v>
      </c>
      <c r="K201" s="33" t="str">
        <f>IF(_xlfn.IFNA(VLOOKUP(C201,Data!A:H,7,FALSE),"")=0, "", _xlfn.IFNA(HYPERLINK(VLOOKUP(C201,Data!A:H,7,FALSE),"Catalog Link"),""))</f>
        <v>Catalog Link</v>
      </c>
      <c r="L201" s="33" t="str">
        <f>IF(_xlfn.IFNA(VLOOKUP(C201,Data!A:I,8,FALSE),"")=0, "", _xlfn.IFNA(HYPERLINK(VLOOKUP(C201,Data!A:I,8,FALSE),"Additional Information"),""))</f>
        <v/>
      </c>
      <c r="M201" s="34">
        <f t="shared" si="4"/>
        <v>2</v>
      </c>
      <c r="N201" s="42" t="s">
        <v>63</v>
      </c>
      <c r="O201" s="42" t="s">
        <v>64</v>
      </c>
      <c r="P201" s="42" t="s">
        <v>63</v>
      </c>
      <c r="Q201" s="42" t="s">
        <v>63</v>
      </c>
      <c r="R201" s="42" t="s">
        <v>63</v>
      </c>
      <c r="S201" s="42" t="s">
        <v>63</v>
      </c>
      <c r="T201" s="42" t="s">
        <v>63</v>
      </c>
      <c r="U201" s="42" t="s">
        <v>63</v>
      </c>
      <c r="V201" s="42" t="s">
        <v>63</v>
      </c>
      <c r="W201" s="42" t="s">
        <v>63</v>
      </c>
      <c r="X201" s="42" t="s">
        <v>63</v>
      </c>
      <c r="Y201" s="42" t="s">
        <v>63</v>
      </c>
      <c r="Z201" s="42" t="s">
        <v>63</v>
      </c>
      <c r="AA201" s="42" t="s">
        <v>63</v>
      </c>
      <c r="AB201" s="42" t="s">
        <v>63</v>
      </c>
      <c r="AC201" s="42"/>
      <c r="AD201" s="42" t="s">
        <v>63</v>
      </c>
      <c r="AE201" s="42" t="s">
        <v>63</v>
      </c>
      <c r="AF201" s="42" t="s">
        <v>63</v>
      </c>
      <c r="AG201" s="42" t="s">
        <v>63</v>
      </c>
      <c r="AH201" s="42" t="s">
        <v>64</v>
      </c>
      <c r="AI201" s="42"/>
      <c r="AJ201" s="42" t="s">
        <v>63</v>
      </c>
      <c r="AK201" s="42"/>
      <c r="AL201" s="42" t="s">
        <v>63</v>
      </c>
      <c r="AM201" s="42"/>
      <c r="AN201" s="42" t="s">
        <v>63</v>
      </c>
      <c r="AO201" s="42" t="s">
        <v>63</v>
      </c>
      <c r="AP201" s="42" t="s">
        <v>63</v>
      </c>
      <c r="AQ201" s="42" t="s">
        <v>63</v>
      </c>
      <c r="AR201" s="42"/>
      <c r="AS201" s="42" t="s">
        <v>63</v>
      </c>
      <c r="AT201" s="42" t="s">
        <v>63</v>
      </c>
      <c r="AU201" s="42"/>
      <c r="AV201" s="42"/>
      <c r="AW201" s="42" t="s">
        <v>63</v>
      </c>
      <c r="AX201" s="42" t="s">
        <v>63</v>
      </c>
      <c r="AY201" s="42" t="s">
        <v>63</v>
      </c>
      <c r="AZ201" s="42" t="s">
        <v>63</v>
      </c>
      <c r="BA201" s="42"/>
      <c r="BB201" s="42" t="s">
        <v>63</v>
      </c>
      <c r="BC201" s="42" t="s">
        <v>63</v>
      </c>
      <c r="BD201" s="42" t="s">
        <v>63</v>
      </c>
      <c r="BE201" s="42" t="s">
        <v>63</v>
      </c>
      <c r="BF201" s="42" t="s">
        <v>63</v>
      </c>
      <c r="BG201" s="42" t="s">
        <v>63</v>
      </c>
      <c r="BH201" s="42" t="s">
        <v>63</v>
      </c>
      <c r="BI201" s="42" t="s">
        <v>63</v>
      </c>
      <c r="BJ201" s="42" t="s">
        <v>63</v>
      </c>
      <c r="BK201" s="42" t="s">
        <v>63</v>
      </c>
      <c r="BL201" s="42" t="s">
        <v>63</v>
      </c>
    </row>
    <row r="202" spans="1:64">
      <c r="A202" s="33" t="s">
        <v>1177</v>
      </c>
      <c r="B202" s="34" t="s">
        <v>443</v>
      </c>
      <c r="C202" s="34" t="s">
        <v>443</v>
      </c>
      <c r="D202" s="33" t="s">
        <v>444</v>
      </c>
      <c r="E202" s="34">
        <f>IF(_xlfn.IFNA(VLOOKUP(B202,Data!B:G,3,FALSE),"")=0, "", _xlfn.IFNA(VLOOKUP(B202,Data!B:G,3,FALSE),""))</f>
        <v>3</v>
      </c>
      <c r="F202" s="33" t="s">
        <v>1175</v>
      </c>
      <c r="G202" s="33"/>
      <c r="H202" s="33" t="str">
        <f>IF(_xlfn.IFNA(VLOOKUP(C202,Data!A:G,5,FALSE),"")=0, "Check course registration information", _xlfn.IFNA(VLOOKUP(C202,Data!A:G,5,FALSE),""))</f>
        <v>MET 28400 or ECET 30201</v>
      </c>
      <c r="J202" s="33" t="str">
        <f>IF(_xlfn.IFNA(VLOOKUP(C202,Data!A:G,6,FALSE),"")=0, "Check course registration information", _xlfn.IFNA(VLOOKUP(C202,Data!A:G,6,FALSE),""))</f>
        <v>This course examines the fundamentals of industrial networks and system integration as the foundation of smart manufacturing systems. Emphasis is placed on communication among computers, PLCs, robots, automatic identification equipment, and IoT-enabled devices. Database technology is introduced as an integration tool, alongside operational technology cybersecurity principles that protect connected infrastructures. The course also explores flexible and cloud-based architectures that support scalable, data-driven operations. Attention is given to developing data foundations that enable applications of machine learning and artificial intelligence, equipping students to extend existing industrial systems into intelligent, connected manufacturing environments</v>
      </c>
      <c r="K202" s="33" t="str">
        <f>IF(_xlfn.IFNA(VLOOKUP(C202,Data!A:H,7,FALSE),"")=0, "", _xlfn.IFNA(HYPERLINK(VLOOKUP(C202,Data!A:H,7,FALSE),"Catalog Link"),""))</f>
        <v>Catalog Link</v>
      </c>
      <c r="L202" s="33" t="str">
        <f>IF(_xlfn.IFNA(VLOOKUP(C202,Data!A:I,8,FALSE),"")=0, "", _xlfn.IFNA(HYPERLINK(VLOOKUP(C202,Data!A:I,8,FALSE),"Additional Information"),""))</f>
        <v/>
      </c>
      <c r="M202" s="34">
        <f t="shared" si="4"/>
        <v>1</v>
      </c>
      <c r="N202" s="42" t="s">
        <v>63</v>
      </c>
      <c r="O202" s="42" t="s">
        <v>63</v>
      </c>
      <c r="P202" s="42" t="s">
        <v>63</v>
      </c>
      <c r="Q202" s="42" t="s">
        <v>63</v>
      </c>
      <c r="R202" s="42" t="s">
        <v>63</v>
      </c>
      <c r="S202" s="42" t="s">
        <v>63</v>
      </c>
      <c r="T202" s="42" t="s">
        <v>63</v>
      </c>
      <c r="U202" s="42" t="s">
        <v>63</v>
      </c>
      <c r="V202" s="42" t="s">
        <v>63</v>
      </c>
      <c r="W202" s="42" t="s">
        <v>63</v>
      </c>
      <c r="X202" s="42" t="s">
        <v>63</v>
      </c>
      <c r="Y202" s="42" t="s">
        <v>63</v>
      </c>
      <c r="Z202" s="42" t="s">
        <v>63</v>
      </c>
      <c r="AA202" s="42" t="s">
        <v>63</v>
      </c>
      <c r="AB202" s="42" t="s">
        <v>63</v>
      </c>
      <c r="AC202" s="42"/>
      <c r="AD202" s="42" t="s">
        <v>63</v>
      </c>
      <c r="AE202" s="42" t="s">
        <v>63</v>
      </c>
      <c r="AF202" s="42" t="s">
        <v>63</v>
      </c>
      <c r="AG202" s="42" t="s">
        <v>63</v>
      </c>
      <c r="AH202" s="42" t="s">
        <v>64</v>
      </c>
      <c r="AI202" s="42"/>
      <c r="AJ202" s="42" t="s">
        <v>63</v>
      </c>
      <c r="AK202" s="42"/>
      <c r="AL202" s="42" t="s">
        <v>63</v>
      </c>
      <c r="AM202" s="42"/>
      <c r="AN202" s="42" t="s">
        <v>63</v>
      </c>
      <c r="AO202" s="42" t="s">
        <v>63</v>
      </c>
      <c r="AP202" s="42" t="s">
        <v>63</v>
      </c>
      <c r="AQ202" s="42" t="s">
        <v>63</v>
      </c>
      <c r="AR202" s="42"/>
      <c r="AS202" s="42" t="s">
        <v>63</v>
      </c>
      <c r="AT202" s="42" t="s">
        <v>63</v>
      </c>
      <c r="AU202" s="42"/>
      <c r="AV202" s="42"/>
      <c r="AW202" s="42" t="s">
        <v>63</v>
      </c>
      <c r="AX202" s="42" t="s">
        <v>63</v>
      </c>
      <c r="AY202" s="42" t="s">
        <v>63</v>
      </c>
      <c r="AZ202" s="42" t="s">
        <v>63</v>
      </c>
      <c r="BA202" s="42"/>
      <c r="BB202" s="42" t="s">
        <v>63</v>
      </c>
      <c r="BC202" s="42" t="s">
        <v>63</v>
      </c>
      <c r="BD202" s="42" t="s">
        <v>63</v>
      </c>
      <c r="BE202" s="42" t="s">
        <v>63</v>
      </c>
      <c r="BF202" s="42" t="s">
        <v>63</v>
      </c>
      <c r="BG202" s="42" t="s">
        <v>63</v>
      </c>
      <c r="BH202" s="42" t="s">
        <v>63</v>
      </c>
      <c r="BI202" s="42" t="s">
        <v>63</v>
      </c>
      <c r="BJ202" s="42" t="s">
        <v>63</v>
      </c>
      <c r="BK202" s="42" t="s">
        <v>63</v>
      </c>
      <c r="BL202" s="42" t="s">
        <v>63</v>
      </c>
    </row>
    <row r="203" spans="1:64">
      <c r="A203" s="33" t="s">
        <v>1177</v>
      </c>
      <c r="B203" s="34" t="s">
        <v>458</v>
      </c>
      <c r="C203" s="34" t="s">
        <v>458</v>
      </c>
      <c r="D203" s="33" t="s">
        <v>459</v>
      </c>
      <c r="E203" s="34" t="str">
        <f>IF(_xlfn.IFNA(VLOOKUP(B203,Data!B:G,3,FALSE),"")=0, "", _xlfn.IFNA(VLOOKUP(B203,Data!B:G,3,FALSE),""))</f>
        <v>3</v>
      </c>
      <c r="F203" s="33" t="s">
        <v>1175</v>
      </c>
      <c r="G203" s="33"/>
      <c r="H203" s="33" t="str">
        <f>IF(_xlfn.IFNA(VLOOKUP(C203,Data!A:G,5,FALSE),"")=0, "Check course registration information", _xlfn.IFNA(VLOOKUP(C203,Data!A:G,5,FALSE),""))</f>
        <v>MGMT 36100 or MGMT 66000</v>
      </c>
      <c r="J203" s="33" t="str">
        <f>IF(_xlfn.IFNA(VLOOKUP(C203,Data!A:G,6,FALSE),"")=0, "Check course registration information", _xlfn.IFNA(VLOOKUP(C203,Data!A:G,6,FALSE),""))</f>
        <v>or 3.00. An advanced course in manufacturing planning and control systems, emphasizing the integration of demand forecasting, inventory control, production scheduling, and production control. Topics are linked through case studies and an elaborate manufacturing computer simulation game</v>
      </c>
      <c r="K203" s="33" t="str">
        <f>IF(_xlfn.IFNA(VLOOKUP(C203,Data!A:H,7,FALSE),"")=0, "", _xlfn.IFNA(HYPERLINK(VLOOKUP(C203,Data!A:H,7,FALSE),"Catalog Link"),""))</f>
        <v>Catalog Link</v>
      </c>
      <c r="L203" s="33" t="str">
        <f>IF(_xlfn.IFNA(VLOOKUP(C203,Data!A:I,8,FALSE),"")=0, "", _xlfn.IFNA(HYPERLINK(VLOOKUP(C203,Data!A:I,8,FALSE),"Additional Information"),""))</f>
        <v/>
      </c>
      <c r="M203" s="34">
        <f t="shared" si="4"/>
        <v>1</v>
      </c>
      <c r="N203" s="42" t="s">
        <v>63</v>
      </c>
      <c r="O203" s="42" t="s">
        <v>63</v>
      </c>
      <c r="P203" s="42" t="s">
        <v>63</v>
      </c>
      <c r="Q203" s="42" t="s">
        <v>63</v>
      </c>
      <c r="R203" s="42" t="s">
        <v>63</v>
      </c>
      <c r="S203" s="42" t="s">
        <v>63</v>
      </c>
      <c r="T203" s="42" t="s">
        <v>63</v>
      </c>
      <c r="U203" s="42" t="s">
        <v>63</v>
      </c>
      <c r="V203" s="42" t="s">
        <v>63</v>
      </c>
      <c r="W203" s="42" t="s">
        <v>63</v>
      </c>
      <c r="X203" s="42" t="s">
        <v>63</v>
      </c>
      <c r="Y203" s="42" t="s">
        <v>63</v>
      </c>
      <c r="Z203" s="42" t="s">
        <v>63</v>
      </c>
      <c r="AA203" s="43" t="s">
        <v>63</v>
      </c>
      <c r="AB203" s="42" t="s">
        <v>63</v>
      </c>
      <c r="AC203" s="42"/>
      <c r="AD203" s="42" t="s">
        <v>63</v>
      </c>
      <c r="AE203" s="42" t="s">
        <v>63</v>
      </c>
      <c r="AF203" s="42" t="s">
        <v>63</v>
      </c>
      <c r="AG203" s="42" t="s">
        <v>63</v>
      </c>
      <c r="AH203" s="42" t="s">
        <v>63</v>
      </c>
      <c r="AI203" s="42"/>
      <c r="AJ203" s="42" t="s">
        <v>63</v>
      </c>
      <c r="AK203" s="42"/>
      <c r="AL203" s="42" t="s">
        <v>63</v>
      </c>
      <c r="AM203" s="42"/>
      <c r="AN203" s="42" t="s">
        <v>63</v>
      </c>
      <c r="AO203" s="42" t="s">
        <v>63</v>
      </c>
      <c r="AP203" s="42" t="s">
        <v>63</v>
      </c>
      <c r="AQ203" s="42" t="s">
        <v>63</v>
      </c>
      <c r="AR203" s="42"/>
      <c r="AS203" s="42" t="s">
        <v>63</v>
      </c>
      <c r="AT203" s="42" t="s">
        <v>63</v>
      </c>
      <c r="AU203" s="42"/>
      <c r="AV203" s="42"/>
      <c r="AW203" s="42" t="s">
        <v>63</v>
      </c>
      <c r="AX203" s="42" t="s">
        <v>63</v>
      </c>
      <c r="AY203" s="42" t="s">
        <v>63</v>
      </c>
      <c r="AZ203" s="42" t="s">
        <v>63</v>
      </c>
      <c r="BA203" s="42"/>
      <c r="BB203" s="42" t="s">
        <v>63</v>
      </c>
      <c r="BC203" s="42" t="s">
        <v>63</v>
      </c>
      <c r="BD203" s="42" t="s">
        <v>63</v>
      </c>
      <c r="BE203" s="42" t="s">
        <v>63</v>
      </c>
      <c r="BF203" s="42" t="s">
        <v>63</v>
      </c>
      <c r="BG203" s="42" t="s">
        <v>64</v>
      </c>
      <c r="BH203" s="42" t="s">
        <v>63</v>
      </c>
      <c r="BI203" s="42" t="s">
        <v>63</v>
      </c>
      <c r="BJ203" s="42" t="s">
        <v>63</v>
      </c>
      <c r="BK203" s="42" t="s">
        <v>63</v>
      </c>
      <c r="BL203" s="42" t="s">
        <v>63</v>
      </c>
    </row>
    <row r="204" spans="1:64">
      <c r="A204" s="33" t="s">
        <v>1177</v>
      </c>
      <c r="B204" s="34" t="s">
        <v>460</v>
      </c>
      <c r="C204" s="34" t="s">
        <v>460</v>
      </c>
      <c r="D204" s="33" t="s">
        <v>461</v>
      </c>
      <c r="E204" s="34">
        <f>IF(_xlfn.IFNA(VLOOKUP(B204,Data!B:G,3,FALSE),"")=0, "", _xlfn.IFNA(VLOOKUP(B204,Data!B:G,3,FALSE),""))</f>
        <v>2</v>
      </c>
      <c r="F204" s="33" t="s">
        <v>1175</v>
      </c>
      <c r="G204" s="33"/>
      <c r="H204" s="33" t="str">
        <f>IF(_xlfn.IFNA(VLOOKUP(C204,Data!A:G,5,FALSE),"")=0, "Check course registration information", _xlfn.IFNA(VLOOKUP(C204,Data!A:G,5,FALSE),""))</f>
        <v>Students are expected to have taken a basic course on operations (such as the masters core class MGMT 66000: Introduction to Operations Management) and a basic course on supply chain management (such as the masters elective MGMT 66400: Supply Chain Management</v>
      </c>
      <c r="J204" s="33" t="str">
        <f>IF(_xlfn.IFNA(VLOOKUP(C204,Data!A:G,6,FALSE),"")=0, "Check course registration information", _xlfn.IFNA(VLOOKUP(C204,Data!A:G,6,FALSE),""))</f>
        <v>This course will address the process of procurement including terminology, metric, and decision making. Additionally, we will investigate the best practices and processes for managing the relationships with suppliers and their performance. We will also explore the sourcing decision and the strategic ramifications of producing/ providing goods and services internally or purchasing them from external organizations. Prerequisites: Students are expected to have taken a basic course on operations (such as the masters core class MGMT 66000: Introduction to Operations Management) and a basic course on supply chain management (such as the masters elective MGMT 66400: Supply Chain Management)</v>
      </c>
      <c r="K204" s="33" t="str">
        <f>IF(_xlfn.IFNA(VLOOKUP(C204,Data!A:H,7,FALSE),"")=0, "", _xlfn.IFNA(HYPERLINK(VLOOKUP(C204,Data!A:H,7,FALSE),"Catalog Link"),""))</f>
        <v>Catalog Link</v>
      </c>
      <c r="L204" s="33" t="str">
        <f>IF(_xlfn.IFNA(VLOOKUP(C204,Data!A:I,8,FALSE),"")=0, "", _xlfn.IFNA(HYPERLINK(VLOOKUP(C204,Data!A:I,8,FALSE),"Additional Information"),""))</f>
        <v/>
      </c>
      <c r="M204" s="34">
        <f t="shared" si="4"/>
        <v>1</v>
      </c>
      <c r="N204" s="42" t="s">
        <v>63</v>
      </c>
      <c r="O204" s="42" t="s">
        <v>63</v>
      </c>
      <c r="P204" s="42" t="s">
        <v>63</v>
      </c>
      <c r="Q204" s="42" t="s">
        <v>63</v>
      </c>
      <c r="R204" s="42" t="s">
        <v>63</v>
      </c>
      <c r="S204" s="42" t="s">
        <v>63</v>
      </c>
      <c r="T204" s="42" t="s">
        <v>63</v>
      </c>
      <c r="U204" s="42" t="s">
        <v>63</v>
      </c>
      <c r="V204" s="42" t="s">
        <v>63</v>
      </c>
      <c r="W204" s="42" t="s">
        <v>63</v>
      </c>
      <c r="X204" s="42" t="s">
        <v>63</v>
      </c>
      <c r="Y204" s="42" t="s">
        <v>63</v>
      </c>
      <c r="Z204" s="42" t="s">
        <v>63</v>
      </c>
      <c r="AA204" s="43" t="s">
        <v>63</v>
      </c>
      <c r="AB204" s="42" t="s">
        <v>63</v>
      </c>
      <c r="AC204" s="42"/>
      <c r="AD204" s="42" t="s">
        <v>63</v>
      </c>
      <c r="AE204" s="42" t="s">
        <v>63</v>
      </c>
      <c r="AF204" s="42" t="s">
        <v>63</v>
      </c>
      <c r="AG204" s="42" t="s">
        <v>63</v>
      </c>
      <c r="AH204" s="42" t="s">
        <v>63</v>
      </c>
      <c r="AI204" s="42"/>
      <c r="AJ204" s="42" t="s">
        <v>63</v>
      </c>
      <c r="AK204" s="42"/>
      <c r="AL204" s="42" t="s">
        <v>63</v>
      </c>
      <c r="AM204" s="42"/>
      <c r="AN204" s="42" t="s">
        <v>63</v>
      </c>
      <c r="AO204" s="42" t="s">
        <v>63</v>
      </c>
      <c r="AP204" s="42" t="s">
        <v>63</v>
      </c>
      <c r="AQ204" s="42" t="s">
        <v>63</v>
      </c>
      <c r="AR204" s="42"/>
      <c r="AS204" s="42" t="s">
        <v>63</v>
      </c>
      <c r="AT204" s="42" t="s">
        <v>63</v>
      </c>
      <c r="AU204" s="42"/>
      <c r="AV204" s="42"/>
      <c r="AW204" s="42" t="s">
        <v>63</v>
      </c>
      <c r="AX204" s="42" t="s">
        <v>63</v>
      </c>
      <c r="AY204" s="42" t="s">
        <v>63</v>
      </c>
      <c r="AZ204" s="42" t="s">
        <v>63</v>
      </c>
      <c r="BA204" s="42"/>
      <c r="BB204" s="42" t="s">
        <v>63</v>
      </c>
      <c r="BC204" s="42" t="s">
        <v>63</v>
      </c>
      <c r="BD204" s="42" t="s">
        <v>63</v>
      </c>
      <c r="BE204" s="42" t="s">
        <v>63</v>
      </c>
      <c r="BF204" s="42" t="s">
        <v>63</v>
      </c>
      <c r="BG204" s="42" t="s">
        <v>64</v>
      </c>
      <c r="BH204" s="42" t="s">
        <v>63</v>
      </c>
      <c r="BI204" s="42" t="s">
        <v>63</v>
      </c>
      <c r="BJ204" s="42" t="s">
        <v>63</v>
      </c>
      <c r="BK204" s="42" t="s">
        <v>63</v>
      </c>
      <c r="BL204" s="42" t="s">
        <v>63</v>
      </c>
    </row>
    <row r="205" spans="1:64">
      <c r="A205" s="33" t="s">
        <v>1177</v>
      </c>
      <c r="B205" s="34" t="s">
        <v>462</v>
      </c>
      <c r="C205" s="34" t="s">
        <v>462</v>
      </c>
      <c r="D205" s="33" t="s">
        <v>463</v>
      </c>
      <c r="E205" s="34">
        <f>IF(_xlfn.IFNA(VLOOKUP(B205,Data!B:G,3,FALSE),"")=0, "", _xlfn.IFNA(VLOOKUP(B205,Data!B:G,3,FALSE),""))</f>
        <v>2</v>
      </c>
      <c r="F205" s="33" t="s">
        <v>1175</v>
      </c>
      <c r="G205" s="33"/>
      <c r="H205" s="33" t="str">
        <f>IF(_xlfn.IFNA(VLOOKUP(C205,Data!A:G,5,FALSE),"")=0, "Check course registration information", _xlfn.IFNA(VLOOKUP(C205,Data!A:G,5,FALSE),""))</f>
        <v>Students are expected to have taken a basic course on operations (such as the masters core class MGMT 66000: Introduction to Operations Management) and a basic course on supply chain management (such as the masters elective MGMT 66400: Supply Chain Management). Exposure to a course on optimization is also preferred, but not required. The course requires logical and analytical thinking</v>
      </c>
      <c r="J205" s="33" t="str">
        <f>IF(_xlfn.IFNA(VLOOKUP(C205,Data!A:G,6,FALSE),"")=0, "Check course registration information", _xlfn.IFNA(VLOOKUP(C205,Data!A:G,6,FALSE),""))</f>
        <v>This course will integrate issues from marketing (channels of distribution), logistics, and operations management to develop a broad understanding of a supply chain in a global context. Students will learn how different factors, including exchange rate risk, custom duty and trading policies, geographic distribution of resources and demand, availability and reliability of local supplier, and characteristics of consumer, affect the design and execution of global supply chain strategies. Prerequisites: Students are expected to have taken a basic course on operations (such as the masters core class MGMT 66000: Introduction to Operations Management) and a basic course on supply chain management (such as the masters elective MGMT 66400: Supply Chain Management). Exposure to a course on optimization is also preferred, but not required. The course requires logical and analytical thinking</v>
      </c>
      <c r="K205" s="33" t="str">
        <f>IF(_xlfn.IFNA(VLOOKUP(C205,Data!A:H,7,FALSE),"")=0, "", _xlfn.IFNA(HYPERLINK(VLOOKUP(C205,Data!A:H,7,FALSE),"Catalog Link"),""))</f>
        <v>Catalog Link</v>
      </c>
      <c r="L205" s="33" t="str">
        <f>IF(_xlfn.IFNA(VLOOKUP(C205,Data!A:I,8,FALSE),"")=0, "", _xlfn.IFNA(HYPERLINK(VLOOKUP(C205,Data!A:I,8,FALSE),"Additional Information"),""))</f>
        <v/>
      </c>
      <c r="M205" s="34">
        <f t="shared" si="4"/>
        <v>1</v>
      </c>
      <c r="N205" s="42" t="s">
        <v>63</v>
      </c>
      <c r="O205" s="42" t="s">
        <v>63</v>
      </c>
      <c r="P205" s="42" t="s">
        <v>63</v>
      </c>
      <c r="Q205" s="42" t="s">
        <v>63</v>
      </c>
      <c r="R205" s="42" t="s">
        <v>63</v>
      </c>
      <c r="S205" s="42" t="s">
        <v>63</v>
      </c>
      <c r="T205" s="42" t="s">
        <v>63</v>
      </c>
      <c r="U205" s="42" t="s">
        <v>63</v>
      </c>
      <c r="V205" s="42" t="s">
        <v>63</v>
      </c>
      <c r="W205" s="42" t="s">
        <v>63</v>
      </c>
      <c r="X205" s="42" t="s">
        <v>63</v>
      </c>
      <c r="Y205" s="42" t="s">
        <v>63</v>
      </c>
      <c r="Z205" s="42" t="s">
        <v>63</v>
      </c>
      <c r="AA205" s="43" t="s">
        <v>63</v>
      </c>
      <c r="AB205" s="42" t="s">
        <v>63</v>
      </c>
      <c r="AC205" s="42"/>
      <c r="AD205" s="42" t="s">
        <v>63</v>
      </c>
      <c r="AE205" s="42" t="s">
        <v>63</v>
      </c>
      <c r="AF205" s="42" t="s">
        <v>63</v>
      </c>
      <c r="AG205" s="42" t="s">
        <v>63</v>
      </c>
      <c r="AH205" s="42" t="s">
        <v>63</v>
      </c>
      <c r="AI205" s="42"/>
      <c r="AJ205" s="42" t="s">
        <v>63</v>
      </c>
      <c r="AK205" s="42"/>
      <c r="AL205" s="42" t="s">
        <v>63</v>
      </c>
      <c r="AM205" s="42"/>
      <c r="AN205" s="42" t="s">
        <v>63</v>
      </c>
      <c r="AO205" s="42" t="s">
        <v>63</v>
      </c>
      <c r="AP205" s="42" t="s">
        <v>63</v>
      </c>
      <c r="AQ205" s="42" t="s">
        <v>63</v>
      </c>
      <c r="AR205" s="42"/>
      <c r="AS205" s="42" t="s">
        <v>63</v>
      </c>
      <c r="AT205" s="42" t="s">
        <v>63</v>
      </c>
      <c r="AU205" s="42"/>
      <c r="AV205" s="42"/>
      <c r="AW205" s="42" t="s">
        <v>63</v>
      </c>
      <c r="AX205" s="42" t="s">
        <v>63</v>
      </c>
      <c r="AY205" s="42" t="s">
        <v>63</v>
      </c>
      <c r="AZ205" s="42" t="s">
        <v>63</v>
      </c>
      <c r="BA205" s="42"/>
      <c r="BB205" s="42" t="s">
        <v>63</v>
      </c>
      <c r="BC205" s="42" t="s">
        <v>63</v>
      </c>
      <c r="BD205" s="42" t="s">
        <v>63</v>
      </c>
      <c r="BE205" s="42" t="s">
        <v>63</v>
      </c>
      <c r="BF205" s="42" t="s">
        <v>63</v>
      </c>
      <c r="BG205" s="42" t="s">
        <v>64</v>
      </c>
      <c r="BH205" s="42" t="s">
        <v>63</v>
      </c>
      <c r="BI205" s="42" t="s">
        <v>63</v>
      </c>
      <c r="BJ205" s="42" t="s">
        <v>63</v>
      </c>
      <c r="BK205" s="42" t="s">
        <v>63</v>
      </c>
      <c r="BL205" s="42" t="s">
        <v>63</v>
      </c>
    </row>
    <row r="206" spans="1:64">
      <c r="A206" s="33" t="s">
        <v>1177</v>
      </c>
      <c r="B206" s="34" t="s">
        <v>464</v>
      </c>
      <c r="C206" s="34" t="s">
        <v>464</v>
      </c>
      <c r="D206" s="33" t="s">
        <v>465</v>
      </c>
      <c r="E206" s="34">
        <f>IF(_xlfn.IFNA(VLOOKUP(B206,Data!B:G,3,FALSE),"")=0, "", _xlfn.IFNA(VLOOKUP(B206,Data!B:G,3,FALSE),""))</f>
        <v>2</v>
      </c>
      <c r="F206" s="33" t="s">
        <v>1175</v>
      </c>
      <c r="G206" s="33"/>
      <c r="H206" s="33" t="str">
        <f>IF(_xlfn.IFNA(VLOOKUP(C206,Data!A:G,5,FALSE),"")=0, "Check course registration information", _xlfn.IFNA(VLOOKUP(C206,Data!A:G,5,FALSE),""))</f>
        <v>MGMT 66000 (or equivalent course) and MGMT 67000 (or equivalent course</v>
      </c>
      <c r="J206" s="33" t="str">
        <f>IF(_xlfn.IFNA(VLOOKUP(C206,Data!A:G,6,FALSE),"")=0, "Check course registration information", _xlfn.IFNA(VLOOKUP(C206,Data!A:G,6,FALSE),""))</f>
        <v>Supply Chain Analytics focuses on data-driven and rigorous decision making in supply chain management. It is a complete problem solving and decision making process, and integrates a broad set of analytical methodologies that enables the creation of business value. Prerequisites: MGMT 66000 (or equivalent course) and MGMT 67000 (or equivalent course)</v>
      </c>
      <c r="K206" s="33" t="str">
        <f>IF(_xlfn.IFNA(VLOOKUP(C206,Data!A:H,7,FALSE),"")=0, "", _xlfn.IFNA(HYPERLINK(VLOOKUP(C206,Data!A:H,7,FALSE),"Catalog Link"),""))</f>
        <v>Catalog Link</v>
      </c>
      <c r="L206" s="33" t="str">
        <f>IF(_xlfn.IFNA(VLOOKUP(C206,Data!A:I,8,FALSE),"")=0, "", _xlfn.IFNA(HYPERLINK(VLOOKUP(C206,Data!A:I,8,FALSE),"Additional Information"),""))</f>
        <v/>
      </c>
      <c r="M206" s="34">
        <f t="shared" si="4"/>
        <v>1</v>
      </c>
      <c r="N206" s="42" t="s">
        <v>63</v>
      </c>
      <c r="O206" s="42" t="s">
        <v>63</v>
      </c>
      <c r="P206" s="42" t="s">
        <v>63</v>
      </c>
      <c r="Q206" s="42" t="s">
        <v>63</v>
      </c>
      <c r="R206" s="42" t="s">
        <v>63</v>
      </c>
      <c r="S206" s="42" t="s">
        <v>63</v>
      </c>
      <c r="T206" s="42" t="s">
        <v>63</v>
      </c>
      <c r="U206" s="42" t="s">
        <v>63</v>
      </c>
      <c r="V206" s="42" t="s">
        <v>63</v>
      </c>
      <c r="W206" s="42" t="s">
        <v>63</v>
      </c>
      <c r="X206" s="42" t="s">
        <v>63</v>
      </c>
      <c r="Y206" s="42" t="s">
        <v>63</v>
      </c>
      <c r="Z206" s="42" t="s">
        <v>63</v>
      </c>
      <c r="AA206" s="43" t="s">
        <v>63</v>
      </c>
      <c r="AB206" s="42" t="s">
        <v>63</v>
      </c>
      <c r="AC206" s="42"/>
      <c r="AD206" s="42" t="s">
        <v>63</v>
      </c>
      <c r="AE206" s="42" t="s">
        <v>63</v>
      </c>
      <c r="AF206" s="42" t="s">
        <v>63</v>
      </c>
      <c r="AG206" s="42" t="s">
        <v>63</v>
      </c>
      <c r="AH206" s="42" t="s">
        <v>63</v>
      </c>
      <c r="AI206" s="42"/>
      <c r="AJ206" s="42" t="s">
        <v>63</v>
      </c>
      <c r="AK206" s="42"/>
      <c r="AL206" s="42" t="s">
        <v>63</v>
      </c>
      <c r="AM206" s="42"/>
      <c r="AN206" s="42" t="s">
        <v>63</v>
      </c>
      <c r="AO206" s="42" t="s">
        <v>63</v>
      </c>
      <c r="AP206" s="42" t="s">
        <v>63</v>
      </c>
      <c r="AQ206" s="42" t="s">
        <v>63</v>
      </c>
      <c r="AR206" s="42"/>
      <c r="AS206" s="42" t="s">
        <v>63</v>
      </c>
      <c r="AT206" s="42" t="s">
        <v>63</v>
      </c>
      <c r="AU206" s="42"/>
      <c r="AV206" s="42"/>
      <c r="AW206" s="42" t="s">
        <v>63</v>
      </c>
      <c r="AX206" s="42" t="s">
        <v>63</v>
      </c>
      <c r="AY206" s="42" t="s">
        <v>63</v>
      </c>
      <c r="AZ206" s="42" t="s">
        <v>63</v>
      </c>
      <c r="BA206" s="42"/>
      <c r="BB206" s="42" t="s">
        <v>63</v>
      </c>
      <c r="BC206" s="42" t="s">
        <v>63</v>
      </c>
      <c r="BD206" s="42" t="s">
        <v>63</v>
      </c>
      <c r="BE206" s="42" t="s">
        <v>63</v>
      </c>
      <c r="BF206" s="42" t="s">
        <v>63</v>
      </c>
      <c r="BG206" s="42" t="s">
        <v>64</v>
      </c>
      <c r="BH206" s="42" t="s">
        <v>63</v>
      </c>
      <c r="BI206" s="42" t="s">
        <v>63</v>
      </c>
      <c r="BJ206" s="42" t="s">
        <v>63</v>
      </c>
      <c r="BK206" s="42" t="s">
        <v>63</v>
      </c>
      <c r="BL206" s="42" t="s">
        <v>63</v>
      </c>
    </row>
    <row r="207" spans="1:64">
      <c r="A207" s="33" t="s">
        <v>1177</v>
      </c>
      <c r="B207" s="34" t="s">
        <v>466</v>
      </c>
      <c r="C207" s="34" t="s">
        <v>466</v>
      </c>
      <c r="D207" s="33" t="s">
        <v>467</v>
      </c>
      <c r="E207" s="34" t="str">
        <f>IF(_xlfn.IFNA(VLOOKUP(B207,Data!B:G,3,FALSE),"")=0, "", _xlfn.IFNA(VLOOKUP(B207,Data!B:G,3,FALSE),""))</f>
        <v>2 or 3</v>
      </c>
      <c r="F207" s="33" t="s">
        <v>1175</v>
      </c>
      <c r="G207" s="33"/>
      <c r="H207" s="33" t="str">
        <f>IF(_xlfn.IFNA(VLOOKUP(C207,Data!A:G,5,FALSE),"")=0, "Check course registration information", _xlfn.IFNA(VLOOKUP(C207,Data!A:G,5,FALSE),""))</f>
        <v>MGMT 66000</v>
      </c>
      <c r="J207" s="33" t="str">
        <f>IF(_xlfn.IFNA(VLOOKUP(C207,Data!A:G,6,FALSE),"")=0, "Check course registration information", _xlfn.IFNA(VLOOKUP(C207,Data!A:G,6,FALSE),""))</f>
        <v>This course provides students with knowledge and skills for building and analyzing ethical and sustainable practices in supply chains, taking a holistic view of the interaction between businesses, the environment, and society</v>
      </c>
      <c r="K207" s="33" t="str">
        <f>IF(_xlfn.IFNA(VLOOKUP(C207,Data!A:H,7,FALSE),"")=0, "", _xlfn.IFNA(HYPERLINK(VLOOKUP(C207,Data!A:H,7,FALSE),"Catalog Link"),""))</f>
        <v>Catalog Link</v>
      </c>
      <c r="L207" s="33" t="str">
        <f>IF(_xlfn.IFNA(VLOOKUP(C207,Data!A:I,8,FALSE),"")=0, "", _xlfn.IFNA(HYPERLINK(VLOOKUP(C207,Data!A:I,8,FALSE),"Additional Information"),""))</f>
        <v/>
      </c>
      <c r="M207" s="34">
        <f t="shared" si="4"/>
        <v>1</v>
      </c>
      <c r="N207" s="42" t="s">
        <v>63</v>
      </c>
      <c r="O207" s="42" t="s">
        <v>63</v>
      </c>
      <c r="P207" s="42" t="s">
        <v>63</v>
      </c>
      <c r="Q207" s="42" t="s">
        <v>63</v>
      </c>
      <c r="R207" s="42" t="s">
        <v>63</v>
      </c>
      <c r="S207" s="42" t="s">
        <v>63</v>
      </c>
      <c r="T207" s="42" t="s">
        <v>63</v>
      </c>
      <c r="U207" s="42" t="s">
        <v>63</v>
      </c>
      <c r="V207" s="42" t="s">
        <v>63</v>
      </c>
      <c r="W207" s="42" t="s">
        <v>63</v>
      </c>
      <c r="X207" s="42" t="s">
        <v>63</v>
      </c>
      <c r="Y207" s="42" t="s">
        <v>63</v>
      </c>
      <c r="Z207" s="42" t="s">
        <v>63</v>
      </c>
      <c r="AA207" s="43" t="s">
        <v>63</v>
      </c>
      <c r="AB207" s="42" t="s">
        <v>63</v>
      </c>
      <c r="AC207" s="42"/>
      <c r="AD207" s="42" t="s">
        <v>63</v>
      </c>
      <c r="AE207" s="42" t="s">
        <v>63</v>
      </c>
      <c r="AF207" s="42" t="s">
        <v>63</v>
      </c>
      <c r="AG207" s="42" t="s">
        <v>63</v>
      </c>
      <c r="AH207" s="42" t="s">
        <v>63</v>
      </c>
      <c r="AI207" s="42"/>
      <c r="AJ207" s="42" t="s">
        <v>63</v>
      </c>
      <c r="AK207" s="42"/>
      <c r="AL207" s="42" t="s">
        <v>63</v>
      </c>
      <c r="AM207" s="42"/>
      <c r="AN207" s="42" t="s">
        <v>63</v>
      </c>
      <c r="AO207" s="42" t="s">
        <v>63</v>
      </c>
      <c r="AP207" s="42" t="s">
        <v>63</v>
      </c>
      <c r="AQ207" s="42" t="s">
        <v>63</v>
      </c>
      <c r="AR207" s="42"/>
      <c r="AS207" s="42" t="s">
        <v>63</v>
      </c>
      <c r="AT207" s="42" t="s">
        <v>63</v>
      </c>
      <c r="AU207" s="42"/>
      <c r="AV207" s="42"/>
      <c r="AW207" s="42" t="s">
        <v>63</v>
      </c>
      <c r="AX207" s="42" t="s">
        <v>63</v>
      </c>
      <c r="AY207" s="42" t="s">
        <v>63</v>
      </c>
      <c r="AZ207" s="42" t="s">
        <v>63</v>
      </c>
      <c r="BA207" s="42"/>
      <c r="BB207" s="42" t="s">
        <v>63</v>
      </c>
      <c r="BC207" s="42" t="s">
        <v>63</v>
      </c>
      <c r="BD207" s="42" t="s">
        <v>63</v>
      </c>
      <c r="BE207" s="42" t="s">
        <v>63</v>
      </c>
      <c r="BF207" s="42" t="s">
        <v>63</v>
      </c>
      <c r="BG207" s="42" t="s">
        <v>64</v>
      </c>
      <c r="BH207" s="42" t="s">
        <v>63</v>
      </c>
      <c r="BI207" s="42" t="s">
        <v>63</v>
      </c>
      <c r="BJ207" s="42" t="s">
        <v>63</v>
      </c>
      <c r="BK207" s="42" t="s">
        <v>63</v>
      </c>
      <c r="BL207" s="42" t="s">
        <v>63</v>
      </c>
    </row>
    <row r="208" spans="1:64">
      <c r="A208" s="33" t="s">
        <v>1177</v>
      </c>
      <c r="B208" s="34" t="s">
        <v>468</v>
      </c>
      <c r="C208" s="34" t="s">
        <v>468</v>
      </c>
      <c r="D208" s="33" t="s">
        <v>469</v>
      </c>
      <c r="E208" s="34">
        <f>IF(_xlfn.IFNA(VLOOKUP(B208,Data!B:G,3,FALSE),"")=0, "", _xlfn.IFNA(VLOOKUP(B208,Data!B:G,3,FALSE),""))</f>
        <v>4</v>
      </c>
      <c r="F208" s="33" t="s">
        <v>1175</v>
      </c>
      <c r="G208" s="33"/>
      <c r="H208" s="33" t="str">
        <f>IF(_xlfn.IFNA(VLOOKUP(C208,Data!A:G,5,FALSE),"")=0, "Check course registration information", _xlfn.IFNA(VLOOKUP(C208,Data!A:G,5,FALSE),""))</f>
        <v>Check course registration information</v>
      </c>
      <c r="J208" s="33" t="str">
        <f>IF(_xlfn.IFNA(VLOOKUP(C208,Data!A:G,6,FALSE),"")=0, "Check course registration information", _xlfn.IFNA(VLOOKUP(C208,Data!A:G,6,FALSE),""))</f>
        <v>Supervised reading and reports in various subjects. Open only to a limited number of seniors and graduate students. Permission of instructor required. 0.000 TO</v>
      </c>
      <c r="K208" s="33" t="str">
        <f>IF(_xlfn.IFNA(VLOOKUP(C208,Data!A:H,7,FALSE),"")=0, "", _xlfn.IFNA(HYPERLINK(VLOOKUP(C208,Data!A:H,7,FALSE),"Catalog Link"),""))</f>
        <v>Catalog Link</v>
      </c>
      <c r="L208" s="33" t="str">
        <f>IF(_xlfn.IFNA(VLOOKUP(C208,Data!A:I,8,FALSE),"")=0, "", _xlfn.IFNA(HYPERLINK(VLOOKUP(C208,Data!A:I,8,FALSE),"Additional Information"),""))</f>
        <v/>
      </c>
      <c r="M208" s="34">
        <f t="shared" si="4"/>
        <v>1</v>
      </c>
      <c r="N208" s="42" t="s">
        <v>63</v>
      </c>
      <c r="O208" s="42" t="s">
        <v>63</v>
      </c>
      <c r="P208" s="42" t="s">
        <v>63</v>
      </c>
      <c r="Q208" s="42" t="s">
        <v>63</v>
      </c>
      <c r="R208" s="42" t="s">
        <v>63</v>
      </c>
      <c r="S208" s="42" t="s">
        <v>63</v>
      </c>
      <c r="T208" s="42" t="s">
        <v>63</v>
      </c>
      <c r="U208" s="42" t="s">
        <v>63</v>
      </c>
      <c r="V208" s="42" t="s">
        <v>63</v>
      </c>
      <c r="W208" s="42" t="s">
        <v>63</v>
      </c>
      <c r="X208" s="42" t="s">
        <v>63</v>
      </c>
      <c r="Y208" s="42" t="s">
        <v>63</v>
      </c>
      <c r="Z208" s="42" t="s">
        <v>63</v>
      </c>
      <c r="AA208" s="43" t="s">
        <v>63</v>
      </c>
      <c r="AB208" s="42" t="s">
        <v>63</v>
      </c>
      <c r="AC208" s="42"/>
      <c r="AD208" s="42" t="s">
        <v>63</v>
      </c>
      <c r="AE208" s="42" t="s">
        <v>63</v>
      </c>
      <c r="AF208" s="42" t="s">
        <v>63</v>
      </c>
      <c r="AG208" s="42" t="s">
        <v>63</v>
      </c>
      <c r="AH208" s="42" t="s">
        <v>63</v>
      </c>
      <c r="AI208" s="42"/>
      <c r="AJ208" s="42" t="s">
        <v>63</v>
      </c>
      <c r="AK208" s="42"/>
      <c r="AL208" s="42" t="s">
        <v>63</v>
      </c>
      <c r="AM208" s="42"/>
      <c r="AN208" s="42" t="s">
        <v>63</v>
      </c>
      <c r="AO208" s="42" t="s">
        <v>63</v>
      </c>
      <c r="AP208" s="42" t="s">
        <v>63</v>
      </c>
      <c r="AQ208" s="42" t="s">
        <v>63</v>
      </c>
      <c r="AR208" s="42"/>
      <c r="AS208" s="42" t="s">
        <v>63</v>
      </c>
      <c r="AT208" s="42" t="s">
        <v>63</v>
      </c>
      <c r="AU208" s="42"/>
      <c r="AV208" s="42"/>
      <c r="AW208" s="42" t="s">
        <v>63</v>
      </c>
      <c r="AX208" s="42" t="s">
        <v>63</v>
      </c>
      <c r="AY208" s="42" t="s">
        <v>63</v>
      </c>
      <c r="AZ208" s="42" t="s">
        <v>63</v>
      </c>
      <c r="BA208" s="42"/>
      <c r="BB208" s="42" t="s">
        <v>63</v>
      </c>
      <c r="BC208" s="42" t="s">
        <v>63</v>
      </c>
      <c r="BD208" s="42" t="s">
        <v>63</v>
      </c>
      <c r="BE208" s="42" t="s">
        <v>63</v>
      </c>
      <c r="BF208" s="42" t="s">
        <v>63</v>
      </c>
      <c r="BG208" s="42" t="s">
        <v>64</v>
      </c>
      <c r="BH208" s="42" t="s">
        <v>63</v>
      </c>
      <c r="BI208" s="42" t="s">
        <v>63</v>
      </c>
      <c r="BJ208" s="42" t="s">
        <v>63</v>
      </c>
      <c r="BK208" s="42" t="s">
        <v>63</v>
      </c>
      <c r="BL208" s="42" t="s">
        <v>63</v>
      </c>
    </row>
    <row r="209" spans="1:64">
      <c r="A209" s="33" t="s">
        <v>1177</v>
      </c>
      <c r="B209" s="34" t="s">
        <v>470</v>
      </c>
      <c r="C209" s="34" t="s">
        <v>470</v>
      </c>
      <c r="D209" s="33" t="s">
        <v>471</v>
      </c>
      <c r="E209" s="34" t="str">
        <f>IF(_xlfn.IFNA(VLOOKUP(B209,Data!B:G,3,FALSE),"")=0, "", _xlfn.IFNA(VLOOKUP(B209,Data!B:G,3,FALSE),""))</f>
        <v>3</v>
      </c>
      <c r="F209" s="33" t="s">
        <v>1175</v>
      </c>
      <c r="G209" s="33"/>
      <c r="H209" s="33" t="str">
        <f>IF(_xlfn.IFNA(VLOOKUP(C209,Data!A:G,5,FALSE),"")=0, "Check course registration information", _xlfn.IFNA(VLOOKUP(C209,Data!A:G,5,FALSE),""))</f>
        <v>Check course registration information</v>
      </c>
      <c r="J209" s="33" t="str">
        <f>IF(_xlfn.IFNA(VLOOKUP(C209,Data!A:G,6,FALSE),"")=0, "Check course registration information", _xlfn.IFNA(VLOOKUP(C209,Data!A:G,6,FALSE),""))</f>
        <v>To 4.00. As goods and services are produced and distributed, they move through a set of inter-related operations or processes in order to match supply with demand. The design of these operations for strategic advantage, investment in improving their efficiency and effectiveness, and controlling these operations to meet performance objectives is the domain of Operations Management. The primary objective of the course is to provide an overview of this important functional area of business. Prerequisite: MGMT 67000, 67100. 0.000 TO</v>
      </c>
      <c r="K209" s="33" t="str">
        <f>IF(_xlfn.IFNA(VLOOKUP(C209,Data!A:H,7,FALSE),"")=0, "", _xlfn.IFNA(HYPERLINK(VLOOKUP(C209,Data!A:H,7,FALSE),"Catalog Link"),""))</f>
        <v>Catalog Link</v>
      </c>
      <c r="L209" s="33" t="str">
        <f>IF(_xlfn.IFNA(VLOOKUP(C209,Data!A:I,8,FALSE),"")=0, "", _xlfn.IFNA(HYPERLINK(VLOOKUP(C209,Data!A:I,8,FALSE),"Additional Information"),""))</f>
        <v/>
      </c>
      <c r="M209" s="34">
        <f t="shared" si="4"/>
        <v>1</v>
      </c>
      <c r="N209" s="42" t="s">
        <v>63</v>
      </c>
      <c r="O209" s="42" t="s">
        <v>63</v>
      </c>
      <c r="P209" s="42" t="s">
        <v>63</v>
      </c>
      <c r="Q209" s="42" t="s">
        <v>63</v>
      </c>
      <c r="R209" s="42" t="s">
        <v>63</v>
      </c>
      <c r="S209" s="42" t="s">
        <v>63</v>
      </c>
      <c r="T209" s="42" t="s">
        <v>63</v>
      </c>
      <c r="U209" s="42" t="s">
        <v>63</v>
      </c>
      <c r="V209" s="42" t="s">
        <v>63</v>
      </c>
      <c r="W209" s="42" t="s">
        <v>63</v>
      </c>
      <c r="X209" s="42" t="s">
        <v>63</v>
      </c>
      <c r="Y209" s="42" t="s">
        <v>63</v>
      </c>
      <c r="Z209" s="42" t="s">
        <v>63</v>
      </c>
      <c r="AA209" s="43" t="s">
        <v>63</v>
      </c>
      <c r="AB209" s="42" t="s">
        <v>63</v>
      </c>
      <c r="AC209" s="42"/>
      <c r="AD209" s="42" t="s">
        <v>63</v>
      </c>
      <c r="AE209" s="42" t="s">
        <v>63</v>
      </c>
      <c r="AF209" s="42" t="s">
        <v>63</v>
      </c>
      <c r="AG209" s="42" t="s">
        <v>63</v>
      </c>
      <c r="AH209" s="42" t="s">
        <v>63</v>
      </c>
      <c r="AI209" s="42"/>
      <c r="AJ209" s="42" t="s">
        <v>63</v>
      </c>
      <c r="AK209" s="42"/>
      <c r="AL209" s="42" t="s">
        <v>63</v>
      </c>
      <c r="AM209" s="42"/>
      <c r="AN209" s="42" t="s">
        <v>63</v>
      </c>
      <c r="AO209" s="42" t="s">
        <v>63</v>
      </c>
      <c r="AP209" s="42" t="s">
        <v>63</v>
      </c>
      <c r="AQ209" s="42" t="s">
        <v>63</v>
      </c>
      <c r="AR209" s="42"/>
      <c r="AS209" s="42" t="s">
        <v>63</v>
      </c>
      <c r="AT209" s="42" t="s">
        <v>63</v>
      </c>
      <c r="AU209" s="42"/>
      <c r="AV209" s="42"/>
      <c r="AW209" s="42" t="s">
        <v>63</v>
      </c>
      <c r="AX209" s="42" t="s">
        <v>63</v>
      </c>
      <c r="AY209" s="42" t="s">
        <v>63</v>
      </c>
      <c r="AZ209" s="42" t="s">
        <v>63</v>
      </c>
      <c r="BA209" s="42"/>
      <c r="BB209" s="42" t="s">
        <v>63</v>
      </c>
      <c r="BC209" s="42" t="s">
        <v>63</v>
      </c>
      <c r="BD209" s="42" t="s">
        <v>63</v>
      </c>
      <c r="BE209" s="42" t="s">
        <v>63</v>
      </c>
      <c r="BF209" s="42" t="s">
        <v>63</v>
      </c>
      <c r="BG209" s="42" t="s">
        <v>64</v>
      </c>
      <c r="BH209" s="42" t="s">
        <v>63</v>
      </c>
      <c r="BI209" s="42" t="s">
        <v>63</v>
      </c>
      <c r="BJ209" s="42" t="s">
        <v>63</v>
      </c>
      <c r="BK209" s="42" t="s">
        <v>63</v>
      </c>
      <c r="BL209" s="42" t="s">
        <v>63</v>
      </c>
    </row>
    <row r="210" spans="1:64" s="36" customFormat="1" ht="15.75">
      <c r="A210" s="33" t="s">
        <v>1177</v>
      </c>
      <c r="B210" s="34" t="s">
        <v>472</v>
      </c>
      <c r="C210" s="34" t="s">
        <v>472</v>
      </c>
      <c r="D210" s="33" t="s">
        <v>473</v>
      </c>
      <c r="E210" s="34" t="str">
        <f>IF(_xlfn.IFNA(VLOOKUP(B210,Data!B:G,3,FALSE),"")=0, "", _xlfn.IFNA(VLOOKUP(B210,Data!B:G,3,FALSE),""))</f>
        <v>3</v>
      </c>
      <c r="F210" s="33" t="s">
        <v>1175</v>
      </c>
      <c r="G210" s="33"/>
      <c r="H210" s="33" t="str">
        <f>IF(_xlfn.IFNA(VLOOKUP(C210,Data!A:G,5,FALSE),"")=0, "Check course registration information", _xlfn.IFNA(VLOOKUP(C210,Data!A:G,5,FALSE),""))</f>
        <v>Check course registration information</v>
      </c>
      <c r="I210" s="33"/>
      <c r="J210" s="33" t="str">
        <f>IF(_xlfn.IFNA(VLOOKUP(C210,Data!A:G,6,FALSE),"")=0, "Check course registration information", _xlfn.IFNA(VLOOKUP(C210,Data!A:G,6,FALSE),""))</f>
        <v>to 4.00. Continues the examination of the linkage between a firm's product-market strategy and the role of the operations (i.e., production) function initiated in MGMT 660. Topics include material requirements planning, production activity control, and just-in-time systems. Prerequisite: MGMT 66000. 0.000 TO</v>
      </c>
      <c r="K210" s="33" t="str">
        <f>IF(_xlfn.IFNA(VLOOKUP(C210,Data!A:H,7,FALSE),"")=0, "", _xlfn.IFNA(HYPERLINK(VLOOKUP(C210,Data!A:H,7,FALSE),"Catalog Link"),""))</f>
        <v>Catalog Link</v>
      </c>
      <c r="L210" s="33" t="str">
        <f>IF(_xlfn.IFNA(VLOOKUP(C210,Data!A:I,8,FALSE),"")=0, "", _xlfn.IFNA(HYPERLINK(VLOOKUP(C210,Data!A:I,8,FALSE),"Additional Information"),""))</f>
        <v/>
      </c>
      <c r="M210" s="34">
        <f t="shared" si="4"/>
        <v>1</v>
      </c>
      <c r="N210" s="42" t="s">
        <v>63</v>
      </c>
      <c r="O210" s="42" t="s">
        <v>63</v>
      </c>
      <c r="P210" s="42" t="s">
        <v>63</v>
      </c>
      <c r="Q210" s="42" t="s">
        <v>63</v>
      </c>
      <c r="R210" s="42" t="s">
        <v>63</v>
      </c>
      <c r="S210" s="42" t="s">
        <v>63</v>
      </c>
      <c r="T210" s="42" t="s">
        <v>63</v>
      </c>
      <c r="U210" s="42" t="s">
        <v>63</v>
      </c>
      <c r="V210" s="42" t="s">
        <v>63</v>
      </c>
      <c r="W210" s="42" t="s">
        <v>63</v>
      </c>
      <c r="X210" s="42" t="s">
        <v>63</v>
      </c>
      <c r="Y210" s="42" t="s">
        <v>63</v>
      </c>
      <c r="Z210" s="42" t="s">
        <v>63</v>
      </c>
      <c r="AA210" s="43" t="s">
        <v>63</v>
      </c>
      <c r="AB210" s="42" t="s">
        <v>63</v>
      </c>
      <c r="AC210" s="42"/>
      <c r="AD210" s="42" t="s">
        <v>63</v>
      </c>
      <c r="AE210" s="42" t="s">
        <v>63</v>
      </c>
      <c r="AF210" s="42" t="s">
        <v>63</v>
      </c>
      <c r="AG210" s="42" t="s">
        <v>63</v>
      </c>
      <c r="AH210" s="42" t="s">
        <v>63</v>
      </c>
      <c r="AI210" s="42"/>
      <c r="AJ210" s="42" t="s">
        <v>63</v>
      </c>
      <c r="AK210" s="42"/>
      <c r="AL210" s="42" t="s">
        <v>63</v>
      </c>
      <c r="AM210" s="42"/>
      <c r="AN210" s="42" t="s">
        <v>63</v>
      </c>
      <c r="AO210" s="42" t="s">
        <v>63</v>
      </c>
      <c r="AP210" s="42" t="s">
        <v>63</v>
      </c>
      <c r="AQ210" s="42" t="s">
        <v>63</v>
      </c>
      <c r="AR210" s="42"/>
      <c r="AS210" s="42" t="s">
        <v>63</v>
      </c>
      <c r="AT210" s="42" t="s">
        <v>63</v>
      </c>
      <c r="AU210" s="42"/>
      <c r="AV210" s="42"/>
      <c r="AW210" s="42" t="s">
        <v>63</v>
      </c>
      <c r="AX210" s="42" t="s">
        <v>63</v>
      </c>
      <c r="AY210" s="42" t="s">
        <v>63</v>
      </c>
      <c r="AZ210" s="42" t="s">
        <v>63</v>
      </c>
      <c r="BA210" s="42"/>
      <c r="BB210" s="42" t="s">
        <v>63</v>
      </c>
      <c r="BC210" s="42" t="s">
        <v>63</v>
      </c>
      <c r="BD210" s="42" t="s">
        <v>63</v>
      </c>
      <c r="BE210" s="42" t="s">
        <v>63</v>
      </c>
      <c r="BF210" s="42" t="s">
        <v>63</v>
      </c>
      <c r="BG210" s="42" t="s">
        <v>64</v>
      </c>
      <c r="BH210" s="42" t="s">
        <v>63</v>
      </c>
      <c r="BI210" s="42" t="s">
        <v>63</v>
      </c>
      <c r="BJ210" s="42" t="s">
        <v>63</v>
      </c>
      <c r="BK210" s="42" t="s">
        <v>63</v>
      </c>
      <c r="BL210" s="42" t="s">
        <v>63</v>
      </c>
    </row>
    <row r="211" spans="1:64" s="36" customFormat="1" ht="15.75">
      <c r="A211" s="33" t="s">
        <v>1177</v>
      </c>
      <c r="B211" s="34" t="s">
        <v>474</v>
      </c>
      <c r="C211" s="34" t="s">
        <v>474</v>
      </c>
      <c r="D211" s="33" t="s">
        <v>475</v>
      </c>
      <c r="E211" s="34" t="str">
        <f>IF(_xlfn.IFNA(VLOOKUP(B211,Data!B:G,3,FALSE),"")=0, "", _xlfn.IFNA(VLOOKUP(B211,Data!B:G,3,FALSE),""))</f>
        <v>3</v>
      </c>
      <c r="F211" s="33" t="s">
        <v>1175</v>
      </c>
      <c r="G211" s="33"/>
      <c r="H211" s="33" t="str">
        <f>IF(_xlfn.IFNA(VLOOKUP(C211,Data!A:G,5,FALSE),"")=0, "Check course registration information", _xlfn.IFNA(VLOOKUP(C211,Data!A:G,5,FALSE),""))</f>
        <v>Check course registration information</v>
      </c>
      <c r="I211" s="33"/>
      <c r="J211" s="33" t="str">
        <f>IF(_xlfn.IFNA(VLOOKUP(C211,Data!A:G,6,FALSE),"")=0, "Check course registration information", _xlfn.IFNA(VLOOKUP(C211,Data!A:G,6,FALSE),""))</f>
        <v>To 4.00. Introduction to quantitative decision procedures under uncertainty. Applications of descriptive statistics, probability models, simulation models, interval estimates, and hypothesis testing to management problems. Managerial-oriented cases are used in instruction. Prerequisite: Master's student standing and Management majors only. 0.000 TO</v>
      </c>
      <c r="K211" s="33" t="str">
        <f>IF(_xlfn.IFNA(VLOOKUP(C211,Data!A:H,7,FALSE),"")=0, "", _xlfn.IFNA(HYPERLINK(VLOOKUP(C211,Data!A:H,7,FALSE),"Catalog Link"),""))</f>
        <v>Catalog Link</v>
      </c>
      <c r="L211" s="33" t="str">
        <f>IF(_xlfn.IFNA(VLOOKUP(C211,Data!A:I,8,FALSE),"")=0, "", _xlfn.IFNA(HYPERLINK(VLOOKUP(C211,Data!A:I,8,FALSE),"Additional Information"),""))</f>
        <v/>
      </c>
      <c r="M211" s="34">
        <f t="shared" si="4"/>
        <v>1</v>
      </c>
      <c r="N211" s="42" t="s">
        <v>63</v>
      </c>
      <c r="O211" s="42" t="s">
        <v>63</v>
      </c>
      <c r="P211" s="42" t="s">
        <v>63</v>
      </c>
      <c r="Q211" s="42" t="s">
        <v>63</v>
      </c>
      <c r="R211" s="42" t="s">
        <v>63</v>
      </c>
      <c r="S211" s="42" t="s">
        <v>63</v>
      </c>
      <c r="T211" s="42" t="s">
        <v>63</v>
      </c>
      <c r="U211" s="42" t="s">
        <v>63</v>
      </c>
      <c r="V211" s="42" t="s">
        <v>63</v>
      </c>
      <c r="W211" s="42" t="s">
        <v>63</v>
      </c>
      <c r="X211" s="42" t="s">
        <v>63</v>
      </c>
      <c r="Y211" s="42" t="s">
        <v>63</v>
      </c>
      <c r="Z211" s="42" t="s">
        <v>63</v>
      </c>
      <c r="AA211" s="43" t="s">
        <v>63</v>
      </c>
      <c r="AB211" s="42" t="s">
        <v>63</v>
      </c>
      <c r="AC211" s="42"/>
      <c r="AD211" s="42" t="s">
        <v>63</v>
      </c>
      <c r="AE211" s="42" t="s">
        <v>63</v>
      </c>
      <c r="AF211" s="42" t="s">
        <v>63</v>
      </c>
      <c r="AG211" s="42" t="s">
        <v>63</v>
      </c>
      <c r="AH211" s="42" t="s">
        <v>63</v>
      </c>
      <c r="AI211" s="42"/>
      <c r="AJ211" s="42" t="s">
        <v>63</v>
      </c>
      <c r="AK211" s="42"/>
      <c r="AL211" s="42" t="s">
        <v>63</v>
      </c>
      <c r="AM211" s="42"/>
      <c r="AN211" s="42" t="s">
        <v>63</v>
      </c>
      <c r="AO211" s="42" t="s">
        <v>63</v>
      </c>
      <c r="AP211" s="42" t="s">
        <v>63</v>
      </c>
      <c r="AQ211" s="42" t="s">
        <v>63</v>
      </c>
      <c r="AR211" s="42"/>
      <c r="AS211" s="42" t="s">
        <v>63</v>
      </c>
      <c r="AT211" s="42" t="s">
        <v>63</v>
      </c>
      <c r="AU211" s="42"/>
      <c r="AV211" s="42"/>
      <c r="AW211" s="42" t="s">
        <v>63</v>
      </c>
      <c r="AX211" s="42" t="s">
        <v>63</v>
      </c>
      <c r="AY211" s="42" t="s">
        <v>63</v>
      </c>
      <c r="AZ211" s="42" t="s">
        <v>63</v>
      </c>
      <c r="BA211" s="42"/>
      <c r="BB211" s="42" t="s">
        <v>63</v>
      </c>
      <c r="BC211" s="42" t="s">
        <v>63</v>
      </c>
      <c r="BD211" s="42" t="s">
        <v>63</v>
      </c>
      <c r="BE211" s="42" t="s">
        <v>63</v>
      </c>
      <c r="BF211" s="42" t="s">
        <v>63</v>
      </c>
      <c r="BG211" s="42" t="s">
        <v>64</v>
      </c>
      <c r="BH211" s="42" t="s">
        <v>63</v>
      </c>
      <c r="BI211" s="42" t="s">
        <v>63</v>
      </c>
      <c r="BJ211" s="42" t="s">
        <v>63</v>
      </c>
      <c r="BK211" s="42" t="s">
        <v>63</v>
      </c>
      <c r="BL211" s="42" t="s">
        <v>63</v>
      </c>
    </row>
    <row r="212" spans="1:64" s="36" customFormat="1" ht="15.75">
      <c r="A212" s="33" t="s">
        <v>1176</v>
      </c>
      <c r="B212" s="34" t="s">
        <v>1552</v>
      </c>
      <c r="C212" s="34" t="s">
        <v>1552</v>
      </c>
      <c r="D212" s="33" t="s">
        <v>1561</v>
      </c>
      <c r="E212" s="34" t="str">
        <f>IF(_xlfn.IFNA(VLOOKUP(B212,Data!B:G,3,FALSE),"")=0, "", _xlfn.IFNA(VLOOKUP(B212,Data!B:G,3,FALSE),""))</f>
        <v>2 or 3</v>
      </c>
      <c r="F212" s="66" t="s">
        <v>348</v>
      </c>
      <c r="G212" s="44"/>
      <c r="H212" s="66" t="str">
        <f>IF(_xlfn.IFNA(VLOOKUP(C212,Data!A:G,5,FALSE),"")=0, "Check course registration information", _xlfn.IFNA(VLOOKUP(C212,Data!A:G,5,FALSE),""))</f>
        <v>MGMT 38200 and (MGMT 28800 or CNIT 17500 or CS 17600 or CS 17700 or CS 18000 or ENGR 13300 or MGMT 38800</v>
      </c>
      <c r="I212" s="33"/>
      <c r="J212" s="33" t="str">
        <f>IF(_xlfn.IFNA(VLOOKUP(C212,Data!A:G,6,FALSE),"")=0, "Check course registration information", _xlfn.IFNA(VLOOKUP(C212,Data!A:G,6,FALSE),""))</f>
        <v>This course is an introduction to the techniques and algorithms for creating effective data visualization. Visualizations are graphical depictions of data that can improve comprehension, communication, and decision making. This course emphasizes application in business settings where visual representation methods that are covered in this course will improve our understanding of complex data and models. We focus in particular on pattern identification, difference and trends in data sets across categories, space, and time. In addition to participating in in-class discussions, students will have sufficient hands-on experience with the tools and techniques covered in this course. Students will be expected to complete several short programming and data analysis assignments. Students will also have an opportunity to work as groups on a final project. Permission of department required</v>
      </c>
      <c r="K212" s="33" t="str">
        <f>IF(_xlfn.IFNA(VLOOKUP(C212,Data!A:H,7,FALSE),"")=0, "", _xlfn.IFNA(HYPERLINK(VLOOKUP(C212,Data!A:H,7,FALSE),"Catalog Link"),""))</f>
        <v>Catalog Link</v>
      </c>
      <c r="L212" s="33" t="str">
        <f>IF(_xlfn.IFNA(VLOOKUP(C212,Data!A:I,8,FALSE),"")=0, "", _xlfn.IFNA(HYPERLINK(VLOOKUP(C212,Data!A:I,8,FALSE),"Additional Information"),""))</f>
        <v/>
      </c>
      <c r="M212" s="34">
        <f t="shared" si="4"/>
        <v>2</v>
      </c>
      <c r="N212" s="42" t="s">
        <v>63</v>
      </c>
      <c r="O212" s="42" t="s">
        <v>63</v>
      </c>
      <c r="P212" s="42" t="s">
        <v>63</v>
      </c>
      <c r="Q212" s="42" t="s">
        <v>63</v>
      </c>
      <c r="R212" s="42" t="s">
        <v>63</v>
      </c>
      <c r="S212" s="42" t="s">
        <v>63</v>
      </c>
      <c r="T212" s="42" t="s">
        <v>63</v>
      </c>
      <c r="U212" s="42" t="s">
        <v>64</v>
      </c>
      <c r="V212" s="42" t="s">
        <v>63</v>
      </c>
      <c r="W212" s="42" t="s">
        <v>63</v>
      </c>
      <c r="X212" s="42" t="s">
        <v>63</v>
      </c>
      <c r="Y212" s="42" t="s">
        <v>63</v>
      </c>
      <c r="Z212" s="42" t="s">
        <v>63</v>
      </c>
      <c r="AA212" s="42" t="s">
        <v>63</v>
      </c>
      <c r="AB212" s="42" t="s">
        <v>63</v>
      </c>
      <c r="AC212" s="42"/>
      <c r="AD212" s="42" t="s">
        <v>63</v>
      </c>
      <c r="AE212" s="42" t="s">
        <v>63</v>
      </c>
      <c r="AF212" s="42" t="s">
        <v>63</v>
      </c>
      <c r="AG212" s="42" t="s">
        <v>63</v>
      </c>
      <c r="AH212" s="42" t="s">
        <v>63</v>
      </c>
      <c r="AI212" s="42"/>
      <c r="AJ212" s="42" t="s">
        <v>63</v>
      </c>
      <c r="AK212" s="42"/>
      <c r="AL212" s="42" t="s">
        <v>63</v>
      </c>
      <c r="AM212" s="42"/>
      <c r="AN212" s="42" t="s">
        <v>63</v>
      </c>
      <c r="AO212" s="42" t="s">
        <v>63</v>
      </c>
      <c r="AP212" s="42" t="s">
        <v>63</v>
      </c>
      <c r="AQ212" s="42" t="s">
        <v>63</v>
      </c>
      <c r="AR212" s="42"/>
      <c r="AS212" s="42" t="s">
        <v>63</v>
      </c>
      <c r="AT212" s="42" t="s">
        <v>63</v>
      </c>
      <c r="AU212" s="42"/>
      <c r="AV212" s="42"/>
      <c r="AW212" s="42" t="s">
        <v>63</v>
      </c>
      <c r="AX212" s="42" t="s">
        <v>63</v>
      </c>
      <c r="AY212" s="42" t="s">
        <v>63</v>
      </c>
      <c r="AZ212" s="42" t="s">
        <v>63</v>
      </c>
      <c r="BA212" s="42"/>
      <c r="BB212" s="42" t="s">
        <v>63</v>
      </c>
      <c r="BC212" s="42" t="s">
        <v>63</v>
      </c>
      <c r="BD212" s="42" t="s">
        <v>64</v>
      </c>
      <c r="BE212" s="42" t="s">
        <v>63</v>
      </c>
      <c r="BF212" s="42" t="s">
        <v>63</v>
      </c>
      <c r="BG212" s="42" t="s">
        <v>63</v>
      </c>
      <c r="BH212" s="42" t="s">
        <v>63</v>
      </c>
      <c r="BI212" s="42" t="s">
        <v>63</v>
      </c>
      <c r="BJ212" s="42" t="s">
        <v>63</v>
      </c>
      <c r="BK212" s="42" t="s">
        <v>63</v>
      </c>
      <c r="BL212" s="42" t="s">
        <v>63</v>
      </c>
    </row>
    <row r="213" spans="1:64" s="36" customFormat="1" ht="15.75">
      <c r="A213" s="33" t="s">
        <v>1176</v>
      </c>
      <c r="B213" s="34" t="s">
        <v>510</v>
      </c>
      <c r="C213" s="34" t="s">
        <v>510</v>
      </c>
      <c r="D213" s="33" t="s">
        <v>511</v>
      </c>
      <c r="E213" s="34">
        <f>IF(_xlfn.IFNA(VLOOKUP(B213,Data!B:G,3,FALSE),"")=0, "", _xlfn.IFNA(VLOOKUP(B213,Data!B:G,3,FALSE),""))</f>
        <v>3</v>
      </c>
      <c r="F213" s="66" t="s">
        <v>106</v>
      </c>
      <c r="G213" s="44"/>
      <c r="H213" s="66" t="str">
        <f>IF(_xlfn.IFNA(VLOOKUP(C213,Data!A:G,5,FALSE),"")=0, "Check course registration information", _xlfn.IFNA(VLOOKUP(C213,Data!A:G,5,FALSE),""))</f>
        <v>CHM 11500 or (CHM 11510 and CHM 11520 or CHM 11530) or (CHM 11100 and CHM 11200) or CHM 13500 or CHM 12300 or CHM 12500 or (CHEM C1050 and CHEM C1250) or (CHEM C1010 and CHEM C1210) and (MA 16500 or MA 16300 or MA 16100 or MATH 16300</v>
      </c>
      <c r="I213" s="33"/>
      <c r="J213" s="33" t="str">
        <f>IF(_xlfn.IFNA(VLOOKUP(C213,Data!A:G,6,FALSE),"")=0, "Check course registration information", _xlfn.IFNA(VLOOKUP(C213,Data!A:G,6,FALSE),""))</f>
        <v>The relationship between the structure of materials and the resulting mechanical, thermal, electrical, and optical properties. Atomic structure, bonding, atomic arrangement; crystal symmetry, crystal structure, habit, lattices, defects, and the use of X-ray diffraction. Phase equilibria and microstructural development. Applications to design</v>
      </c>
      <c r="K213" s="33" t="str">
        <f>IF(_xlfn.IFNA(VLOOKUP(C213,Data!A:H,7,FALSE),"")=0, "", _xlfn.IFNA(HYPERLINK(VLOOKUP(C213,Data!A:H,7,FALSE),"Catalog Link"),""))</f>
        <v>Catalog Link</v>
      </c>
      <c r="L213" s="33" t="str">
        <f>IF(_xlfn.IFNA(VLOOKUP(C213,Data!A:I,8,FALSE),"")=0, "", _xlfn.IFNA(HYPERLINK(VLOOKUP(C213,Data!A:I,8,FALSE),"Additional Information"),""))</f>
        <v/>
      </c>
      <c r="M213" s="34">
        <f t="shared" si="4"/>
        <v>3</v>
      </c>
      <c r="N213" s="42" t="s">
        <v>63</v>
      </c>
      <c r="O213" s="42" t="s">
        <v>63</v>
      </c>
      <c r="P213" s="42" t="s">
        <v>63</v>
      </c>
      <c r="Q213" s="42" t="s">
        <v>63</v>
      </c>
      <c r="R213" s="42" t="s">
        <v>63</v>
      </c>
      <c r="S213" s="42" t="s">
        <v>64</v>
      </c>
      <c r="T213" s="42" t="s">
        <v>63</v>
      </c>
      <c r="U213" s="42" t="s">
        <v>63</v>
      </c>
      <c r="V213" s="42" t="s">
        <v>63</v>
      </c>
      <c r="W213" s="42" t="s">
        <v>63</v>
      </c>
      <c r="X213" s="42" t="s">
        <v>63</v>
      </c>
      <c r="Y213" s="42" t="s">
        <v>63</v>
      </c>
      <c r="Z213" s="42" t="s">
        <v>63</v>
      </c>
      <c r="AA213" s="42" t="s">
        <v>63</v>
      </c>
      <c r="AB213" s="42" t="s">
        <v>63</v>
      </c>
      <c r="AC213" s="42"/>
      <c r="AD213" s="42" t="s">
        <v>63</v>
      </c>
      <c r="AE213" s="42" t="s">
        <v>63</v>
      </c>
      <c r="AF213" s="42" t="s">
        <v>63</v>
      </c>
      <c r="AG213" s="42" t="s">
        <v>63</v>
      </c>
      <c r="AH213" s="42" t="s">
        <v>64</v>
      </c>
      <c r="AI213" s="42"/>
      <c r="AJ213" s="42" t="s">
        <v>63</v>
      </c>
      <c r="AK213" s="42"/>
      <c r="AL213" s="42" t="s">
        <v>63</v>
      </c>
      <c r="AM213" s="42"/>
      <c r="AN213" s="42" t="s">
        <v>63</v>
      </c>
      <c r="AO213" s="42" t="s">
        <v>63</v>
      </c>
      <c r="AP213" s="42" t="s">
        <v>63</v>
      </c>
      <c r="AQ213" s="42" t="s">
        <v>63</v>
      </c>
      <c r="AR213" s="42"/>
      <c r="AS213" s="42" t="s">
        <v>63</v>
      </c>
      <c r="AT213" s="42" t="s">
        <v>63</v>
      </c>
      <c r="AU213" s="42"/>
      <c r="AV213" s="42"/>
      <c r="AW213" s="42"/>
      <c r="AX213" s="42" t="s">
        <v>63</v>
      </c>
      <c r="AY213" s="42" t="s">
        <v>63</v>
      </c>
      <c r="AZ213" s="42" t="s">
        <v>63</v>
      </c>
      <c r="BA213" s="42"/>
      <c r="BB213" s="42" t="s">
        <v>63</v>
      </c>
      <c r="BC213" s="42" t="s">
        <v>63</v>
      </c>
      <c r="BD213" s="42" t="s">
        <v>63</v>
      </c>
      <c r="BE213" s="42" t="s">
        <v>63</v>
      </c>
      <c r="BF213" s="42" t="s">
        <v>64</v>
      </c>
      <c r="BG213" s="42" t="s">
        <v>63</v>
      </c>
      <c r="BH213" s="42" t="s">
        <v>63</v>
      </c>
      <c r="BI213" s="42" t="s">
        <v>63</v>
      </c>
      <c r="BJ213" s="42" t="s">
        <v>63</v>
      </c>
      <c r="BK213" s="42" t="s">
        <v>63</v>
      </c>
      <c r="BL213" s="42" t="s">
        <v>63</v>
      </c>
    </row>
    <row r="214" spans="1:64" s="36" customFormat="1" ht="15.75">
      <c r="A214" s="33" t="s">
        <v>1177</v>
      </c>
      <c r="B214" s="34" t="s">
        <v>478</v>
      </c>
      <c r="C214" s="34" t="s">
        <v>478</v>
      </c>
      <c r="D214" s="33" t="s">
        <v>479</v>
      </c>
      <c r="E214" s="34">
        <f>IF(_xlfn.IFNA(VLOOKUP(B214,Data!B:G,3,FALSE),"")=0, "", _xlfn.IFNA(VLOOKUP(B214,Data!B:G,3,FALSE),""))</f>
        <v>3</v>
      </c>
      <c r="F214" s="33" t="s">
        <v>1175</v>
      </c>
      <c r="G214" s="33"/>
      <c r="H214" s="33" t="str">
        <f>IF(_xlfn.IFNA(VLOOKUP(C214,Data!A:G,5,FALSE),"")=0, "Check course registration information", _xlfn.IFNA(VLOOKUP(C214,Data!A:G,5,FALSE),""))</f>
        <v>MA 26100 or MATH 26100 or MA 17200 or MA 17400 or MA 18200 or MA 26300 or MA 27100) and MSE 23000 [concurrent ok] and CHM 11600 or (CHM 11610 [concurrent ok] and CHM 11620 [concurrent ok]) or CHM 13600 [concurrent ok]</v>
      </c>
      <c r="I214" s="33"/>
      <c r="J214" s="33" t="str">
        <f>IF(_xlfn.IFNA(VLOOKUP(C214,Data!A:G,6,FALSE),"")=0, "Check course registration information", _xlfn.IFNA(VLOOKUP(C214,Data!A:G,6,FALSE),""))</f>
        <v>Fundamental laws of thermodynamics and their applications to material systems; criteria for equilibrium; reaction and phase equilibria; properties of solutions; thermodynamic origins of phase diagrams</v>
      </c>
      <c r="K214" s="33" t="str">
        <f>IF(_xlfn.IFNA(VLOOKUP(C214,Data!A:H,7,FALSE),"")=0, "", _xlfn.IFNA(HYPERLINK(VLOOKUP(C214,Data!A:H,7,FALSE),"Catalog Link"),""))</f>
        <v>Catalog Link</v>
      </c>
      <c r="L214" s="33" t="str">
        <f>IF(_xlfn.IFNA(VLOOKUP(C214,Data!A:I,8,FALSE),"")=0, "", _xlfn.IFNA(HYPERLINK(VLOOKUP(C214,Data!A:I,8,FALSE),"Additional Information"),""))</f>
        <v/>
      </c>
      <c r="M214" s="34">
        <f t="shared" si="4"/>
        <v>2</v>
      </c>
      <c r="N214" s="42" t="s">
        <v>63</v>
      </c>
      <c r="O214" s="42" t="s">
        <v>63</v>
      </c>
      <c r="P214" s="42" t="s">
        <v>63</v>
      </c>
      <c r="Q214" s="42" t="s">
        <v>63</v>
      </c>
      <c r="R214" s="42" t="s">
        <v>63</v>
      </c>
      <c r="S214" s="42" t="s">
        <v>63</v>
      </c>
      <c r="T214" s="42" t="s">
        <v>63</v>
      </c>
      <c r="U214" s="42" t="s">
        <v>63</v>
      </c>
      <c r="V214" s="42" t="s">
        <v>63</v>
      </c>
      <c r="W214" s="42" t="s">
        <v>63</v>
      </c>
      <c r="X214" s="42" t="s">
        <v>63</v>
      </c>
      <c r="Y214" s="42" t="s">
        <v>63</v>
      </c>
      <c r="Z214" s="42" t="s">
        <v>63</v>
      </c>
      <c r="AA214" s="43" t="s">
        <v>63</v>
      </c>
      <c r="AB214" s="42" t="s">
        <v>63</v>
      </c>
      <c r="AC214" s="42"/>
      <c r="AD214" s="42" t="s">
        <v>63</v>
      </c>
      <c r="AE214" s="42" t="s">
        <v>63</v>
      </c>
      <c r="AF214" s="42" t="s">
        <v>63</v>
      </c>
      <c r="AG214" s="42" t="s">
        <v>63</v>
      </c>
      <c r="AH214" s="42" t="s">
        <v>63</v>
      </c>
      <c r="AI214" s="42"/>
      <c r="AJ214" s="42" t="s">
        <v>63</v>
      </c>
      <c r="AK214" s="42"/>
      <c r="AL214" s="42" t="s">
        <v>63</v>
      </c>
      <c r="AM214" s="42"/>
      <c r="AN214" s="42" t="s">
        <v>63</v>
      </c>
      <c r="AO214" s="42" t="s">
        <v>63</v>
      </c>
      <c r="AP214" s="42" t="s">
        <v>63</v>
      </c>
      <c r="AQ214" s="42" t="s">
        <v>63</v>
      </c>
      <c r="AR214" s="42"/>
      <c r="AS214" s="42" t="s">
        <v>63</v>
      </c>
      <c r="AT214" s="42" t="s">
        <v>63</v>
      </c>
      <c r="AU214" s="42"/>
      <c r="AV214" s="42"/>
      <c r="AW214" s="42" t="s">
        <v>63</v>
      </c>
      <c r="AX214" s="42" t="s">
        <v>63</v>
      </c>
      <c r="AY214" s="42" t="s">
        <v>63</v>
      </c>
      <c r="AZ214" s="42" t="s">
        <v>63</v>
      </c>
      <c r="BA214" s="42"/>
      <c r="BB214" s="42" t="s">
        <v>63</v>
      </c>
      <c r="BC214" s="42" t="s">
        <v>63</v>
      </c>
      <c r="BD214" s="42" t="s">
        <v>64</v>
      </c>
      <c r="BE214" s="42" t="s">
        <v>63</v>
      </c>
      <c r="BF214" s="42" t="s">
        <v>63</v>
      </c>
      <c r="BG214" s="42" t="s">
        <v>63</v>
      </c>
      <c r="BH214" s="42" t="s">
        <v>63</v>
      </c>
      <c r="BI214" s="42" t="s">
        <v>64</v>
      </c>
      <c r="BJ214" s="42" t="s">
        <v>63</v>
      </c>
      <c r="BK214" s="42" t="s">
        <v>63</v>
      </c>
      <c r="BL214" s="42" t="s">
        <v>63</v>
      </c>
    </row>
    <row r="215" spans="1:64">
      <c r="A215" s="55" t="s">
        <v>1176</v>
      </c>
      <c r="B215" s="34" t="s">
        <v>480</v>
      </c>
      <c r="C215" s="34" t="s">
        <v>480</v>
      </c>
      <c r="D215" s="33" t="s">
        <v>481</v>
      </c>
      <c r="E215" s="34">
        <f>IF(_xlfn.IFNA(VLOOKUP(B215,Data!B:G,3,FALSE),"")=0, "", _xlfn.IFNA(VLOOKUP(B215,Data!B:G,3,FALSE),""))</f>
        <v>3</v>
      </c>
      <c r="F215" s="66" t="s">
        <v>106</v>
      </c>
      <c r="G215" s="33"/>
      <c r="H215" s="66" t="str">
        <f>IF(_xlfn.IFNA(VLOOKUP(C215,Data!A:G,5,FALSE),"")=0, "Check course registration information", _xlfn.IFNA(VLOOKUP(C215,Data!A:G,5,FALSE),""))</f>
        <v>MA 26100 [concurrent ok] or MATH 26100 [concurrent ok] or MA 17200 [concurrent ok] or MA 17400 [concurrent ok] or MA 18200 [concurrent ok] or MA 26300 [concurrent ok] or MA 27100 [concurrent ok]) and (MA 26500 [concurrent ok] or MA 35100 [concurrent ok]) or (MA 26200 [concurrent ok] or MATH 26200 [concurrent ok] or MA 36300 [concurrent ok]) and MSE 23000 [concurrent ok]</v>
      </c>
      <c r="J215" s="33" t="str">
        <f>IF(_xlfn.IFNA(VLOOKUP(C215,Data!A:G,6,FALSE),"")=0, "Check course registration information", _xlfn.IFNA(VLOOKUP(C215,Data!A:G,6,FALSE),""))</f>
        <v>Introductory course with an atomistic view point on material properties. Three primary class sections: bonding crystallography and statistical mechanics. Bonding topics include introduction to quantum mechanics, emphasis on understanding of metallic, ionic and covalent bonding. Crystallography topics include crystal descriptions and symmetry principles. Statistical mechanics development with application to electronic and thermodynamic properties</v>
      </c>
      <c r="K215" s="33" t="str">
        <f>IF(_xlfn.IFNA(VLOOKUP(C215,Data!A:H,7,FALSE),"")=0, "", _xlfn.IFNA(HYPERLINK(VLOOKUP(C215,Data!A:H,7,FALSE),"Catalog Link"),""))</f>
        <v>Catalog Link</v>
      </c>
      <c r="L215" s="33" t="str">
        <f>IF(_xlfn.IFNA(VLOOKUP(C215,Data!A:I,8,FALSE),"")=0, "", _xlfn.IFNA(HYPERLINK(VLOOKUP(C215,Data!A:I,8,FALSE),"Additional Information"),""))</f>
        <v/>
      </c>
      <c r="M215" s="34">
        <f t="shared" si="4"/>
        <v>4</v>
      </c>
      <c r="N215" s="42" t="s">
        <v>63</v>
      </c>
      <c r="O215" s="42" t="s">
        <v>63</v>
      </c>
      <c r="P215" s="42" t="s">
        <v>63</v>
      </c>
      <c r="Q215" s="42" t="s">
        <v>63</v>
      </c>
      <c r="R215" s="42" t="s">
        <v>63</v>
      </c>
      <c r="S215" s="42" t="s">
        <v>63</v>
      </c>
      <c r="T215" s="42" t="s">
        <v>63</v>
      </c>
      <c r="U215" s="42" t="s">
        <v>63</v>
      </c>
      <c r="V215" s="42" t="s">
        <v>63</v>
      </c>
      <c r="W215" s="42" t="s">
        <v>63</v>
      </c>
      <c r="X215" s="42" t="s">
        <v>63</v>
      </c>
      <c r="Y215" s="42" t="s">
        <v>63</v>
      </c>
      <c r="Z215" s="42" t="s">
        <v>63</v>
      </c>
      <c r="AA215" s="42" t="s">
        <v>63</v>
      </c>
      <c r="AB215" s="42" t="s">
        <v>63</v>
      </c>
      <c r="AC215" s="42"/>
      <c r="AD215" s="42" t="s">
        <v>63</v>
      </c>
      <c r="AE215" s="42" t="s">
        <v>63</v>
      </c>
      <c r="AF215" s="42" t="s">
        <v>63</v>
      </c>
      <c r="AG215" s="42" t="s">
        <v>63</v>
      </c>
      <c r="AH215" s="42" t="s">
        <v>64</v>
      </c>
      <c r="AI215" s="42"/>
      <c r="AJ215" s="42" t="s">
        <v>63</v>
      </c>
      <c r="AK215" s="42"/>
      <c r="AL215" s="42" t="s">
        <v>63</v>
      </c>
      <c r="AM215" s="42" t="s">
        <v>64</v>
      </c>
      <c r="AN215" s="42" t="s">
        <v>63</v>
      </c>
      <c r="AO215" s="42" t="s">
        <v>63</v>
      </c>
      <c r="AP215" s="42" t="s">
        <v>63</v>
      </c>
      <c r="AQ215" s="42" t="s">
        <v>63</v>
      </c>
      <c r="AR215" s="42"/>
      <c r="AS215" s="42" t="s">
        <v>63</v>
      </c>
      <c r="AT215" s="42" t="s">
        <v>63</v>
      </c>
      <c r="AU215" s="42"/>
      <c r="AV215" s="42"/>
      <c r="AW215" s="42" t="s">
        <v>64</v>
      </c>
      <c r="AX215" s="42" t="s">
        <v>63</v>
      </c>
      <c r="AY215" s="42" t="s">
        <v>63</v>
      </c>
      <c r="AZ215" s="42" t="s">
        <v>63</v>
      </c>
      <c r="BA215" s="42"/>
      <c r="BB215" s="42" t="s">
        <v>63</v>
      </c>
      <c r="BC215" s="42" t="s">
        <v>63</v>
      </c>
      <c r="BD215" s="42" t="s">
        <v>63</v>
      </c>
      <c r="BE215" s="42" t="s">
        <v>63</v>
      </c>
      <c r="BF215" s="42" t="s">
        <v>64</v>
      </c>
      <c r="BG215" s="42" t="s">
        <v>63</v>
      </c>
      <c r="BH215" s="42" t="s">
        <v>63</v>
      </c>
      <c r="BI215" s="42" t="s">
        <v>63</v>
      </c>
      <c r="BJ215" s="42" t="s">
        <v>63</v>
      </c>
      <c r="BK215" s="42" t="s">
        <v>63</v>
      </c>
      <c r="BL215" s="42" t="s">
        <v>63</v>
      </c>
    </row>
    <row r="216" spans="1:64" s="36" customFormat="1" ht="15.75">
      <c r="A216" s="33" t="s">
        <v>1176</v>
      </c>
      <c r="B216" s="34" t="s">
        <v>512</v>
      </c>
      <c r="C216" s="34" t="s">
        <v>512</v>
      </c>
      <c r="D216" s="33" t="s">
        <v>513</v>
      </c>
      <c r="E216" s="34">
        <f>IF(_xlfn.IFNA(VLOOKUP(B216,Data!B:G,3,FALSE),"")=0, "", _xlfn.IFNA(VLOOKUP(B216,Data!B:G,3,FALSE),""))</f>
        <v>3</v>
      </c>
      <c r="F216" s="66" t="s">
        <v>106</v>
      </c>
      <c r="G216" s="44"/>
      <c r="H216" s="66" t="str">
        <f>IF(_xlfn.IFNA(VLOOKUP(C216,Data!A:G,5,FALSE),"")=0, "Check course registration information", _xlfn.IFNA(VLOOKUP(C216,Data!A:G,5,FALSE),""))</f>
        <v>MSE 23000</v>
      </c>
      <c r="I216" s="33"/>
      <c r="J216" s="33" t="str">
        <f>IF(_xlfn.IFNA(VLOOKUP(C216,Data!A:G,6,FALSE),"")=0, "Check course registration information", _xlfn.IFNA(VLOOKUP(C216,Data!A:G,6,FALSE),""))</f>
        <v>An introduction to the relationships between the processing of materials and their properties. Heat treating, forming, casting, consolidation, and other more material-specific manufacturing processes. Elucidation of the role of phenomena such as heat flow, mass diffusion, nucleation, interfacial tension, elastic and plastic deformation, precipitation, grain growth</v>
      </c>
      <c r="K216" s="33" t="str">
        <f>IF(_xlfn.IFNA(VLOOKUP(C216,Data!A:H,7,FALSE),"")=0, "", _xlfn.IFNA(HYPERLINK(VLOOKUP(C216,Data!A:H,7,FALSE),"Catalog Link"),""))</f>
        <v>Catalog Link</v>
      </c>
      <c r="L216" s="33" t="str">
        <f>IF(_xlfn.IFNA(VLOOKUP(C216,Data!A:I,8,FALSE),"")=0, "", _xlfn.IFNA(HYPERLINK(VLOOKUP(C216,Data!A:I,8,FALSE),"Additional Information"),""))</f>
        <v/>
      </c>
      <c r="M216" s="34">
        <f t="shared" si="4"/>
        <v>3</v>
      </c>
      <c r="N216" s="42" t="s">
        <v>63</v>
      </c>
      <c r="O216" s="42" t="s">
        <v>63</v>
      </c>
      <c r="P216" s="42" t="s">
        <v>63</v>
      </c>
      <c r="Q216" s="42" t="s">
        <v>63</v>
      </c>
      <c r="R216" s="42" t="s">
        <v>63</v>
      </c>
      <c r="S216" s="42" t="s">
        <v>63</v>
      </c>
      <c r="T216" s="42" t="s">
        <v>63</v>
      </c>
      <c r="U216" s="42" t="s">
        <v>63</v>
      </c>
      <c r="V216" s="42" t="s">
        <v>63</v>
      </c>
      <c r="W216" s="42" t="s">
        <v>63</v>
      </c>
      <c r="X216" s="42" t="s">
        <v>63</v>
      </c>
      <c r="Y216" s="42" t="s">
        <v>63</v>
      </c>
      <c r="Z216" s="42" t="s">
        <v>63</v>
      </c>
      <c r="AA216" s="42" t="s">
        <v>63</v>
      </c>
      <c r="AB216" s="42" t="s">
        <v>63</v>
      </c>
      <c r="AC216" s="42"/>
      <c r="AD216" s="42" t="s">
        <v>63</v>
      </c>
      <c r="AE216" s="42" t="s">
        <v>63</v>
      </c>
      <c r="AF216" s="42" t="s">
        <v>63</v>
      </c>
      <c r="AG216" s="42" t="s">
        <v>64</v>
      </c>
      <c r="AH216" s="42" t="s">
        <v>63</v>
      </c>
      <c r="AI216" s="42" t="s">
        <v>64</v>
      </c>
      <c r="AJ216" s="42" t="s">
        <v>63</v>
      </c>
      <c r="AK216" s="42"/>
      <c r="AL216" s="42" t="s">
        <v>63</v>
      </c>
      <c r="AM216" s="42"/>
      <c r="AN216" s="42" t="s">
        <v>63</v>
      </c>
      <c r="AO216" s="42" t="s">
        <v>63</v>
      </c>
      <c r="AP216" s="42" t="s">
        <v>63</v>
      </c>
      <c r="AQ216" s="42" t="s">
        <v>63</v>
      </c>
      <c r="AR216" s="42"/>
      <c r="AS216" s="42" t="s">
        <v>63</v>
      </c>
      <c r="AT216" s="42" t="s">
        <v>63</v>
      </c>
      <c r="AU216" s="42"/>
      <c r="AV216" s="42"/>
      <c r="AW216" s="42" t="s">
        <v>63</v>
      </c>
      <c r="AX216" s="42" t="s">
        <v>63</v>
      </c>
      <c r="AY216" s="42" t="s">
        <v>63</v>
      </c>
      <c r="AZ216" s="42" t="s">
        <v>63</v>
      </c>
      <c r="BA216" s="42"/>
      <c r="BB216" s="42" t="s">
        <v>63</v>
      </c>
      <c r="BC216" s="42" t="s">
        <v>63</v>
      </c>
      <c r="BD216" s="42" t="s">
        <v>63</v>
      </c>
      <c r="BE216" s="42" t="s">
        <v>63</v>
      </c>
      <c r="BF216" s="42" t="s">
        <v>64</v>
      </c>
      <c r="BG216" s="42" t="s">
        <v>63</v>
      </c>
      <c r="BH216" s="42" t="s">
        <v>63</v>
      </c>
      <c r="BI216" s="42" t="s">
        <v>63</v>
      </c>
      <c r="BJ216" s="42" t="s">
        <v>63</v>
      </c>
      <c r="BK216" s="42" t="s">
        <v>63</v>
      </c>
      <c r="BL216" s="42" t="s">
        <v>63</v>
      </c>
    </row>
    <row r="217" spans="1:64" s="36" customFormat="1" ht="15.75">
      <c r="A217" s="33" t="s">
        <v>1177</v>
      </c>
      <c r="B217" s="34" t="s">
        <v>484</v>
      </c>
      <c r="C217" s="34" t="s">
        <v>484</v>
      </c>
      <c r="D217" s="33" t="s">
        <v>485</v>
      </c>
      <c r="E217" s="34">
        <f>IF(_xlfn.IFNA(VLOOKUP(B217,Data!B:G,3,FALSE),"")=0, "", _xlfn.IFNA(VLOOKUP(B217,Data!B:G,3,FALSE),""))</f>
        <v>3</v>
      </c>
      <c r="F217" s="33" t="s">
        <v>1175</v>
      </c>
      <c r="G217" s="33"/>
      <c r="H217" s="33" t="str">
        <f>IF(_xlfn.IFNA(VLOOKUP(C217,Data!A:G,5,FALSE),"")=0, "Check course registration information", _xlfn.IFNA(VLOOKUP(C217,Data!A:G,5,FALSE),""))</f>
        <v>MSE 23500 or MSE 29200</v>
      </c>
      <c r="I217" s="33"/>
      <c r="J217" s="33" t="str">
        <f>IF(_xlfn.IFNA(VLOOKUP(C217,Data!A:G,6,FALSE),"")=0, "Check course registration information", _xlfn.IFNA(VLOOKUP(C217,Data!A:G,6,FALSE),""))</f>
        <v>This laboratory provides hands-on experience across a range of material classes, including structural and functional materials such semiconductors. Students perform experiments using standard characterization and processing equipment to measure properties, analyze structure and composition. The course emphasizes developing experimental skills, interpreting data, and linking results to materials performance</v>
      </c>
      <c r="K217" s="33" t="str">
        <f>IF(_xlfn.IFNA(VLOOKUP(C217,Data!A:H,7,FALSE),"")=0, "", _xlfn.IFNA(HYPERLINK(VLOOKUP(C217,Data!A:H,7,FALSE),"Catalog Link"),""))</f>
        <v>Catalog Link</v>
      </c>
      <c r="L217" s="33" t="str">
        <f>IF(_xlfn.IFNA(VLOOKUP(C217,Data!A:I,8,FALSE),"")=0, "", _xlfn.IFNA(HYPERLINK(VLOOKUP(C217,Data!A:I,8,FALSE),"Additional Information"),""))</f>
        <v/>
      </c>
      <c r="M217" s="34">
        <f t="shared" si="4"/>
        <v>1</v>
      </c>
      <c r="N217" s="42" t="s">
        <v>63</v>
      </c>
      <c r="O217" s="42" t="s">
        <v>63</v>
      </c>
      <c r="P217" s="42" t="s">
        <v>63</v>
      </c>
      <c r="Q217" s="42" t="s">
        <v>63</v>
      </c>
      <c r="R217" s="42" t="s">
        <v>63</v>
      </c>
      <c r="S217" s="42" t="s">
        <v>63</v>
      </c>
      <c r="T217" s="42" t="s">
        <v>63</v>
      </c>
      <c r="U217" s="42" t="s">
        <v>63</v>
      </c>
      <c r="V217" s="42" t="s">
        <v>63</v>
      </c>
      <c r="W217" s="42" t="s">
        <v>63</v>
      </c>
      <c r="X217" s="42" t="s">
        <v>63</v>
      </c>
      <c r="Y217" s="42" t="s">
        <v>63</v>
      </c>
      <c r="Z217" s="42" t="s">
        <v>63</v>
      </c>
      <c r="AA217" s="43" t="s">
        <v>63</v>
      </c>
      <c r="AB217" s="42" t="s">
        <v>63</v>
      </c>
      <c r="AC217" s="42"/>
      <c r="AD217" s="42" t="s">
        <v>63</v>
      </c>
      <c r="AE217" s="42" t="s">
        <v>63</v>
      </c>
      <c r="AF217" s="42" t="s">
        <v>63</v>
      </c>
      <c r="AG217" s="42" t="s">
        <v>63</v>
      </c>
      <c r="AH217" s="42" t="s">
        <v>63</v>
      </c>
      <c r="AI217" s="42"/>
      <c r="AJ217" s="42" t="s">
        <v>63</v>
      </c>
      <c r="AK217" s="42"/>
      <c r="AL217" s="42" t="s">
        <v>63</v>
      </c>
      <c r="AM217" s="42"/>
      <c r="AN217" s="42" t="s">
        <v>63</v>
      </c>
      <c r="AO217" s="42" t="s">
        <v>63</v>
      </c>
      <c r="AP217" s="42" t="s">
        <v>63</v>
      </c>
      <c r="AQ217" s="42" t="s">
        <v>63</v>
      </c>
      <c r="AR217" s="42"/>
      <c r="AS217" s="42" t="s">
        <v>63</v>
      </c>
      <c r="AT217" s="42" t="s">
        <v>63</v>
      </c>
      <c r="AU217" s="42"/>
      <c r="AV217" s="42"/>
      <c r="AW217" s="42" t="s">
        <v>63</v>
      </c>
      <c r="AX217" s="42" t="s">
        <v>63</v>
      </c>
      <c r="AY217" s="42" t="s">
        <v>63</v>
      </c>
      <c r="AZ217" s="42" t="s">
        <v>63</v>
      </c>
      <c r="BA217" s="42"/>
      <c r="BB217" s="42" t="s">
        <v>63</v>
      </c>
      <c r="BC217" s="42" t="s">
        <v>63</v>
      </c>
      <c r="BD217" s="42" t="s">
        <v>63</v>
      </c>
      <c r="BE217" s="42" t="s">
        <v>63</v>
      </c>
      <c r="BF217" s="42" t="s">
        <v>64</v>
      </c>
      <c r="BG217" s="42" t="s">
        <v>63</v>
      </c>
      <c r="BH217" s="42" t="s">
        <v>63</v>
      </c>
      <c r="BI217" s="42" t="s">
        <v>63</v>
      </c>
      <c r="BJ217" s="42" t="s">
        <v>63</v>
      </c>
      <c r="BK217" s="42" t="s">
        <v>63</v>
      </c>
      <c r="BL217" s="42" t="s">
        <v>63</v>
      </c>
    </row>
    <row r="218" spans="1:64">
      <c r="A218" s="33" t="s">
        <v>1176</v>
      </c>
      <c r="B218" s="34" t="s">
        <v>516</v>
      </c>
      <c r="C218" s="34" t="s">
        <v>516</v>
      </c>
      <c r="D218" s="33" t="s">
        <v>517</v>
      </c>
      <c r="E218" s="34">
        <f>IF(_xlfn.IFNA(VLOOKUP(B218,Data!B:G,3,FALSE),"")=0, "", _xlfn.IFNA(VLOOKUP(B218,Data!B:G,3,FALSE),""))</f>
        <v>3</v>
      </c>
      <c r="F218" s="66" t="s">
        <v>106</v>
      </c>
      <c r="H218" s="66" t="str">
        <f>IF(_xlfn.IFNA(VLOOKUP(C218,Data!A:G,5,FALSE),"")=0, "Check course registration information", _xlfn.IFNA(VLOOKUP(C218,Data!A:G,5,FALSE),""))</f>
        <v>MSE 23500</v>
      </c>
      <c r="J218" s="33" t="str">
        <f>IF(_xlfn.IFNA(VLOOKUP(C218,Data!A:G,6,FALSE),"")=0, "Check course registration information", _xlfn.IFNA(VLOOKUP(C218,Data!A:G,6,FALSE),""))</f>
        <v>This laboratory is intended as an intensive experience in processing techniques used for ceramics, metals, and polymers. Sintering of a ceramic, casting and post-processing (work hardening, heat treatment, etc.) of a metal, and preparation and extrusion of a polymer are the suggested processes. The measurements (e.g., powder size, compaction force, temperature, grain size, molecular weight) applicable to the successful processing of the material and the final properties (e.g., hardness, ductility, strength, stiffness) will be emphasized</v>
      </c>
      <c r="K218" s="33" t="str">
        <f>IF(_xlfn.IFNA(VLOOKUP(C218,Data!A:H,7,FALSE),"")=0, "", _xlfn.IFNA(HYPERLINK(VLOOKUP(C218,Data!A:H,7,FALSE),"Catalog Link"),""))</f>
        <v>Catalog Link</v>
      </c>
      <c r="L218" s="33" t="str">
        <f>IF(_xlfn.IFNA(VLOOKUP(C218,Data!A:I,8,FALSE),"")=0, "", _xlfn.IFNA(HYPERLINK(VLOOKUP(C218,Data!A:I,8,FALSE),"Additional Information"),""))</f>
        <v/>
      </c>
      <c r="M218" s="34">
        <f t="shared" si="4"/>
        <v>1</v>
      </c>
      <c r="N218" s="42" t="s">
        <v>63</v>
      </c>
      <c r="O218" s="42" t="s">
        <v>63</v>
      </c>
      <c r="P218" s="42" t="s">
        <v>63</v>
      </c>
      <c r="Q218" s="42" t="s">
        <v>63</v>
      </c>
      <c r="R218" s="42" t="s">
        <v>63</v>
      </c>
      <c r="S218" s="42" t="s">
        <v>63</v>
      </c>
      <c r="T218" s="42" t="s">
        <v>63</v>
      </c>
      <c r="U218" s="42" t="s">
        <v>63</v>
      </c>
      <c r="V218" s="42" t="s">
        <v>63</v>
      </c>
      <c r="W218" s="42" t="s">
        <v>63</v>
      </c>
      <c r="X218" s="42" t="s">
        <v>63</v>
      </c>
      <c r="Y218" s="42" t="s">
        <v>63</v>
      </c>
      <c r="Z218" s="42" t="s">
        <v>63</v>
      </c>
      <c r="AA218" s="42" t="s">
        <v>63</v>
      </c>
      <c r="AB218" s="42" t="s">
        <v>63</v>
      </c>
      <c r="AC218" s="42"/>
      <c r="AD218" s="42" t="s">
        <v>63</v>
      </c>
      <c r="AE218" s="42" t="s">
        <v>63</v>
      </c>
      <c r="AF218" s="42" t="s">
        <v>63</v>
      </c>
      <c r="AG218" s="42" t="s">
        <v>63</v>
      </c>
      <c r="AH218" s="42" t="s">
        <v>63</v>
      </c>
      <c r="AI218" s="42"/>
      <c r="AJ218" s="42" t="s">
        <v>63</v>
      </c>
      <c r="AK218" s="42"/>
      <c r="AL218" s="42" t="s">
        <v>63</v>
      </c>
      <c r="AM218" s="42"/>
      <c r="AN218" s="42" t="s">
        <v>63</v>
      </c>
      <c r="AO218" s="42" t="s">
        <v>63</v>
      </c>
      <c r="AP218" s="42" t="s">
        <v>63</v>
      </c>
      <c r="AQ218" s="42" t="s">
        <v>63</v>
      </c>
      <c r="AR218" s="42"/>
      <c r="AS218" s="42" t="s">
        <v>63</v>
      </c>
      <c r="AT218" s="42" t="s">
        <v>63</v>
      </c>
      <c r="AU218" s="42"/>
      <c r="AV218" s="42"/>
      <c r="AW218" s="42" t="s">
        <v>63</v>
      </c>
      <c r="AX218" s="42" t="s">
        <v>63</v>
      </c>
      <c r="AY218" s="42" t="s">
        <v>63</v>
      </c>
      <c r="AZ218" s="42" t="s">
        <v>63</v>
      </c>
      <c r="BA218" s="42"/>
      <c r="BB218" s="42" t="s">
        <v>63</v>
      </c>
      <c r="BC218" s="42" t="s">
        <v>63</v>
      </c>
      <c r="BD218" s="42" t="s">
        <v>63</v>
      </c>
      <c r="BE218" s="42" t="s">
        <v>63</v>
      </c>
      <c r="BF218" s="42" t="s">
        <v>64</v>
      </c>
      <c r="BG218" s="42" t="s">
        <v>63</v>
      </c>
      <c r="BH218" s="42" t="s">
        <v>63</v>
      </c>
      <c r="BI218" s="42" t="s">
        <v>63</v>
      </c>
      <c r="BJ218" s="42" t="s">
        <v>63</v>
      </c>
      <c r="BK218" s="42" t="s">
        <v>63</v>
      </c>
      <c r="BL218" s="42" t="s">
        <v>63</v>
      </c>
    </row>
    <row r="219" spans="1:64">
      <c r="A219" s="33" t="s">
        <v>1176</v>
      </c>
      <c r="B219" s="34" t="s">
        <v>518</v>
      </c>
      <c r="C219" s="34" t="s">
        <v>518</v>
      </c>
      <c r="D219" s="33" t="s">
        <v>519</v>
      </c>
      <c r="E219" s="34">
        <f>IF(_xlfn.IFNA(VLOOKUP(B219,Data!B:G,3,FALSE),"")=0, "", _xlfn.IFNA(VLOOKUP(B219,Data!B:G,3,FALSE),""))</f>
        <v>3</v>
      </c>
      <c r="F219" s="66" t="s">
        <v>106</v>
      </c>
      <c r="H219" s="66" t="str">
        <f>IF(_xlfn.IFNA(VLOOKUP(C219,Data!A:G,5,FALSE),"")=0, "Check course registration information", _xlfn.IFNA(VLOOKUP(C219,Data!A:G,5,FALSE),""))</f>
        <v>MSE 23000 and MSE 27000 and (PHYS 24100 or PHYS 27200 or PHYS 26100 or PHYS 25100 or PHYS 27100</v>
      </c>
      <c r="J219" s="33" t="str">
        <f>IF(_xlfn.IFNA(VLOOKUP(C219,Data!A:G,6,FALSE),"")=0, "Check course registration information", _xlfn.IFNA(VLOOKUP(C219,Data!A:G,6,FALSE),""))</f>
        <v>An introductory course to provide basic background on the behavior of materials; electronic band structure, electronic and ionic conduction, electronic processes in semiconductors, dielectric, optical, and magnetic properties, and superconductivity; emphasis is on the relation between the properties and the structural aspects of materials</v>
      </c>
      <c r="K219" s="33" t="str">
        <f>IF(_xlfn.IFNA(VLOOKUP(C219,Data!A:H,7,FALSE),"")=0, "", _xlfn.IFNA(HYPERLINK(VLOOKUP(C219,Data!A:H,7,FALSE),"Catalog Link"),""))</f>
        <v>Catalog Link</v>
      </c>
      <c r="L219" s="33" t="str">
        <f>IF(_xlfn.IFNA(VLOOKUP(C219,Data!A:I,8,FALSE),"")=0, "", _xlfn.IFNA(HYPERLINK(VLOOKUP(C219,Data!A:I,8,FALSE),"Additional Information"),""))</f>
        <v/>
      </c>
      <c r="M219" s="34">
        <f t="shared" si="4"/>
        <v>2</v>
      </c>
      <c r="N219" s="42" t="s">
        <v>63</v>
      </c>
      <c r="O219" s="42" t="s">
        <v>63</v>
      </c>
      <c r="P219" s="42" t="s">
        <v>63</v>
      </c>
      <c r="Q219" s="42" t="s">
        <v>63</v>
      </c>
      <c r="R219" s="42" t="s">
        <v>63</v>
      </c>
      <c r="S219" s="42" t="s">
        <v>63</v>
      </c>
      <c r="T219" s="42" t="s">
        <v>63</v>
      </c>
      <c r="U219" s="42" t="s">
        <v>63</v>
      </c>
      <c r="V219" s="42" t="s">
        <v>63</v>
      </c>
      <c r="W219" s="42" t="s">
        <v>63</v>
      </c>
      <c r="X219" s="42" t="s">
        <v>63</v>
      </c>
      <c r="Y219" s="42" t="s">
        <v>63</v>
      </c>
      <c r="Z219" s="42" t="s">
        <v>63</v>
      </c>
      <c r="AA219" s="42" t="s">
        <v>63</v>
      </c>
      <c r="AB219" s="42" t="s">
        <v>63</v>
      </c>
      <c r="AC219" s="42"/>
      <c r="AD219" s="42" t="s">
        <v>63</v>
      </c>
      <c r="AE219" s="42" t="s">
        <v>63</v>
      </c>
      <c r="AF219" s="42" t="s">
        <v>63</v>
      </c>
      <c r="AG219" s="42" t="s">
        <v>63</v>
      </c>
      <c r="AH219" s="42" t="s">
        <v>63</v>
      </c>
      <c r="AI219" s="42"/>
      <c r="AJ219" s="42" t="s">
        <v>63</v>
      </c>
      <c r="AK219" s="42"/>
      <c r="AL219" s="42" t="s">
        <v>63</v>
      </c>
      <c r="AM219" s="42" t="s">
        <v>64</v>
      </c>
      <c r="AN219" s="42" t="s">
        <v>63</v>
      </c>
      <c r="AO219" s="42" t="s">
        <v>63</v>
      </c>
      <c r="AP219" s="42" t="s">
        <v>63</v>
      </c>
      <c r="AQ219" s="42" t="s">
        <v>63</v>
      </c>
      <c r="AR219" s="42"/>
      <c r="AS219" s="42" t="s">
        <v>63</v>
      </c>
      <c r="AT219" s="42" t="s">
        <v>63</v>
      </c>
      <c r="AU219" s="42"/>
      <c r="AV219" s="42"/>
      <c r="AW219" s="42" t="s">
        <v>63</v>
      </c>
      <c r="AX219" s="42" t="s">
        <v>63</v>
      </c>
      <c r="AY219" s="42" t="s">
        <v>63</v>
      </c>
      <c r="AZ219" s="42" t="s">
        <v>63</v>
      </c>
      <c r="BA219" s="42"/>
      <c r="BB219" s="42" t="s">
        <v>63</v>
      </c>
      <c r="BC219" s="42" t="s">
        <v>63</v>
      </c>
      <c r="BD219" s="42" t="s">
        <v>63</v>
      </c>
      <c r="BE219" s="42" t="s">
        <v>63</v>
      </c>
      <c r="BF219" s="42" t="s">
        <v>64</v>
      </c>
      <c r="BG219" s="42" t="s">
        <v>63</v>
      </c>
      <c r="BH219" s="42" t="s">
        <v>63</v>
      </c>
      <c r="BI219" s="42" t="s">
        <v>63</v>
      </c>
      <c r="BJ219" s="42" t="s">
        <v>63</v>
      </c>
      <c r="BK219" s="42" t="s">
        <v>63</v>
      </c>
      <c r="BL219" s="42" t="s">
        <v>63</v>
      </c>
    </row>
    <row r="220" spans="1:64">
      <c r="A220" s="55" t="s">
        <v>1176</v>
      </c>
      <c r="B220" s="34" t="s">
        <v>520</v>
      </c>
      <c r="C220" s="34" t="s">
        <v>520</v>
      </c>
      <c r="D220" s="33" t="s">
        <v>1573</v>
      </c>
      <c r="E220" s="34">
        <f>IF(_xlfn.IFNA(VLOOKUP(B220,Data!B:G,3,FALSE),"")=0, "", _xlfn.IFNA(VLOOKUP(B220,Data!B:G,3,FALSE),""))</f>
        <v>3</v>
      </c>
      <c r="F220" s="66" t="s">
        <v>106</v>
      </c>
      <c r="H220" s="66" t="str">
        <f>IF(_xlfn.IFNA(VLOOKUP(C220,Data!A:G,5,FALSE),"")=0, "Check course registration information", _xlfn.IFNA(VLOOKUP(C220,Data!A:G,5,FALSE),""))</f>
        <v>Check course registration information</v>
      </c>
      <c r="I220" s="33" t="s">
        <v>1474</v>
      </c>
      <c r="J220" s="33" t="str">
        <f>IF(_xlfn.IFNA(VLOOKUP(C220,Data!A:G,6,FALSE),"")=0, "Check course registration information", _xlfn.IFNA(VLOOKUP(C220,Data!A:G,6,FALSE),""))</f>
        <v xml:space="preserve">This course provides a broad, hands-on introduction to principles and practices of electronics packaging. The course is broadly divided into four major modules as well as other smaller modules. The major modules provide a practical background (as it relates to electronic packaging) electrical, thermal, mechanical and materials characterization. Design considerations as well as materials selection in the above topics will also be addressed. The minor modules include package fabrication and assembly, radiation hardening, and statistical modeling and data analysis. The class will be primarily a lab-oriented with 1 lecture and 4 hours of hands-on lab each week. </v>
      </c>
      <c r="K220" s="33" t="str">
        <f>IF(_xlfn.IFNA(VLOOKUP(C220,Data!A:H,7,FALSE),"")=0, "", _xlfn.IFNA(HYPERLINK(VLOOKUP(C220,Data!A:H,7,FALSE),"Catalog Link"),""))</f>
        <v>Catalog Link</v>
      </c>
      <c r="L220" s="33" t="str">
        <f>IF(_xlfn.IFNA(VLOOKUP(C220,Data!A:I,8,FALSE),"")=0, "", _xlfn.IFNA(HYPERLINK(VLOOKUP(C220,Data!A:I,8,FALSE),"Additional Information"),""))</f>
        <v/>
      </c>
      <c r="M220" s="34">
        <f t="shared" si="4"/>
        <v>6</v>
      </c>
      <c r="N220" s="42" t="s">
        <v>63</v>
      </c>
      <c r="O220" s="42" t="s">
        <v>63</v>
      </c>
      <c r="P220" s="42" t="s">
        <v>63</v>
      </c>
      <c r="Q220" s="42" t="s">
        <v>63</v>
      </c>
      <c r="R220" s="42" t="s">
        <v>63</v>
      </c>
      <c r="S220" s="42" t="s">
        <v>64</v>
      </c>
      <c r="T220" s="42" t="s">
        <v>63</v>
      </c>
      <c r="U220" s="42" t="s">
        <v>64</v>
      </c>
      <c r="V220" s="42" t="s">
        <v>63</v>
      </c>
      <c r="W220" s="42" t="s">
        <v>63</v>
      </c>
      <c r="X220" s="42" t="s">
        <v>63</v>
      </c>
      <c r="Y220" s="42" t="s">
        <v>63</v>
      </c>
      <c r="Z220" s="42" t="s">
        <v>63</v>
      </c>
      <c r="AA220" s="42" t="s">
        <v>63</v>
      </c>
      <c r="AB220" s="42" t="s">
        <v>63</v>
      </c>
      <c r="AC220" s="42"/>
      <c r="AD220" s="42" t="s">
        <v>63</v>
      </c>
      <c r="AE220" s="42" t="s">
        <v>63</v>
      </c>
      <c r="AF220" s="42" t="s">
        <v>63</v>
      </c>
      <c r="AG220" s="42"/>
      <c r="AH220" s="42" t="s">
        <v>63</v>
      </c>
      <c r="AI220" s="42"/>
      <c r="AJ220" s="42" t="s">
        <v>63</v>
      </c>
      <c r="AK220" s="42"/>
      <c r="AL220" s="42" t="s">
        <v>63</v>
      </c>
      <c r="AM220" s="42"/>
      <c r="AN220" s="42"/>
      <c r="AO220" s="42" t="s">
        <v>63</v>
      </c>
      <c r="AP220" s="42" t="s">
        <v>63</v>
      </c>
      <c r="AQ220" s="42" t="s">
        <v>63</v>
      </c>
      <c r="AR220" s="42"/>
      <c r="AS220" s="42"/>
      <c r="AT220" s="42" t="s">
        <v>63</v>
      </c>
      <c r="AU220" s="42"/>
      <c r="AV220" s="42"/>
      <c r="AW220" s="42" t="s">
        <v>63</v>
      </c>
      <c r="AX220" s="42" t="s">
        <v>64</v>
      </c>
      <c r="AY220" s="42" t="s">
        <v>64</v>
      </c>
      <c r="AZ220" s="42" t="s">
        <v>63</v>
      </c>
      <c r="BA220" s="42"/>
      <c r="BB220" s="42" t="s">
        <v>63</v>
      </c>
      <c r="BC220" s="42" t="s">
        <v>63</v>
      </c>
      <c r="BD220" s="42" t="s">
        <v>63</v>
      </c>
      <c r="BE220" s="42" t="s">
        <v>63</v>
      </c>
      <c r="BF220" s="42" t="s">
        <v>64</v>
      </c>
      <c r="BG220" s="42" t="s">
        <v>63</v>
      </c>
      <c r="BH220" s="42" t="s">
        <v>63</v>
      </c>
      <c r="BI220" s="42" t="s">
        <v>64</v>
      </c>
      <c r="BJ220" s="42" t="s">
        <v>63</v>
      </c>
      <c r="BK220" s="42" t="s">
        <v>63</v>
      </c>
      <c r="BL220" s="42" t="s">
        <v>63</v>
      </c>
    </row>
    <row r="221" spans="1:64">
      <c r="A221" s="33" t="s">
        <v>1176</v>
      </c>
      <c r="B221" s="34" t="s">
        <v>522</v>
      </c>
      <c r="C221" s="34" t="s">
        <v>522</v>
      </c>
      <c r="D221" s="33" t="s">
        <v>523</v>
      </c>
      <c r="E221" s="34">
        <f>IF(_xlfn.IFNA(VLOOKUP(B221,Data!B:G,3,FALSE),"")=0, "", _xlfn.IFNA(VLOOKUP(B221,Data!B:G,3,FALSE),""))</f>
        <v>3</v>
      </c>
      <c r="F221" s="66" t="s">
        <v>106</v>
      </c>
      <c r="H221" s="66" t="str">
        <f>IF(_xlfn.IFNA(VLOOKUP(C221,Data!A:G,5,FALSE),"")=0, "Check course registration information", _xlfn.IFNA(VLOOKUP(C221,Data!A:G,5,FALSE),""))</f>
        <v>Senior status and above</v>
      </c>
      <c r="J221" s="33" t="str">
        <f>IF(_xlfn.IFNA(VLOOKUP(C221,Data!A:G,6,FALSE),"")=0, "Check course registration information", _xlfn.IFNA(VLOOKUP(C221,Data!A:G,6,FALSE),""))</f>
        <v>Structures and interactions of point, line, and planar defects in solids, with emphasis on properties of defects. Generic basis of defect energies and interactions, with reference to specific materials and material classes as examples. Types of point defects found in crystals, their origins, interactions, and motion. Overview of dislocation theory and point-defect/dislocation interactions. Structural aspects of surfaces and interfaces, including point and line defect interactions</v>
      </c>
      <c r="K221" s="33" t="str">
        <f>IF(_xlfn.IFNA(VLOOKUP(C221,Data!A:H,7,FALSE),"")=0, "", _xlfn.IFNA(HYPERLINK(VLOOKUP(C221,Data!A:H,7,FALSE),"Catalog Link"),""))</f>
        <v>Catalog Link</v>
      </c>
      <c r="L221" s="33" t="str">
        <f>IF(_xlfn.IFNA(VLOOKUP(C221,Data!A:I,8,FALSE),"")=0, "", _xlfn.IFNA(HYPERLINK(VLOOKUP(C221,Data!A:I,8,FALSE),"Additional Information"),""))</f>
        <v/>
      </c>
      <c r="M221" s="34">
        <f t="shared" si="4"/>
        <v>1</v>
      </c>
      <c r="N221" s="42" t="s">
        <v>63</v>
      </c>
      <c r="O221" s="42" t="s">
        <v>63</v>
      </c>
      <c r="P221" s="42" t="s">
        <v>63</v>
      </c>
      <c r="Q221" s="42" t="s">
        <v>63</v>
      </c>
      <c r="R221" s="42" t="s">
        <v>63</v>
      </c>
      <c r="S221" s="42" t="s">
        <v>63</v>
      </c>
      <c r="T221" s="42" t="s">
        <v>63</v>
      </c>
      <c r="U221" s="42" t="s">
        <v>63</v>
      </c>
      <c r="V221" s="42" t="s">
        <v>63</v>
      </c>
      <c r="W221" s="42" t="s">
        <v>63</v>
      </c>
      <c r="X221" s="42" t="s">
        <v>63</v>
      </c>
      <c r="Y221" s="42" t="s">
        <v>63</v>
      </c>
      <c r="Z221" s="42" t="s">
        <v>63</v>
      </c>
      <c r="AA221" s="42" t="s">
        <v>63</v>
      </c>
      <c r="AB221" s="42" t="s">
        <v>63</v>
      </c>
      <c r="AC221" s="42"/>
      <c r="AD221" s="42" t="s">
        <v>63</v>
      </c>
      <c r="AE221" s="42" t="s">
        <v>63</v>
      </c>
      <c r="AF221" s="42" t="s">
        <v>63</v>
      </c>
      <c r="AG221" s="42" t="s">
        <v>63</v>
      </c>
      <c r="AH221" s="42" t="s">
        <v>63</v>
      </c>
      <c r="AI221" s="42"/>
      <c r="AJ221" s="42" t="s">
        <v>63</v>
      </c>
      <c r="AK221" s="42"/>
      <c r="AL221" s="42" t="s">
        <v>63</v>
      </c>
      <c r="AM221" s="42"/>
      <c r="AN221" s="42" t="s">
        <v>63</v>
      </c>
      <c r="AO221" s="42" t="s">
        <v>63</v>
      </c>
      <c r="AP221" s="42" t="s">
        <v>63</v>
      </c>
      <c r="AQ221" s="42" t="s">
        <v>63</v>
      </c>
      <c r="AR221" s="42"/>
      <c r="AS221" s="42" t="s">
        <v>63</v>
      </c>
      <c r="AT221" s="42" t="s">
        <v>63</v>
      </c>
      <c r="AU221" s="42"/>
      <c r="AV221" s="42"/>
      <c r="AW221" s="42" t="s">
        <v>63</v>
      </c>
      <c r="AX221" s="42" t="s">
        <v>63</v>
      </c>
      <c r="AY221" s="42" t="s">
        <v>63</v>
      </c>
      <c r="AZ221" s="42" t="s">
        <v>63</v>
      </c>
      <c r="BA221" s="42"/>
      <c r="BB221" s="42" t="s">
        <v>63</v>
      </c>
      <c r="BC221" s="42" t="s">
        <v>63</v>
      </c>
      <c r="BD221" s="42" t="s">
        <v>63</v>
      </c>
      <c r="BE221" s="42" t="s">
        <v>63</v>
      </c>
      <c r="BF221" s="42" t="s">
        <v>64</v>
      </c>
      <c r="BG221" s="42" t="s">
        <v>63</v>
      </c>
      <c r="BH221" s="42" t="s">
        <v>63</v>
      </c>
      <c r="BI221" s="42" t="s">
        <v>63</v>
      </c>
      <c r="BJ221" s="42" t="s">
        <v>63</v>
      </c>
      <c r="BK221" s="42" t="s">
        <v>63</v>
      </c>
      <c r="BL221" s="42" t="s">
        <v>63</v>
      </c>
    </row>
    <row r="222" spans="1:64">
      <c r="A222" s="33" t="s">
        <v>1176</v>
      </c>
      <c r="B222" s="34" t="s">
        <v>526</v>
      </c>
      <c r="C222" s="34" t="s">
        <v>526</v>
      </c>
      <c r="D222" s="33" t="s">
        <v>527</v>
      </c>
      <c r="E222" s="34">
        <f>IF(_xlfn.IFNA(VLOOKUP(B222,Data!B:G,3,FALSE),"")=0, "", _xlfn.IFNA(VLOOKUP(B222,Data!B:G,3,FALSE),""))</f>
        <v>3</v>
      </c>
      <c r="F222" s="66" t="s">
        <v>106</v>
      </c>
      <c r="H222" s="66" t="str">
        <f>IF(_xlfn.IFNA(VLOOKUP(C222,Data!A:G,5,FALSE),"")=0, "Check course registration information", _xlfn.IFNA(VLOOKUP(C222,Data!A:G,5,FALSE),""))</f>
        <v>Senior status and above</v>
      </c>
      <c r="J222" s="33" t="str">
        <f>IF(_xlfn.IFNA(VLOOKUP(C222,Data!A:G,6,FALSE),"")=0, "Check course registration information", _xlfn.IFNA(VLOOKUP(C222,Data!A:G,6,FALSE),""))</f>
        <v>A broad variety of analytical tools will be presented. The intent is to allow the student to make an educated selection of characterization techniques, or critical analysis of published data, for materials and defect analysis. The techniques will be assessed in terms of the probe type and material response, of what device and specimen requirements are typical, and of what data can or cannot be derived from each type of analysis</v>
      </c>
      <c r="K222" s="33" t="str">
        <f>IF(_xlfn.IFNA(VLOOKUP(C222,Data!A:H,7,FALSE),"")=0, "", _xlfn.IFNA(HYPERLINK(VLOOKUP(C222,Data!A:H,7,FALSE),"Catalog Link"),""))</f>
        <v>Catalog Link</v>
      </c>
      <c r="L222" s="33" t="str">
        <f>IF(_xlfn.IFNA(VLOOKUP(C222,Data!A:I,8,FALSE),"")=0, "", _xlfn.IFNA(HYPERLINK(VLOOKUP(C222,Data!A:I,8,FALSE),"Additional Information"),""))</f>
        <v/>
      </c>
      <c r="M222" s="34">
        <f t="shared" si="4"/>
        <v>4</v>
      </c>
      <c r="N222" s="42" t="s">
        <v>63</v>
      </c>
      <c r="O222" s="42" t="s">
        <v>63</v>
      </c>
      <c r="P222" s="42" t="s">
        <v>63</v>
      </c>
      <c r="Q222" s="42" t="s">
        <v>63</v>
      </c>
      <c r="R222" s="42" t="s">
        <v>63</v>
      </c>
      <c r="S222" s="42" t="s">
        <v>64</v>
      </c>
      <c r="T222" s="42" t="s">
        <v>63</v>
      </c>
      <c r="U222" s="42" t="s">
        <v>64</v>
      </c>
      <c r="V222" s="42" t="s">
        <v>63</v>
      </c>
      <c r="W222" s="42" t="s">
        <v>63</v>
      </c>
      <c r="X222" s="42" t="s">
        <v>63</v>
      </c>
      <c r="Y222" s="42" t="s">
        <v>63</v>
      </c>
      <c r="Z222" s="42" t="s">
        <v>63</v>
      </c>
      <c r="AA222" s="42" t="s">
        <v>63</v>
      </c>
      <c r="AB222" s="42" t="s">
        <v>63</v>
      </c>
      <c r="AC222" s="42"/>
      <c r="AD222" s="42" t="s">
        <v>63</v>
      </c>
      <c r="AE222" s="42" t="s">
        <v>63</v>
      </c>
      <c r="AF222" s="42" t="s">
        <v>63</v>
      </c>
      <c r="AG222" s="42" t="s">
        <v>63</v>
      </c>
      <c r="AH222" s="42" t="s">
        <v>63</v>
      </c>
      <c r="AI222" s="42"/>
      <c r="AJ222" s="42" t="s">
        <v>63</v>
      </c>
      <c r="AK222" s="42"/>
      <c r="AL222" s="42" t="s">
        <v>63</v>
      </c>
      <c r="AM222" s="42" t="s">
        <v>64</v>
      </c>
      <c r="AN222" s="42" t="s">
        <v>63</v>
      </c>
      <c r="AO222" s="42" t="s">
        <v>63</v>
      </c>
      <c r="AP222" s="42" t="s">
        <v>63</v>
      </c>
      <c r="AQ222" s="42" t="s">
        <v>63</v>
      </c>
      <c r="AR222" s="42"/>
      <c r="AS222" s="42" t="s">
        <v>63</v>
      </c>
      <c r="AT222" s="42" t="s">
        <v>63</v>
      </c>
      <c r="AU222" s="42"/>
      <c r="AV222" s="42"/>
      <c r="AW222" s="42" t="s">
        <v>63</v>
      </c>
      <c r="AX222" s="42" t="s">
        <v>63</v>
      </c>
      <c r="AY222" s="42" t="s">
        <v>63</v>
      </c>
      <c r="AZ222" s="42" t="s">
        <v>63</v>
      </c>
      <c r="BA222" s="42"/>
      <c r="BB222" s="42" t="s">
        <v>63</v>
      </c>
      <c r="BC222" s="42" t="s">
        <v>63</v>
      </c>
      <c r="BD222" s="42" t="s">
        <v>63</v>
      </c>
      <c r="BE222" s="42" t="s">
        <v>63</v>
      </c>
      <c r="BF222" s="42" t="s">
        <v>64</v>
      </c>
      <c r="BG222" s="42" t="s">
        <v>63</v>
      </c>
      <c r="BH222" s="42" t="s">
        <v>63</v>
      </c>
      <c r="BI222" s="42" t="s">
        <v>63</v>
      </c>
      <c r="BJ222" s="42" t="s">
        <v>63</v>
      </c>
      <c r="BK222" s="42" t="s">
        <v>63</v>
      </c>
      <c r="BL222" s="42" t="s">
        <v>63</v>
      </c>
    </row>
    <row r="223" spans="1:64">
      <c r="A223" s="33" t="s">
        <v>1177</v>
      </c>
      <c r="B223" s="34" t="s">
        <v>496</v>
      </c>
      <c r="C223" s="34" t="s">
        <v>496</v>
      </c>
      <c r="D223" s="33" t="s">
        <v>497</v>
      </c>
      <c r="E223" s="34">
        <f>IF(_xlfn.IFNA(VLOOKUP(B223,Data!B:G,3,FALSE),"")=0, "", _xlfn.IFNA(VLOOKUP(B223,Data!B:G,3,FALSE),""))</f>
        <v>3</v>
      </c>
      <c r="F223" s="33" t="s">
        <v>1175</v>
      </c>
      <c r="G223" s="33"/>
      <c r="H223" s="33" t="str">
        <f>IF(_xlfn.IFNA(VLOOKUP(C223,Data!A:G,5,FALSE),"")=0, "Check course registration information", _xlfn.IFNA(VLOOKUP(C223,Data!A:G,5,FALSE),""))</f>
        <v>MSE 33500 or MSE 38200</v>
      </c>
      <c r="J223" s="33" t="str">
        <f>IF(_xlfn.IFNA(VLOOKUP(C223,Data!A:G,6,FALSE),"")=0, "Check course registration information", _xlfn.IFNA(VLOOKUP(C223,Data!A:G,6,FALSE),""))</f>
        <v>Introduction to failure analysis and prevention. Concepts of materials failure, root cause analysis, manufacturing aspects of failure, techniques for identifying failure, fracture, corrosion, wear, and case studies. Also includes business and entrepreneurship aspects</v>
      </c>
      <c r="K223" s="33" t="str">
        <f>IF(_xlfn.IFNA(VLOOKUP(C223,Data!A:H,7,FALSE),"")=0, "", _xlfn.IFNA(HYPERLINK(VLOOKUP(C223,Data!A:H,7,FALSE),"Catalog Link"),""))</f>
        <v>Catalog Link</v>
      </c>
      <c r="L223" s="33" t="str">
        <f>IF(_xlfn.IFNA(VLOOKUP(C223,Data!A:I,8,FALSE),"")=0, "", _xlfn.IFNA(HYPERLINK(VLOOKUP(C223,Data!A:I,8,FALSE),"Additional Information"),""))</f>
        <v/>
      </c>
      <c r="M223" s="34">
        <f t="shared" si="4"/>
        <v>1</v>
      </c>
      <c r="N223" s="42" t="s">
        <v>63</v>
      </c>
      <c r="O223" s="42" t="s">
        <v>63</v>
      </c>
      <c r="P223" s="42" t="s">
        <v>63</v>
      </c>
      <c r="Q223" s="42" t="s">
        <v>63</v>
      </c>
      <c r="R223" s="42" t="s">
        <v>63</v>
      </c>
      <c r="S223" s="42" t="s">
        <v>63</v>
      </c>
      <c r="T223" s="42" t="s">
        <v>63</v>
      </c>
      <c r="U223" s="42" t="s">
        <v>63</v>
      </c>
      <c r="V223" s="42" t="s">
        <v>63</v>
      </c>
      <c r="W223" s="42" t="s">
        <v>63</v>
      </c>
      <c r="X223" s="42" t="s">
        <v>63</v>
      </c>
      <c r="Y223" s="42" t="s">
        <v>63</v>
      </c>
      <c r="Z223" s="42" t="s">
        <v>63</v>
      </c>
      <c r="AA223" s="43" t="s">
        <v>63</v>
      </c>
      <c r="AB223" s="42" t="s">
        <v>63</v>
      </c>
      <c r="AC223" s="42"/>
      <c r="AD223" s="42" t="s">
        <v>63</v>
      </c>
      <c r="AE223" s="42" t="s">
        <v>63</v>
      </c>
      <c r="AF223" s="42" t="s">
        <v>63</v>
      </c>
      <c r="AG223" s="42" t="s">
        <v>63</v>
      </c>
      <c r="AH223" s="42" t="s">
        <v>63</v>
      </c>
      <c r="AI223" s="42"/>
      <c r="AJ223" s="42" t="s">
        <v>63</v>
      </c>
      <c r="AK223" s="42"/>
      <c r="AL223" s="42" t="s">
        <v>63</v>
      </c>
      <c r="AM223" s="42"/>
      <c r="AN223" s="42" t="s">
        <v>63</v>
      </c>
      <c r="AO223" s="42" t="s">
        <v>63</v>
      </c>
      <c r="AP223" s="42" t="s">
        <v>63</v>
      </c>
      <c r="AQ223" s="42" t="s">
        <v>63</v>
      </c>
      <c r="AR223" s="42"/>
      <c r="AS223" s="42" t="s">
        <v>63</v>
      </c>
      <c r="AT223" s="42" t="s">
        <v>63</v>
      </c>
      <c r="AU223" s="42"/>
      <c r="AV223" s="42"/>
      <c r="AW223" s="42" t="s">
        <v>63</v>
      </c>
      <c r="AX223" s="42" t="s">
        <v>63</v>
      </c>
      <c r="AY223" s="42" t="s">
        <v>64</v>
      </c>
      <c r="AZ223" s="42" t="s">
        <v>63</v>
      </c>
      <c r="BA223" s="42"/>
      <c r="BB223" s="42" t="s">
        <v>63</v>
      </c>
      <c r="BC223" s="42" t="s">
        <v>63</v>
      </c>
      <c r="BD223" s="42" t="s">
        <v>63</v>
      </c>
      <c r="BE223" s="42" t="s">
        <v>63</v>
      </c>
      <c r="BF223" s="42" t="s">
        <v>63</v>
      </c>
      <c r="BG223" s="42" t="s">
        <v>63</v>
      </c>
      <c r="BH223" s="42" t="s">
        <v>63</v>
      </c>
      <c r="BI223" s="42" t="s">
        <v>63</v>
      </c>
      <c r="BJ223" s="42" t="s">
        <v>63</v>
      </c>
      <c r="BK223" s="42" t="s">
        <v>63</v>
      </c>
      <c r="BL223" s="42" t="s">
        <v>63</v>
      </c>
    </row>
    <row r="224" spans="1:64">
      <c r="A224" s="33" t="s">
        <v>1176</v>
      </c>
      <c r="B224" s="34" t="s">
        <v>528</v>
      </c>
      <c r="C224" s="34" t="s">
        <v>528</v>
      </c>
      <c r="D224" s="33" t="s">
        <v>529</v>
      </c>
      <c r="E224" s="34">
        <f>IF(_xlfn.IFNA(VLOOKUP(B224,Data!B:G,3,FALSE),"")=0, "", _xlfn.IFNA(VLOOKUP(B224,Data!B:G,3,FALSE),""))</f>
        <v>3</v>
      </c>
      <c r="F224" s="66" t="s">
        <v>106</v>
      </c>
      <c r="H224" s="66" t="str">
        <f>IF(_xlfn.IFNA(VLOOKUP(C224,Data!A:G,5,FALSE),"")=0, "Check course registration information", _xlfn.IFNA(VLOOKUP(C224,Data!A:G,5,FALSE),""))</f>
        <v>Senior status and above</v>
      </c>
      <c r="J224" s="33" t="str">
        <f>IF(_xlfn.IFNA(VLOOKUP(C224,Data!A:G,6,FALSE),"")=0, "Check course registration information", _xlfn.IFNA(VLOOKUP(C224,Data!A:G,6,FALSE),""))</f>
        <v>Physical and chemical processes responsible for microstructure development in modern ceramic materials, and the relationship between microstructures and physical properties. The material covered is divided into three parts: solid state processes, including structural defects, diffusion, sintering and grain growth, reaction rates, nucleation and growth, and microstructure development; mechanical and thermal behavior, including deformation, strength, thermal properties, and thermal and compositional stresses; and electrical and magnetic behavior, including electrical conductivity, dielectric properties, and magnetic properties. Offered in alternate years</v>
      </c>
      <c r="K224" s="33" t="str">
        <f>IF(_xlfn.IFNA(VLOOKUP(C224,Data!A:H,7,FALSE),"")=0, "", _xlfn.IFNA(HYPERLINK(VLOOKUP(C224,Data!A:H,7,FALSE),"Catalog Link"),""))</f>
        <v>Catalog Link</v>
      </c>
      <c r="L224" s="33" t="str">
        <f>IF(_xlfn.IFNA(VLOOKUP(C224,Data!A:I,8,FALSE),"")=0, "", _xlfn.IFNA(HYPERLINK(VLOOKUP(C224,Data!A:I,8,FALSE),"Additional Information"),""))</f>
        <v/>
      </c>
      <c r="M224" s="34">
        <f t="shared" si="4"/>
        <v>2</v>
      </c>
      <c r="N224" s="42" t="s">
        <v>63</v>
      </c>
      <c r="O224" s="42" t="s">
        <v>63</v>
      </c>
      <c r="P224" s="42" t="s">
        <v>63</v>
      </c>
      <c r="Q224" s="42" t="s">
        <v>63</v>
      </c>
      <c r="R224" s="42" t="s">
        <v>63</v>
      </c>
      <c r="S224" s="42" t="s">
        <v>63</v>
      </c>
      <c r="T224" s="42" t="s">
        <v>63</v>
      </c>
      <c r="U224" s="42" t="s">
        <v>63</v>
      </c>
      <c r="V224" s="42" t="s">
        <v>63</v>
      </c>
      <c r="W224" s="42" t="s">
        <v>63</v>
      </c>
      <c r="X224" s="42" t="s">
        <v>63</v>
      </c>
      <c r="Y224" s="42" t="s">
        <v>63</v>
      </c>
      <c r="Z224" s="42" t="s">
        <v>63</v>
      </c>
      <c r="AA224" s="42" t="s">
        <v>63</v>
      </c>
      <c r="AB224" s="42" t="s">
        <v>63</v>
      </c>
      <c r="AC224" s="42"/>
      <c r="AD224" s="42" t="s">
        <v>63</v>
      </c>
      <c r="AE224" s="42" t="s">
        <v>63</v>
      </c>
      <c r="AF224" s="42" t="s">
        <v>63</v>
      </c>
      <c r="AG224" s="42" t="s">
        <v>63</v>
      </c>
      <c r="AH224" s="42" t="s">
        <v>64</v>
      </c>
      <c r="AI224" s="42"/>
      <c r="AJ224" s="42" t="s">
        <v>63</v>
      </c>
      <c r="AK224" s="42"/>
      <c r="AL224" s="42" t="s">
        <v>63</v>
      </c>
      <c r="AM224" s="42"/>
      <c r="AN224" s="42" t="s">
        <v>63</v>
      </c>
      <c r="AO224" s="42" t="s">
        <v>63</v>
      </c>
      <c r="AP224" s="42" t="s">
        <v>63</v>
      </c>
      <c r="AQ224" s="42" t="s">
        <v>63</v>
      </c>
      <c r="AR224" s="42"/>
      <c r="AS224" s="42" t="s">
        <v>63</v>
      </c>
      <c r="AT224" s="42" t="s">
        <v>63</v>
      </c>
      <c r="AU224" s="42"/>
      <c r="AV224" s="42"/>
      <c r="AW224" s="42" t="s">
        <v>63</v>
      </c>
      <c r="AX224" s="42" t="s">
        <v>63</v>
      </c>
      <c r="AY224" s="42" t="s">
        <v>63</v>
      </c>
      <c r="AZ224" s="42" t="s">
        <v>63</v>
      </c>
      <c r="BA224" s="42"/>
      <c r="BB224" s="42" t="s">
        <v>63</v>
      </c>
      <c r="BC224" s="42" t="s">
        <v>63</v>
      </c>
      <c r="BD224" s="42" t="s">
        <v>63</v>
      </c>
      <c r="BE224" s="42" t="s">
        <v>63</v>
      </c>
      <c r="BF224" s="42" t="s">
        <v>64</v>
      </c>
      <c r="BG224" s="42" t="s">
        <v>63</v>
      </c>
      <c r="BH224" s="42" t="s">
        <v>63</v>
      </c>
      <c r="BI224" s="42" t="s">
        <v>63</v>
      </c>
      <c r="BJ224" s="42" t="s">
        <v>63</v>
      </c>
      <c r="BK224" s="42" t="s">
        <v>63</v>
      </c>
      <c r="BL224" s="42" t="s">
        <v>63</v>
      </c>
    </row>
    <row r="225" spans="1:64">
      <c r="A225" s="33" t="s">
        <v>1177</v>
      </c>
      <c r="B225" s="34" t="s">
        <v>500</v>
      </c>
      <c r="C225" s="34" t="s">
        <v>500</v>
      </c>
      <c r="D225" s="33" t="s">
        <v>501</v>
      </c>
      <c r="E225" s="34">
        <f>IF(_xlfn.IFNA(VLOOKUP(B225,Data!B:G,3,FALSE),"")=0, "", _xlfn.IFNA(VLOOKUP(B225,Data!B:G,3,FALSE),""))</f>
        <v>3</v>
      </c>
      <c r="F225" s="33" t="s">
        <v>1175</v>
      </c>
      <c r="G225" s="33"/>
      <c r="H225" s="33" t="str">
        <f>IF(_xlfn.IFNA(VLOOKUP(C225,Data!A:G,5,FALSE),"")=0, "Check course registration information", _xlfn.IFNA(VLOOKUP(C225,Data!A:G,5,FALSE),""))</f>
        <v>Senior status and above</v>
      </c>
      <c r="J225" s="33" t="str">
        <f>IF(_xlfn.IFNA(VLOOKUP(C225,Data!A:G,6,FALSE),"")=0, "Check course registration information", _xlfn.IFNA(VLOOKUP(C225,Data!A:G,6,FALSE),""))</f>
        <v>Examination of the production/synthesis of engineering materials and the subsequent processing steps required to obtain a desired shape and microstructure. The course covers four major categories of materials processing: primary processing or materials synthesis, solidification processing, deformation processing, and powder processing, and provides specific examples from the processing of polymers, metals, and ceramics. The goal is to connect fundamental principles of materials processing to manufacturing processes. Credit will not be given for both MSE 5300 and 36700</v>
      </c>
      <c r="K225" s="33" t="str">
        <f>IF(_xlfn.IFNA(VLOOKUP(C225,Data!A:H,7,FALSE),"")=0, "", _xlfn.IFNA(HYPERLINK(VLOOKUP(C225,Data!A:H,7,FALSE),"Catalog Link"),""))</f>
        <v>Catalog Link</v>
      </c>
      <c r="L225" s="33" t="str">
        <f>IF(_xlfn.IFNA(VLOOKUP(C225,Data!A:I,8,FALSE),"")=0, "", _xlfn.IFNA(HYPERLINK(VLOOKUP(C225,Data!A:I,8,FALSE),"Additional Information"),""))</f>
        <v/>
      </c>
      <c r="M225" s="34">
        <f t="shared" si="4"/>
        <v>1</v>
      </c>
      <c r="N225" s="42" t="s">
        <v>63</v>
      </c>
      <c r="O225" s="42" t="s">
        <v>63</v>
      </c>
      <c r="P225" s="42" t="s">
        <v>63</v>
      </c>
      <c r="Q225" s="42" t="s">
        <v>63</v>
      </c>
      <c r="R225" s="42" t="s">
        <v>63</v>
      </c>
      <c r="S225" s="42" t="s">
        <v>63</v>
      </c>
      <c r="T225" s="42" t="s">
        <v>63</v>
      </c>
      <c r="U225" s="42" t="s">
        <v>63</v>
      </c>
      <c r="V225" s="42" t="s">
        <v>63</v>
      </c>
      <c r="W225" s="42" t="s">
        <v>63</v>
      </c>
      <c r="X225" s="42" t="s">
        <v>63</v>
      </c>
      <c r="Y225" s="42" t="s">
        <v>63</v>
      </c>
      <c r="Z225" s="42" t="s">
        <v>63</v>
      </c>
      <c r="AA225" s="43" t="s">
        <v>63</v>
      </c>
      <c r="AB225" s="42" t="s">
        <v>63</v>
      </c>
      <c r="AC225" s="42"/>
      <c r="AD225" s="42" t="s">
        <v>63</v>
      </c>
      <c r="AE225" s="42" t="s">
        <v>63</v>
      </c>
      <c r="AF225" s="42" t="s">
        <v>63</v>
      </c>
      <c r="AG225" s="42" t="s">
        <v>63</v>
      </c>
      <c r="AH225" s="42" t="s">
        <v>63</v>
      </c>
      <c r="AI225" s="42"/>
      <c r="AJ225" s="42" t="s">
        <v>63</v>
      </c>
      <c r="AK225" s="42"/>
      <c r="AL225" s="42" t="s">
        <v>63</v>
      </c>
      <c r="AM225" s="42"/>
      <c r="AN225" s="42" t="s">
        <v>63</v>
      </c>
      <c r="AO225" s="42" t="s">
        <v>63</v>
      </c>
      <c r="AP225" s="42" t="s">
        <v>63</v>
      </c>
      <c r="AQ225" s="42" t="s">
        <v>63</v>
      </c>
      <c r="AR225" s="42"/>
      <c r="AS225" s="42" t="s">
        <v>63</v>
      </c>
      <c r="AT225" s="42" t="s">
        <v>63</v>
      </c>
      <c r="AU225" s="42"/>
      <c r="AV225" s="42"/>
      <c r="AW225" s="42" t="s">
        <v>63</v>
      </c>
      <c r="AX225" s="42" t="s">
        <v>63</v>
      </c>
      <c r="AY225" s="42" t="s">
        <v>63</v>
      </c>
      <c r="AZ225" s="42" t="s">
        <v>63</v>
      </c>
      <c r="BA225" s="42"/>
      <c r="BB225" s="42" t="s">
        <v>63</v>
      </c>
      <c r="BC225" s="42" t="s">
        <v>63</v>
      </c>
      <c r="BD225" s="42" t="s">
        <v>63</v>
      </c>
      <c r="BE225" s="42" t="s">
        <v>63</v>
      </c>
      <c r="BF225" s="42" t="s">
        <v>64</v>
      </c>
      <c r="BG225" s="42" t="s">
        <v>63</v>
      </c>
      <c r="BH225" s="42" t="s">
        <v>63</v>
      </c>
      <c r="BI225" s="42" t="s">
        <v>63</v>
      </c>
      <c r="BJ225" s="42" t="s">
        <v>63</v>
      </c>
      <c r="BK225" s="42" t="s">
        <v>63</v>
      </c>
      <c r="BL225" s="42" t="s">
        <v>63</v>
      </c>
    </row>
    <row r="226" spans="1:64">
      <c r="A226" s="33" t="s">
        <v>1176</v>
      </c>
      <c r="B226" s="34" t="s">
        <v>530</v>
      </c>
      <c r="C226" s="34" t="s">
        <v>530</v>
      </c>
      <c r="D226" s="33" t="s">
        <v>531</v>
      </c>
      <c r="E226" s="34">
        <f>IF(_xlfn.IFNA(VLOOKUP(B226,Data!B:G,3,FALSE),"")=0, "", _xlfn.IFNA(VLOOKUP(B226,Data!B:G,3,FALSE),""))</f>
        <v>3</v>
      </c>
      <c r="F226" s="66" t="s">
        <v>106</v>
      </c>
      <c r="H226" s="66" t="str">
        <f>IF(_xlfn.IFNA(VLOOKUP(C226,Data!A:G,5,FALSE),"")=0, "Check course registration information", _xlfn.IFNA(VLOOKUP(C226,Data!A:G,5,FALSE),""))</f>
        <v>Senior status and above</v>
      </c>
      <c r="J226" s="33" t="str">
        <f>IF(_xlfn.IFNA(VLOOKUP(C226,Data!A:G,6,FALSE),"")=0, "Check course registration information", _xlfn.IFNA(VLOOKUP(C226,Data!A:G,6,FALSE),""))</f>
        <v>Classical thermodynamics of surfaces: surface tension, surface excess properties, and surface segregation. Atomic structure of surfaces and surface reconstruction. Electronic structure of surfaces, surface states, and the electronic structure/properties of interfaces. Adsorption, surface diffusion, and clustering of adsorbates. Chemical reactions at surfaces. Offered in alternate years</v>
      </c>
      <c r="K226" s="33" t="str">
        <f>IF(_xlfn.IFNA(VLOOKUP(C226,Data!A:H,7,FALSE),"")=0, "", _xlfn.IFNA(HYPERLINK(VLOOKUP(C226,Data!A:H,7,FALSE),"Catalog Link"),""))</f>
        <v>Catalog Link</v>
      </c>
      <c r="L226" s="33" t="str">
        <f>IF(_xlfn.IFNA(VLOOKUP(C226,Data!A:I,8,FALSE),"")=0, "", _xlfn.IFNA(HYPERLINK(VLOOKUP(C226,Data!A:I,8,FALSE),"Additional Information"),""))</f>
        <v/>
      </c>
      <c r="M226" s="34">
        <f t="shared" si="4"/>
        <v>1</v>
      </c>
      <c r="N226" s="42" t="s">
        <v>63</v>
      </c>
      <c r="O226" s="42" t="s">
        <v>63</v>
      </c>
      <c r="P226" s="42" t="s">
        <v>63</v>
      </c>
      <c r="Q226" s="42" t="s">
        <v>63</v>
      </c>
      <c r="R226" s="42" t="s">
        <v>63</v>
      </c>
      <c r="S226" s="42" t="s">
        <v>63</v>
      </c>
      <c r="T226" s="42" t="s">
        <v>63</v>
      </c>
      <c r="U226" s="42" t="s">
        <v>63</v>
      </c>
      <c r="V226" s="42" t="s">
        <v>63</v>
      </c>
      <c r="W226" s="42" t="s">
        <v>63</v>
      </c>
      <c r="X226" s="42" t="s">
        <v>63</v>
      </c>
      <c r="Y226" s="42" t="s">
        <v>63</v>
      </c>
      <c r="Z226" s="42" t="s">
        <v>63</v>
      </c>
      <c r="AA226" s="42" t="s">
        <v>63</v>
      </c>
      <c r="AB226" s="42" t="s">
        <v>63</v>
      </c>
      <c r="AC226" s="42"/>
      <c r="AD226" s="42" t="s">
        <v>63</v>
      </c>
      <c r="AE226" s="42" t="s">
        <v>63</v>
      </c>
      <c r="AF226" s="42" t="s">
        <v>63</v>
      </c>
      <c r="AG226" s="42" t="s">
        <v>63</v>
      </c>
      <c r="AH226" s="42" t="s">
        <v>63</v>
      </c>
      <c r="AI226" s="42"/>
      <c r="AJ226" s="42" t="s">
        <v>63</v>
      </c>
      <c r="AK226" s="42"/>
      <c r="AL226" s="42" t="s">
        <v>63</v>
      </c>
      <c r="AM226" s="42"/>
      <c r="AN226" s="42" t="s">
        <v>63</v>
      </c>
      <c r="AO226" s="42" t="s">
        <v>63</v>
      </c>
      <c r="AP226" s="42" t="s">
        <v>63</v>
      </c>
      <c r="AQ226" s="42" t="s">
        <v>63</v>
      </c>
      <c r="AR226" s="42"/>
      <c r="AS226" s="42" t="s">
        <v>63</v>
      </c>
      <c r="AT226" s="42" t="s">
        <v>63</v>
      </c>
      <c r="AU226" s="42"/>
      <c r="AV226" s="42"/>
      <c r="AW226" s="42" t="s">
        <v>63</v>
      </c>
      <c r="AX226" s="42" t="s">
        <v>63</v>
      </c>
      <c r="AY226" s="42" t="s">
        <v>63</v>
      </c>
      <c r="AZ226" s="42" t="s">
        <v>63</v>
      </c>
      <c r="BA226" s="42"/>
      <c r="BB226" s="42" t="s">
        <v>63</v>
      </c>
      <c r="BC226" s="42" t="s">
        <v>63</v>
      </c>
      <c r="BD226" s="42" t="s">
        <v>63</v>
      </c>
      <c r="BE226" s="42" t="s">
        <v>63</v>
      </c>
      <c r="BF226" s="42" t="s">
        <v>64</v>
      </c>
      <c r="BG226" s="42" t="s">
        <v>63</v>
      </c>
      <c r="BH226" s="42" t="s">
        <v>63</v>
      </c>
      <c r="BI226" s="42" t="s">
        <v>63</v>
      </c>
      <c r="BJ226" s="42" t="s">
        <v>63</v>
      </c>
      <c r="BK226" s="42" t="s">
        <v>63</v>
      </c>
      <c r="BL226" s="42" t="s">
        <v>63</v>
      </c>
    </row>
    <row r="227" spans="1:64">
      <c r="A227" s="33" t="s">
        <v>1176</v>
      </c>
      <c r="B227" s="34" t="s">
        <v>532</v>
      </c>
      <c r="C227" s="34" t="s">
        <v>532</v>
      </c>
      <c r="D227" s="33" t="s">
        <v>533</v>
      </c>
      <c r="E227" s="34">
        <f>IF(_xlfn.IFNA(VLOOKUP(B227,Data!B:G,3,FALSE),"")=0, "", _xlfn.IFNA(VLOOKUP(B227,Data!B:G,3,FALSE),""))</f>
        <v>3</v>
      </c>
      <c r="F227" s="66" t="s">
        <v>106</v>
      </c>
      <c r="H227" s="66" t="str">
        <f>IF(_xlfn.IFNA(VLOOKUP(C227,Data!A:G,5,FALSE),"")=0, "Check course registration information", _xlfn.IFNA(VLOOKUP(C227,Data!A:G,5,FALSE),""))</f>
        <v>MSE 33000</v>
      </c>
      <c r="J227" s="33" t="str">
        <f>IF(_xlfn.IFNA(VLOOKUP(C227,Data!A:G,6,FALSE),"")=0, "Check course registration information", _xlfn.IFNA(VLOOKUP(C227,Data!A:G,6,FALSE),""))</f>
        <v>Processing and microstructural development of thin films and layered structures. Includes vapor, liquid, and reactive processing, as well as layer modification by annealing and beam techniques. Offered in alternate years</v>
      </c>
      <c r="K227" s="33" t="str">
        <f>IF(_xlfn.IFNA(VLOOKUP(C227,Data!A:H,7,FALSE),"")=0, "", _xlfn.IFNA(HYPERLINK(VLOOKUP(C227,Data!A:H,7,FALSE),"Catalog Link"),""))</f>
        <v>Catalog Link</v>
      </c>
      <c r="L227" s="33" t="str">
        <f>IF(_xlfn.IFNA(VLOOKUP(C227,Data!A:I,8,FALSE),"")=0, "", _xlfn.IFNA(HYPERLINK(VLOOKUP(C227,Data!A:I,8,FALSE),"Additional Information"),""))</f>
        <v/>
      </c>
      <c r="M227" s="34">
        <f t="shared" si="4"/>
        <v>2</v>
      </c>
      <c r="N227" s="42" t="s">
        <v>63</v>
      </c>
      <c r="O227" s="42" t="s">
        <v>63</v>
      </c>
      <c r="P227" s="42" t="s">
        <v>63</v>
      </c>
      <c r="Q227" s="42" t="s">
        <v>63</v>
      </c>
      <c r="R227" s="42" t="s">
        <v>63</v>
      </c>
      <c r="S227" s="42" t="s">
        <v>63</v>
      </c>
      <c r="T227" s="42" t="s">
        <v>63</v>
      </c>
      <c r="U227" s="42" t="s">
        <v>63</v>
      </c>
      <c r="V227" s="42" t="s">
        <v>63</v>
      </c>
      <c r="W227" s="42" t="s">
        <v>63</v>
      </c>
      <c r="X227" s="42" t="s">
        <v>63</v>
      </c>
      <c r="Y227" s="42" t="s">
        <v>63</v>
      </c>
      <c r="Z227" s="42" t="s">
        <v>63</v>
      </c>
      <c r="AA227" s="42" t="s">
        <v>63</v>
      </c>
      <c r="AB227" s="42" t="s">
        <v>63</v>
      </c>
      <c r="AC227" s="42"/>
      <c r="AD227" s="42" t="s">
        <v>63</v>
      </c>
      <c r="AE227" s="42" t="s">
        <v>63</v>
      </c>
      <c r="AF227" s="42" t="s">
        <v>63</v>
      </c>
      <c r="AG227" s="42" t="s">
        <v>64</v>
      </c>
      <c r="AH227" s="42" t="s">
        <v>63</v>
      </c>
      <c r="AI227" s="42"/>
      <c r="AJ227" s="42" t="s">
        <v>63</v>
      </c>
      <c r="AK227" s="42"/>
      <c r="AL227" s="42" t="s">
        <v>63</v>
      </c>
      <c r="AM227" s="42"/>
      <c r="AN227" s="42" t="s">
        <v>63</v>
      </c>
      <c r="AO227" s="42" t="s">
        <v>63</v>
      </c>
      <c r="AP227" s="42" t="s">
        <v>63</v>
      </c>
      <c r="AQ227" s="42" t="s">
        <v>63</v>
      </c>
      <c r="AR227" s="42"/>
      <c r="AS227" s="42" t="s">
        <v>63</v>
      </c>
      <c r="AT227" s="42" t="s">
        <v>63</v>
      </c>
      <c r="AU227" s="42"/>
      <c r="AV227" s="42"/>
      <c r="AW227" s="42" t="s">
        <v>63</v>
      </c>
      <c r="AX227" s="42" t="s">
        <v>63</v>
      </c>
      <c r="AY227" s="42" t="s">
        <v>63</v>
      </c>
      <c r="AZ227" s="42" t="s">
        <v>63</v>
      </c>
      <c r="BA227" s="42"/>
      <c r="BB227" s="42" t="s">
        <v>63</v>
      </c>
      <c r="BC227" s="42" t="s">
        <v>63</v>
      </c>
      <c r="BD227" s="42" t="s">
        <v>63</v>
      </c>
      <c r="BE227" s="42" t="s">
        <v>63</v>
      </c>
      <c r="BF227" s="42" t="s">
        <v>64</v>
      </c>
      <c r="BG227" s="42" t="s">
        <v>63</v>
      </c>
      <c r="BH227" s="42" t="s">
        <v>63</v>
      </c>
      <c r="BI227" s="42" t="s">
        <v>63</v>
      </c>
      <c r="BJ227" s="42" t="s">
        <v>63</v>
      </c>
      <c r="BK227" s="42" t="s">
        <v>63</v>
      </c>
      <c r="BL227" s="42" t="s">
        <v>63</v>
      </c>
    </row>
    <row r="228" spans="1:64">
      <c r="A228" s="33" t="s">
        <v>1177</v>
      </c>
      <c r="B228" s="34" t="s">
        <v>506</v>
      </c>
      <c r="C228" s="34" t="s">
        <v>506</v>
      </c>
      <c r="D228" s="33" t="s">
        <v>507</v>
      </c>
      <c r="E228" s="34">
        <f>IF(_xlfn.IFNA(VLOOKUP(B228,Data!B:G,3,FALSE),"")=0, "", _xlfn.IFNA(VLOOKUP(B228,Data!B:G,3,FALSE),""))</f>
        <v>3</v>
      </c>
      <c r="F228" s="33" t="s">
        <v>1175</v>
      </c>
      <c r="G228" s="33"/>
      <c r="H228" s="33" t="str">
        <f>IF(_xlfn.IFNA(VLOOKUP(C228,Data!A:G,5,FALSE),"")=0, "Check course registration information", _xlfn.IFNA(VLOOKUP(C228,Data!A:G,5,FALSE),""))</f>
        <v>Check course registration information</v>
      </c>
      <c r="J228" s="33" t="str">
        <f>IF(_xlfn.IFNA(VLOOKUP(C228,Data!A:G,6,FALSE),"")=0, "Check course registration information", _xlfn.IFNA(VLOOKUP(C228,Data!A:G,6,FALSE),""))</f>
        <v>Focuses on the mechanisms for deformation and fracture of metal, intermetallic, and ceramic materials, with particular emphasis on high temperature properties. The industrial success of superalloys, dispersion-strengthened alloys, stainless steels, composites, and thermal barrier coatings will serve as the basis for exploring the relationship between composition, microstructure, and component application in high temperature performance. Topics included are alloying effects on dislocation climb and glide, grain boundary and lattice diffusion, and dynamic recrystallization. The interactions between environment and thermal and mechanical cycling also will be considered. Design tools for prediction and evaluation of component life will be investigated in detail, including an exploration of deformation mechanism maps. Offered in alternate years</v>
      </c>
      <c r="K228" s="33" t="str">
        <f>IF(_xlfn.IFNA(VLOOKUP(C228,Data!A:H,7,FALSE),"")=0, "", _xlfn.IFNA(HYPERLINK(VLOOKUP(C228,Data!A:H,7,FALSE),"Catalog Link"),""))</f>
        <v>Catalog Link</v>
      </c>
      <c r="L228" s="33" t="str">
        <f>IF(_xlfn.IFNA(VLOOKUP(C228,Data!A:I,8,FALSE),"")=0, "", _xlfn.IFNA(HYPERLINK(VLOOKUP(C228,Data!A:I,8,FALSE),"Additional Information"),""))</f>
        <v/>
      </c>
      <c r="M228" s="34">
        <f t="shared" si="4"/>
        <v>2</v>
      </c>
      <c r="N228" s="42" t="s">
        <v>63</v>
      </c>
      <c r="O228" s="42" t="s">
        <v>63</v>
      </c>
      <c r="P228" s="42" t="s">
        <v>63</v>
      </c>
      <c r="Q228" s="42" t="s">
        <v>63</v>
      </c>
      <c r="R228" s="42" t="s">
        <v>63</v>
      </c>
      <c r="S228" s="42" t="s">
        <v>63</v>
      </c>
      <c r="T228" s="42" t="s">
        <v>63</v>
      </c>
      <c r="U228" s="42" t="s">
        <v>63</v>
      </c>
      <c r="V228" s="42" t="s">
        <v>63</v>
      </c>
      <c r="W228" s="42" t="s">
        <v>63</v>
      </c>
      <c r="X228" s="42" t="s">
        <v>63</v>
      </c>
      <c r="Y228" s="42" t="s">
        <v>63</v>
      </c>
      <c r="Z228" s="42" t="s">
        <v>63</v>
      </c>
      <c r="AA228" s="43" t="s">
        <v>63</v>
      </c>
      <c r="AB228" s="42" t="s">
        <v>63</v>
      </c>
      <c r="AC228" s="42"/>
      <c r="AD228" s="42" t="s">
        <v>63</v>
      </c>
      <c r="AE228" s="42" t="s">
        <v>63</v>
      </c>
      <c r="AF228" s="42" t="s">
        <v>63</v>
      </c>
      <c r="AG228" s="42" t="s">
        <v>63</v>
      </c>
      <c r="AH228" s="42" t="s">
        <v>63</v>
      </c>
      <c r="AI228" s="42"/>
      <c r="AJ228" s="42" t="s">
        <v>63</v>
      </c>
      <c r="AK228" s="42"/>
      <c r="AL228" s="42" t="s">
        <v>63</v>
      </c>
      <c r="AM228" s="42"/>
      <c r="AN228" s="42" t="s">
        <v>63</v>
      </c>
      <c r="AO228" s="42" t="s">
        <v>63</v>
      </c>
      <c r="AP228" s="42" t="s">
        <v>63</v>
      </c>
      <c r="AQ228" s="42" t="s">
        <v>63</v>
      </c>
      <c r="AR228" s="42"/>
      <c r="AS228" s="42" t="s">
        <v>63</v>
      </c>
      <c r="AT228" s="42" t="s">
        <v>63</v>
      </c>
      <c r="AU228" s="42"/>
      <c r="AV228" s="42"/>
      <c r="AW228" s="42" t="s">
        <v>63</v>
      </c>
      <c r="AX228" s="42" t="s">
        <v>63</v>
      </c>
      <c r="AY228" s="42" t="s">
        <v>64</v>
      </c>
      <c r="AZ228" s="42" t="s">
        <v>63</v>
      </c>
      <c r="BA228" s="42"/>
      <c r="BB228" s="42" t="s">
        <v>63</v>
      </c>
      <c r="BC228" s="42" t="s">
        <v>63</v>
      </c>
      <c r="BD228" s="42" t="s">
        <v>63</v>
      </c>
      <c r="BE228" s="42" t="s">
        <v>63</v>
      </c>
      <c r="BF228" s="42" t="s">
        <v>64</v>
      </c>
      <c r="BG228" s="42" t="s">
        <v>63</v>
      </c>
      <c r="BH228" s="42" t="s">
        <v>63</v>
      </c>
      <c r="BI228" s="42" t="s">
        <v>63</v>
      </c>
      <c r="BJ228" s="42" t="s">
        <v>63</v>
      </c>
      <c r="BK228" s="42" t="s">
        <v>63</v>
      </c>
      <c r="BL228" s="42" t="s">
        <v>63</v>
      </c>
    </row>
    <row r="229" spans="1:64">
      <c r="A229" s="33" t="s">
        <v>1176</v>
      </c>
      <c r="B229" s="34" t="s">
        <v>1277</v>
      </c>
      <c r="C229" s="34" t="s">
        <v>1277</v>
      </c>
      <c r="D229" s="33" t="s">
        <v>535</v>
      </c>
      <c r="E229" s="34">
        <f>IF(_xlfn.IFNA(VLOOKUP(B229,Data!B:G,3,FALSE),"")=0, "", _xlfn.IFNA(VLOOKUP(B229,Data!B:G,3,FALSE),""))</f>
        <v>3</v>
      </c>
      <c r="F229" s="66" t="s">
        <v>106</v>
      </c>
      <c r="H229" s="66" t="str">
        <f>IF(_xlfn.IFNA(VLOOKUP(C229,Data!A:G,5,FALSE),"")=0, "Check course registration information", _xlfn.IFNA(VLOOKUP(C229,Data!A:G,5,FALSE),""))</f>
        <v>(Student Attribute: GR; May not be taken concurrently.  ) or (  Course or Test: MSE 33000. Minimum Grade of D-. May not be taken concurrently  and  Course or Test: MSE 37000. Minimum Grade of D-. May not be taken concurrently. )</v>
      </c>
      <c r="J229" s="33" t="str">
        <f>IF(_xlfn.IFNA(VLOOKUP(C229,Data!A:G,6,FALSE),"")=0, "Check course registration information", _xlfn.IFNA(VLOOKUP(C229,Data!A:G,6,FALSE),""))</f>
        <v>This course provides an introduction of the basic physical and structural properties that determine the functionality of magnetic materials and devices. Starting from basic concepts on the physics of magnetism, materials synthesis and device fabrication, the functional requirements of magnetic materials for diverse applications will be discussed. Magnetic material properties depend on the electronic structure of the constituent elements and their electronic interactions. These interactions are controlled by their atomic arrangement, microstructure, defects, and strain fields that distort the local atomic order. Furthermore, the role of reduced dimensionality on the physical and functional properties of nanoscale materials will be discussed.</v>
      </c>
      <c r="K229" s="33" t="str">
        <f>IF(_xlfn.IFNA(VLOOKUP(C229,Data!A:H,7,FALSE),"")=0, "", _xlfn.IFNA(HYPERLINK(VLOOKUP(C229,Data!A:H,7,FALSE),"Catalog Link"),""))</f>
        <v>Catalog Link</v>
      </c>
      <c r="L229" s="33" t="str">
        <f>IF(_xlfn.IFNA(VLOOKUP(C229,Data!A:I,8,FALSE),"")=0, "", _xlfn.IFNA(HYPERLINK(VLOOKUP(C229,Data!A:I,8,FALSE),"Additional Information"),""))</f>
        <v/>
      </c>
      <c r="M229" s="34">
        <f t="shared" si="4"/>
        <v>2</v>
      </c>
      <c r="N229" s="42" t="s">
        <v>63</v>
      </c>
      <c r="O229" s="42" t="s">
        <v>63</v>
      </c>
      <c r="P229" s="42" t="s">
        <v>63</v>
      </c>
      <c r="Q229" s="42" t="s">
        <v>63</v>
      </c>
      <c r="R229" s="42" t="s">
        <v>63</v>
      </c>
      <c r="S229" s="42" t="s">
        <v>63</v>
      </c>
      <c r="T229" s="42" t="s">
        <v>63</v>
      </c>
      <c r="U229" s="42" t="s">
        <v>63</v>
      </c>
      <c r="V229" s="42" t="s">
        <v>63</v>
      </c>
      <c r="W229" s="42" t="s">
        <v>63</v>
      </c>
      <c r="X229" s="42" t="s">
        <v>63</v>
      </c>
      <c r="Y229" s="42" t="s">
        <v>63</v>
      </c>
      <c r="Z229" s="42" t="s">
        <v>63</v>
      </c>
      <c r="AA229" s="42" t="s">
        <v>63</v>
      </c>
      <c r="AB229" s="42" t="s">
        <v>63</v>
      </c>
      <c r="AC229" s="42"/>
      <c r="AD229" s="42" t="s">
        <v>63</v>
      </c>
      <c r="AE229" s="42" t="s">
        <v>63</v>
      </c>
      <c r="AF229" s="42" t="s">
        <v>63</v>
      </c>
      <c r="AG229" s="42" t="s">
        <v>63</v>
      </c>
      <c r="AH229" s="42" t="s">
        <v>63</v>
      </c>
      <c r="AI229" s="42" t="s">
        <v>64</v>
      </c>
      <c r="AJ229" s="42" t="s">
        <v>63</v>
      </c>
      <c r="AK229" s="42"/>
      <c r="AL229" s="42" t="s">
        <v>63</v>
      </c>
      <c r="AM229" s="42"/>
      <c r="AN229" s="42" t="s">
        <v>63</v>
      </c>
      <c r="AO229" s="42" t="s">
        <v>63</v>
      </c>
      <c r="AP229" s="42" t="s">
        <v>63</v>
      </c>
      <c r="AQ229" s="42" t="s">
        <v>63</v>
      </c>
      <c r="AR229" s="42"/>
      <c r="AS229" s="42" t="s">
        <v>63</v>
      </c>
      <c r="AT229" s="42" t="s">
        <v>63</v>
      </c>
      <c r="AU229" s="42"/>
      <c r="AV229" s="42"/>
      <c r="AW229" s="42" t="s">
        <v>63</v>
      </c>
      <c r="AX229" s="42" t="s">
        <v>63</v>
      </c>
      <c r="AY229" s="42" t="s">
        <v>63</v>
      </c>
      <c r="AZ229" s="42" t="s">
        <v>63</v>
      </c>
      <c r="BA229" s="42"/>
      <c r="BB229" s="42" t="s">
        <v>63</v>
      </c>
      <c r="BC229" s="42" t="s">
        <v>63</v>
      </c>
      <c r="BD229" s="42" t="s">
        <v>63</v>
      </c>
      <c r="BE229" s="42" t="s">
        <v>63</v>
      </c>
      <c r="BF229" s="42" t="s">
        <v>64</v>
      </c>
      <c r="BG229" s="42" t="s">
        <v>63</v>
      </c>
      <c r="BH229" s="42" t="s">
        <v>63</v>
      </c>
      <c r="BI229" s="42" t="s">
        <v>63</v>
      </c>
      <c r="BJ229" s="42" t="s">
        <v>63</v>
      </c>
      <c r="BK229" s="42" t="s">
        <v>63</v>
      </c>
      <c r="BL229" s="42" t="s">
        <v>63</v>
      </c>
    </row>
    <row r="230" spans="1:64">
      <c r="A230" s="33" t="s">
        <v>1177</v>
      </c>
      <c r="B230" s="34" t="s">
        <v>534</v>
      </c>
      <c r="C230" s="34" t="s">
        <v>534</v>
      </c>
      <c r="D230" s="33" t="s">
        <v>535</v>
      </c>
      <c r="E230" s="34">
        <v>3</v>
      </c>
      <c r="F230" s="66" t="s">
        <v>106</v>
      </c>
      <c r="H230" s="66" t="str">
        <f>IF(_xlfn.IFNA(VLOOKUP(C230,Data!A:G,5,FALSE),"")=0, "Check course registration information", _xlfn.IFNA(VLOOKUP(C230,Data!A:G,5,FALSE),""))</f>
        <v>Check course registration information</v>
      </c>
      <c r="I230" s="33" t="s">
        <v>1278</v>
      </c>
      <c r="J230" s="33" t="str">
        <f>IF(_xlfn.IFNA(VLOOKUP(C230,Data!A:G,6,FALSE),"")=0, "Check course registration information", _xlfn.IFNA(VLOOKUP(C230,Data!A:G,6,FALSE),""))</f>
        <v>Now offered as MSE 58500</v>
      </c>
      <c r="K230" s="33" t="str">
        <f>IF(_xlfn.IFNA(VLOOKUP(C230,Data!A:H,7,FALSE),"")=0, "", _xlfn.IFNA(HYPERLINK(VLOOKUP(C230,Data!A:H,7,FALSE),"Catalog Link"),""))</f>
        <v>Catalog Link</v>
      </c>
      <c r="L230" s="33" t="str">
        <f>IF(_xlfn.IFNA(VLOOKUP(C230,Data!A:I,8,FALSE),"")=0, "", _xlfn.IFNA(HYPERLINK(VLOOKUP(C230,Data!A:I,8,FALSE),"Additional Information"),""))</f>
        <v/>
      </c>
      <c r="M230" s="34">
        <f t="shared" si="4"/>
        <v>2</v>
      </c>
      <c r="N230" s="42" t="s">
        <v>63</v>
      </c>
      <c r="O230" s="42" t="s">
        <v>63</v>
      </c>
      <c r="P230" s="42" t="s">
        <v>63</v>
      </c>
      <c r="Q230" s="42" t="s">
        <v>63</v>
      </c>
      <c r="R230" s="42" t="s">
        <v>63</v>
      </c>
      <c r="S230" s="42" t="s">
        <v>63</v>
      </c>
      <c r="T230" s="42" t="s">
        <v>63</v>
      </c>
      <c r="U230" s="42" t="s">
        <v>63</v>
      </c>
      <c r="V230" s="42" t="s">
        <v>63</v>
      </c>
      <c r="W230" s="42" t="s">
        <v>63</v>
      </c>
      <c r="X230" s="42" t="s">
        <v>63</v>
      </c>
      <c r="Y230" s="42" t="s">
        <v>63</v>
      </c>
      <c r="Z230" s="42" t="s">
        <v>63</v>
      </c>
      <c r="AA230" s="42" t="s">
        <v>63</v>
      </c>
      <c r="AB230" s="42" t="s">
        <v>63</v>
      </c>
      <c r="AC230" s="42"/>
      <c r="AD230" s="42" t="s">
        <v>63</v>
      </c>
      <c r="AE230" s="42" t="s">
        <v>63</v>
      </c>
      <c r="AF230" s="42" t="s">
        <v>63</v>
      </c>
      <c r="AG230" s="42" t="s">
        <v>63</v>
      </c>
      <c r="AH230" s="42" t="s">
        <v>63</v>
      </c>
      <c r="AI230" s="42" t="s">
        <v>64</v>
      </c>
      <c r="AJ230" s="42" t="s">
        <v>63</v>
      </c>
      <c r="AK230" s="42"/>
      <c r="AL230" s="42" t="s">
        <v>63</v>
      </c>
      <c r="AM230" s="42"/>
      <c r="AN230" s="42" t="s">
        <v>63</v>
      </c>
      <c r="AO230" s="42" t="s">
        <v>63</v>
      </c>
      <c r="AP230" s="42" t="s">
        <v>63</v>
      </c>
      <c r="AQ230" s="42" t="s">
        <v>63</v>
      </c>
      <c r="AR230" s="42"/>
      <c r="AS230" s="42" t="s">
        <v>63</v>
      </c>
      <c r="AT230" s="42" t="s">
        <v>63</v>
      </c>
      <c r="AU230" s="42"/>
      <c r="AV230" s="42"/>
      <c r="AW230" s="42" t="s">
        <v>63</v>
      </c>
      <c r="AX230" s="42" t="s">
        <v>63</v>
      </c>
      <c r="AY230" s="42" t="s">
        <v>63</v>
      </c>
      <c r="AZ230" s="42" t="s">
        <v>63</v>
      </c>
      <c r="BA230" s="42"/>
      <c r="BB230" s="42" t="s">
        <v>63</v>
      </c>
      <c r="BC230" s="42" t="s">
        <v>63</v>
      </c>
      <c r="BD230" s="42" t="s">
        <v>63</v>
      </c>
      <c r="BE230" s="42" t="s">
        <v>63</v>
      </c>
      <c r="BF230" s="42" t="s">
        <v>64</v>
      </c>
      <c r="BG230" s="42" t="s">
        <v>63</v>
      </c>
      <c r="BH230" s="42" t="s">
        <v>63</v>
      </c>
      <c r="BI230" s="42" t="s">
        <v>63</v>
      </c>
      <c r="BJ230" s="42" t="s">
        <v>63</v>
      </c>
      <c r="BK230" s="42" t="s">
        <v>63</v>
      </c>
      <c r="BL230" s="42" t="s">
        <v>63</v>
      </c>
    </row>
    <row r="231" spans="1:64">
      <c r="A231" s="55" t="s">
        <v>1176</v>
      </c>
      <c r="B231" s="34" t="s">
        <v>534</v>
      </c>
      <c r="C231" s="34" t="s">
        <v>1208</v>
      </c>
      <c r="D231" s="33" t="s">
        <v>536</v>
      </c>
      <c r="E231" s="34">
        <f>IF(_xlfn.IFNA(VLOOKUP(B231,Data!B:G,3,FALSE),"")=0, "", _xlfn.IFNA(VLOOKUP(B231,Data!B:G,3,FALSE),""))</f>
        <v>3</v>
      </c>
      <c r="F231" s="66" t="s">
        <v>106</v>
      </c>
      <c r="H231" s="66" t="str">
        <f>IF(_xlfn.IFNA(VLOOKUP(C231,Data!A:G,5,FALSE),"")=0, "Check course registration information", _xlfn.IFNA(VLOOKUP(C231,Data!A:G,5,FALSE),""))</f>
        <v>Check course registration information</v>
      </c>
      <c r="J231" s="33" t="str">
        <f>IF(_xlfn.IFNA(VLOOKUP(C231,Data!A:G,6,FALSE),"")=0, "Check course registration information", _xlfn.IFNA(VLOOKUP(C231,Data!A:G,6,FALSE),""))</f>
        <v xml:space="preserve">The primary goal of this course is to introduce students to advanced materials simulation techniques and their use to characterize a wide range of phenomena from electronic and atomic structure to macroscopic behavior.
</v>
      </c>
      <c r="K231" s="33" t="str">
        <f>IF(_xlfn.IFNA(VLOOKUP(C231,Data!A:H,7,FALSE),"")=0, "", _xlfn.IFNA(HYPERLINK(VLOOKUP(C231,Data!A:H,7,FALSE),"Catalog Link"),""))</f>
        <v>Catalog Link</v>
      </c>
      <c r="L231" s="33" t="str">
        <f>IF(_xlfn.IFNA(VLOOKUP(C231,Data!A:I,8,FALSE),"")=0, "", _xlfn.IFNA(HYPERLINK(VLOOKUP(C231,Data!A:I,8,FALSE),"Additional Information"),""))</f>
        <v>Additional Information</v>
      </c>
      <c r="M231" s="34">
        <f t="shared" si="4"/>
        <v>2</v>
      </c>
      <c r="N231" s="42" t="s">
        <v>63</v>
      </c>
      <c r="O231" s="42" t="s">
        <v>63</v>
      </c>
      <c r="P231" s="42" t="s">
        <v>63</v>
      </c>
      <c r="Q231" s="42" t="s">
        <v>63</v>
      </c>
      <c r="R231" s="42" t="s">
        <v>63</v>
      </c>
      <c r="S231" s="42" t="s">
        <v>63</v>
      </c>
      <c r="T231" s="42" t="s">
        <v>63</v>
      </c>
      <c r="U231" s="42" t="s">
        <v>63</v>
      </c>
      <c r="V231" s="42" t="s">
        <v>63</v>
      </c>
      <c r="W231" s="42" t="s">
        <v>63</v>
      </c>
      <c r="X231" s="42" t="s">
        <v>64</v>
      </c>
      <c r="Y231" s="42" t="s">
        <v>63</v>
      </c>
      <c r="Z231" s="42" t="s">
        <v>63</v>
      </c>
      <c r="AA231" s="42" t="s">
        <v>63</v>
      </c>
      <c r="AB231" s="42" t="s">
        <v>63</v>
      </c>
      <c r="AC231" s="42"/>
      <c r="AD231" s="42" t="s">
        <v>63</v>
      </c>
      <c r="AE231" s="42" t="s">
        <v>63</v>
      </c>
      <c r="AF231" s="42" t="s">
        <v>63</v>
      </c>
      <c r="AG231" s="42" t="s">
        <v>63</v>
      </c>
      <c r="AH231" s="42" t="s">
        <v>63</v>
      </c>
      <c r="AI231" s="42"/>
      <c r="AJ231" s="42" t="s">
        <v>63</v>
      </c>
      <c r="AK231" s="42"/>
      <c r="AL231" s="42" t="s">
        <v>63</v>
      </c>
      <c r="AM231" s="42"/>
      <c r="AN231" s="42" t="s">
        <v>63</v>
      </c>
      <c r="AO231" s="42" t="s">
        <v>63</v>
      </c>
      <c r="AP231" s="42" t="s">
        <v>63</v>
      </c>
      <c r="AQ231" s="42" t="s">
        <v>63</v>
      </c>
      <c r="AR231" s="42"/>
      <c r="AS231" s="42" t="s">
        <v>63</v>
      </c>
      <c r="AT231" s="42" t="s">
        <v>63</v>
      </c>
      <c r="AU231" s="42"/>
      <c r="AV231" s="42"/>
      <c r="AW231" s="42" t="s">
        <v>63</v>
      </c>
      <c r="AX231" s="42" t="s">
        <v>63</v>
      </c>
      <c r="AY231" s="42" t="s">
        <v>63</v>
      </c>
      <c r="AZ231" s="42" t="s">
        <v>63</v>
      </c>
      <c r="BA231" s="42"/>
      <c r="BB231" s="42" t="s">
        <v>63</v>
      </c>
      <c r="BC231" s="42" t="s">
        <v>63</v>
      </c>
      <c r="BD231" s="42" t="s">
        <v>63</v>
      </c>
      <c r="BE231" s="42" t="s">
        <v>63</v>
      </c>
      <c r="BF231" s="42" t="s">
        <v>64</v>
      </c>
      <c r="BG231" s="42" t="s">
        <v>63</v>
      </c>
      <c r="BH231" s="42" t="s">
        <v>63</v>
      </c>
      <c r="BI231" s="42" t="s">
        <v>63</v>
      </c>
      <c r="BJ231" s="42" t="s">
        <v>63</v>
      </c>
      <c r="BK231" s="42" t="s">
        <v>63</v>
      </c>
      <c r="BL231" s="42" t="s">
        <v>63</v>
      </c>
    </row>
    <row r="232" spans="1:64">
      <c r="A232" s="33" t="s">
        <v>1177</v>
      </c>
      <c r="B232" s="34" t="s">
        <v>534</v>
      </c>
      <c r="C232" s="34" t="s">
        <v>1209</v>
      </c>
      <c r="D232" s="33" t="s">
        <v>537</v>
      </c>
      <c r="E232" s="34">
        <f>IF(_xlfn.IFNA(VLOOKUP(B232,Data!B:G,3,FALSE),"")=0, "", _xlfn.IFNA(VLOOKUP(B232,Data!B:G,3,FALSE),""))</f>
        <v>3</v>
      </c>
      <c r="F232" s="66" t="s">
        <v>106</v>
      </c>
      <c r="H232" s="66" t="str">
        <f>IF(_xlfn.IFNA(VLOOKUP(C232,Data!A:G,5,FALSE),"")=0, "Check course registration information", _xlfn.IFNA(VLOOKUP(C232,Data!A:G,5,FALSE),""))</f>
        <v>Check course registration information</v>
      </c>
      <c r="J232" s="33" t="str">
        <f>IF(_xlfn.IFNA(VLOOKUP(C232,Data!A:G,6,FALSE),"")=0, "Check course registration information", _xlfn.IFNA(VLOOKUP(C232,Data!A:G,6,FALSE),""))</f>
        <v>Check course registration information</v>
      </c>
      <c r="K232" s="33" t="str">
        <f>IF(_xlfn.IFNA(VLOOKUP(C232,Data!A:H,7,FALSE),"")=0, "", _xlfn.IFNA(HYPERLINK(VLOOKUP(C232,Data!A:H,7,FALSE),"Catalog Link"),""))</f>
        <v>Catalog Link</v>
      </c>
      <c r="L232" s="33" t="str">
        <f>IF(_xlfn.IFNA(VLOOKUP(C232,Data!A:I,8,FALSE),"")=0, "", _xlfn.IFNA(HYPERLINK(VLOOKUP(C232,Data!A:I,8,FALSE),"Additional Information"),""))</f>
        <v/>
      </c>
      <c r="M232" s="34">
        <f t="shared" si="4"/>
        <v>3</v>
      </c>
      <c r="N232" s="42" t="s">
        <v>63</v>
      </c>
      <c r="O232" s="42" t="s">
        <v>63</v>
      </c>
      <c r="P232" s="42" t="s">
        <v>63</v>
      </c>
      <c r="Q232" s="42" t="s">
        <v>63</v>
      </c>
      <c r="R232" s="42" t="s">
        <v>63</v>
      </c>
      <c r="S232" s="42" t="s">
        <v>63</v>
      </c>
      <c r="T232" s="42" t="s">
        <v>63</v>
      </c>
      <c r="U232" s="42" t="s">
        <v>63</v>
      </c>
      <c r="V232" s="42" t="s">
        <v>63</v>
      </c>
      <c r="W232" s="42" t="s">
        <v>63</v>
      </c>
      <c r="X232" s="42" t="s">
        <v>63</v>
      </c>
      <c r="Y232" s="42" t="s">
        <v>63</v>
      </c>
      <c r="Z232" s="42" t="s">
        <v>63</v>
      </c>
      <c r="AA232" s="42" t="s">
        <v>63</v>
      </c>
      <c r="AB232" s="42" t="s">
        <v>63</v>
      </c>
      <c r="AC232" s="42"/>
      <c r="AD232" s="42" t="s">
        <v>63</v>
      </c>
      <c r="AE232" s="42" t="s">
        <v>63</v>
      </c>
      <c r="AF232" s="42" t="s">
        <v>63</v>
      </c>
      <c r="AG232" s="42" t="s">
        <v>63</v>
      </c>
      <c r="AH232" s="42" t="s">
        <v>63</v>
      </c>
      <c r="AI232" s="42" t="s">
        <v>64</v>
      </c>
      <c r="AJ232" s="42" t="s">
        <v>63</v>
      </c>
      <c r="AK232" s="42"/>
      <c r="AL232" s="42" t="s">
        <v>63</v>
      </c>
      <c r="AM232" s="42" t="s">
        <v>64</v>
      </c>
      <c r="AN232" s="42" t="s">
        <v>63</v>
      </c>
      <c r="AO232" s="42" t="s">
        <v>63</v>
      </c>
      <c r="AP232" s="42" t="s">
        <v>63</v>
      </c>
      <c r="AQ232" s="42" t="s">
        <v>63</v>
      </c>
      <c r="AR232" s="42"/>
      <c r="AS232" s="42" t="s">
        <v>63</v>
      </c>
      <c r="AT232" s="42" t="s">
        <v>63</v>
      </c>
      <c r="AU232" s="42"/>
      <c r="AV232" s="42"/>
      <c r="AW232" s="42"/>
      <c r="AX232" s="42" t="s">
        <v>63</v>
      </c>
      <c r="AY232" s="42" t="s">
        <v>63</v>
      </c>
      <c r="AZ232" s="42" t="s">
        <v>63</v>
      </c>
      <c r="BA232" s="42"/>
      <c r="BB232" s="42" t="s">
        <v>63</v>
      </c>
      <c r="BC232" s="42" t="s">
        <v>63</v>
      </c>
      <c r="BD232" s="42" t="s">
        <v>63</v>
      </c>
      <c r="BE232" s="42" t="s">
        <v>63</v>
      </c>
      <c r="BF232" s="42" t="s">
        <v>64</v>
      </c>
      <c r="BG232" s="42" t="s">
        <v>63</v>
      </c>
      <c r="BH232" s="42" t="s">
        <v>63</v>
      </c>
      <c r="BI232" s="42" t="s">
        <v>63</v>
      </c>
      <c r="BJ232" s="42" t="s">
        <v>63</v>
      </c>
      <c r="BK232" s="42" t="s">
        <v>63</v>
      </c>
      <c r="BL232" s="42" t="s">
        <v>63</v>
      </c>
    </row>
    <row r="233" spans="1:64">
      <c r="A233" s="33" t="s">
        <v>1176</v>
      </c>
      <c r="B233" s="34" t="s">
        <v>534</v>
      </c>
      <c r="C233" s="34" t="s">
        <v>1443</v>
      </c>
      <c r="D233" s="33" t="s">
        <v>1444</v>
      </c>
      <c r="E233" s="34">
        <f>IF(_xlfn.IFNA(VLOOKUP(B233,Data!B:G,3,FALSE),"")=0, "", _xlfn.IFNA(VLOOKUP(B233,Data!B:G,3,FALSE),""))</f>
        <v>3</v>
      </c>
      <c r="F233" s="66" t="s">
        <v>106</v>
      </c>
      <c r="H233" s="66" t="str">
        <f>IF(_xlfn.IFNA(VLOOKUP(C233,Data!A:G,5,FALSE),"")=0, "Check course registration information", _xlfn.IFNA(VLOOKUP(C233,Data!A:G,5,FALSE),""))</f>
        <v>Check course registration information</v>
      </c>
      <c r="I233" s="33" t="s">
        <v>1445</v>
      </c>
      <c r="J233" s="33" t="str">
        <f>IF(_xlfn.IFNA(VLOOKUP(C233,Data!A:G,6,FALSE),"")=0, "Check course registration information", _xlfn.IFNA(VLOOKUP(C233,Data!A:G,6,FALSE),""))</f>
        <v>Principles of solid-state conversion of energy between electrical and light (photovoltaics and light-emitting diodes), thermal and electrical (thermoelectric and solid-state thermionic), thermodynamic limits, materials figures-of-merit, device design issues; challenges in materials engineering; potential advantages of nanocomposites; prospects for technology replacement; societal impact assessment.</v>
      </c>
      <c r="K233" s="33" t="str">
        <f>IF(_xlfn.IFNA(VLOOKUP(C233,Data!A:H,7,FALSE),"")=0, "", _xlfn.IFNA(HYPERLINK(VLOOKUP(C233,Data!A:H,7,FALSE),"Catalog Link"),""))</f>
        <v/>
      </c>
      <c r="L233" s="33" t="str">
        <f>IF(_xlfn.IFNA(VLOOKUP(C233,Data!A:I,8,FALSE),"")=0, "", _xlfn.IFNA(HYPERLINK(VLOOKUP(C233,Data!A:I,8,FALSE),"Additional Information"),""))</f>
        <v>Additional Information</v>
      </c>
      <c r="M233" s="34">
        <f t="shared" si="4"/>
        <v>3</v>
      </c>
      <c r="N233" s="42" t="s">
        <v>63</v>
      </c>
      <c r="O233" s="42" t="s">
        <v>63</v>
      </c>
      <c r="P233" s="42" t="s">
        <v>63</v>
      </c>
      <c r="Q233" s="42" t="s">
        <v>63</v>
      </c>
      <c r="R233" s="42" t="s">
        <v>63</v>
      </c>
      <c r="S233" s="42" t="s">
        <v>63</v>
      </c>
      <c r="T233" s="42" t="s">
        <v>63</v>
      </c>
      <c r="U233" s="42" t="s">
        <v>63</v>
      </c>
      <c r="V233" s="42" t="s">
        <v>63</v>
      </c>
      <c r="W233" s="42" t="s">
        <v>63</v>
      </c>
      <c r="X233" s="42" t="s">
        <v>63</v>
      </c>
      <c r="Y233" s="42" t="s">
        <v>63</v>
      </c>
      <c r="Z233" s="42" t="s">
        <v>63</v>
      </c>
      <c r="AA233" s="42" t="s">
        <v>63</v>
      </c>
      <c r="AB233" s="42" t="s">
        <v>63</v>
      </c>
      <c r="AC233" s="42"/>
      <c r="AD233" s="42" t="s">
        <v>63</v>
      </c>
      <c r="AE233" s="42" t="s">
        <v>63</v>
      </c>
      <c r="AF233" s="42" t="s">
        <v>63</v>
      </c>
      <c r="AG233" s="42" t="s">
        <v>63</v>
      </c>
      <c r="AH233" s="42" t="s">
        <v>63</v>
      </c>
      <c r="AI233" s="42" t="s">
        <v>64</v>
      </c>
      <c r="AJ233" s="42" t="s">
        <v>63</v>
      </c>
      <c r="AK233" s="42"/>
      <c r="AL233" s="42" t="s">
        <v>63</v>
      </c>
      <c r="AM233" s="42" t="s">
        <v>64</v>
      </c>
      <c r="AN233" s="42" t="s">
        <v>63</v>
      </c>
      <c r="AO233" s="42" t="s">
        <v>63</v>
      </c>
      <c r="AP233" s="42" t="s">
        <v>63</v>
      </c>
      <c r="AQ233" s="42" t="s">
        <v>63</v>
      </c>
      <c r="AR233" s="42"/>
      <c r="AS233" s="42" t="s">
        <v>63</v>
      </c>
      <c r="AT233" s="42" t="s">
        <v>63</v>
      </c>
      <c r="AU233" s="42"/>
      <c r="AV233" s="42"/>
      <c r="AW233" s="42"/>
      <c r="AX233" s="42" t="s">
        <v>63</v>
      </c>
      <c r="AY233" s="42" t="s">
        <v>63</v>
      </c>
      <c r="AZ233" s="42" t="s">
        <v>63</v>
      </c>
      <c r="BA233" s="42"/>
      <c r="BB233" s="42" t="s">
        <v>63</v>
      </c>
      <c r="BC233" s="42" t="s">
        <v>63</v>
      </c>
      <c r="BD233" s="42" t="s">
        <v>63</v>
      </c>
      <c r="BE233" s="42" t="s">
        <v>63</v>
      </c>
      <c r="BF233" s="42" t="s">
        <v>64</v>
      </c>
      <c r="BG233" s="42" t="s">
        <v>63</v>
      </c>
      <c r="BH233" s="42" t="s">
        <v>63</v>
      </c>
      <c r="BI233" s="42" t="s">
        <v>63</v>
      </c>
      <c r="BJ233" s="42" t="s">
        <v>63</v>
      </c>
      <c r="BK233" s="42" t="s">
        <v>63</v>
      </c>
      <c r="BL233" s="42" t="s">
        <v>63</v>
      </c>
    </row>
    <row r="234" spans="1:64">
      <c r="A234" s="33" t="s">
        <v>1177</v>
      </c>
      <c r="B234" s="34" t="s">
        <v>514</v>
      </c>
      <c r="C234" s="34" t="s">
        <v>514</v>
      </c>
      <c r="D234" s="33" t="s">
        <v>515</v>
      </c>
      <c r="E234" s="34">
        <f>IF(_xlfn.IFNA(VLOOKUP(B234,Data!B:G,3,FALSE),"")=0, "", _xlfn.IFNA(VLOOKUP(B234,Data!B:G,3,FALSE),""))</f>
        <v>3</v>
      </c>
      <c r="F234" s="33" t="s">
        <v>1175</v>
      </c>
      <c r="G234" s="33"/>
      <c r="H234" s="33" t="str">
        <f>IF(_xlfn.IFNA(VLOOKUP(C234,Data!A:G,5,FALSE),"")=0, "Check course registration information", _xlfn.IFNA(VLOOKUP(C234,Data!A:G,5,FALSE),""))</f>
        <v>Check course registration information</v>
      </c>
      <c r="J234" s="33" t="str">
        <f>IF(_xlfn.IFNA(VLOOKUP(C234,Data!A:G,6,FALSE),"")=0, "Check course registration information", _xlfn.IFNA(VLOOKUP(C234,Data!A:G,6,FALSE),""))</f>
        <v>Fundamental relationships between the internal structure, properties and processing in all classes of engineering materials. Comprehensive coverage spanning physical, chemical, thermal, mechanical, electrical, magnetic, and optical responses. The course is intended for materials researchers from all backgrounds, as well as engineers working in product design, development and manufacturing who seek a deeper understanding of the full spectrum of engineering materials</v>
      </c>
      <c r="K234" s="33" t="str">
        <f>IF(_xlfn.IFNA(VLOOKUP(C234,Data!A:H,7,FALSE),"")=0, "", _xlfn.IFNA(HYPERLINK(VLOOKUP(C234,Data!A:H,7,FALSE),"Catalog Link"),""))</f>
        <v>Catalog Link</v>
      </c>
      <c r="L234" s="33" t="str">
        <f>IF(_xlfn.IFNA(VLOOKUP(C234,Data!A:I,8,FALSE),"")=0, "", _xlfn.IFNA(HYPERLINK(VLOOKUP(C234,Data!A:I,8,FALSE),"Additional Information"),""))</f>
        <v/>
      </c>
      <c r="M234" s="34">
        <f t="shared" si="4"/>
        <v>1</v>
      </c>
      <c r="N234" s="42" t="s">
        <v>63</v>
      </c>
      <c r="O234" s="42" t="s">
        <v>63</v>
      </c>
      <c r="P234" s="42" t="s">
        <v>63</v>
      </c>
      <c r="Q234" s="42" t="s">
        <v>63</v>
      </c>
      <c r="R234" s="42" t="s">
        <v>63</v>
      </c>
      <c r="S234" s="42" t="s">
        <v>63</v>
      </c>
      <c r="T234" s="42" t="s">
        <v>63</v>
      </c>
      <c r="U234" s="42" t="s">
        <v>63</v>
      </c>
      <c r="V234" s="42" t="s">
        <v>63</v>
      </c>
      <c r="W234" s="42" t="s">
        <v>63</v>
      </c>
      <c r="X234" s="42" t="s">
        <v>63</v>
      </c>
      <c r="Y234" s="42" t="s">
        <v>63</v>
      </c>
      <c r="Z234" s="42" t="s">
        <v>63</v>
      </c>
      <c r="AA234" s="43" t="s">
        <v>63</v>
      </c>
      <c r="AB234" s="42" t="s">
        <v>63</v>
      </c>
      <c r="AC234" s="42"/>
      <c r="AD234" s="42" t="s">
        <v>63</v>
      </c>
      <c r="AE234" s="42" t="s">
        <v>63</v>
      </c>
      <c r="AF234" s="42" t="s">
        <v>63</v>
      </c>
      <c r="AG234" s="42" t="s">
        <v>63</v>
      </c>
      <c r="AH234" s="42" t="s">
        <v>63</v>
      </c>
      <c r="AI234" s="42"/>
      <c r="AJ234" s="42" t="s">
        <v>63</v>
      </c>
      <c r="AK234" s="42"/>
      <c r="AL234" s="42" t="s">
        <v>63</v>
      </c>
      <c r="AM234" s="42"/>
      <c r="AN234" s="42" t="s">
        <v>63</v>
      </c>
      <c r="AO234" s="42" t="s">
        <v>63</v>
      </c>
      <c r="AP234" s="42" t="s">
        <v>63</v>
      </c>
      <c r="AQ234" s="42" t="s">
        <v>63</v>
      </c>
      <c r="AR234" s="42"/>
      <c r="AS234" s="42" t="s">
        <v>63</v>
      </c>
      <c r="AT234" s="42" t="s">
        <v>63</v>
      </c>
      <c r="AU234" s="42"/>
      <c r="AV234" s="42"/>
      <c r="AW234" s="42" t="s">
        <v>63</v>
      </c>
      <c r="AX234" s="42" t="s">
        <v>63</v>
      </c>
      <c r="AY234" s="42" t="s">
        <v>63</v>
      </c>
      <c r="AZ234" s="42" t="s">
        <v>63</v>
      </c>
      <c r="BA234" s="42"/>
      <c r="BB234" s="42" t="s">
        <v>63</v>
      </c>
      <c r="BC234" s="42" t="s">
        <v>63</v>
      </c>
      <c r="BD234" s="42" t="s">
        <v>63</v>
      </c>
      <c r="BE234" s="42" t="s">
        <v>63</v>
      </c>
      <c r="BF234" s="42" t="s">
        <v>64</v>
      </c>
      <c r="BG234" s="42" t="s">
        <v>63</v>
      </c>
      <c r="BH234" s="42" t="s">
        <v>63</v>
      </c>
      <c r="BI234" s="42" t="s">
        <v>63</v>
      </c>
      <c r="BJ234" s="42" t="s">
        <v>63</v>
      </c>
      <c r="BK234" s="42" t="s">
        <v>63</v>
      </c>
      <c r="BL234" s="42" t="s">
        <v>63</v>
      </c>
    </row>
    <row r="235" spans="1:64">
      <c r="A235" s="33" t="s">
        <v>1176</v>
      </c>
      <c r="B235" s="34" t="s">
        <v>542</v>
      </c>
      <c r="C235" s="34" t="s">
        <v>542</v>
      </c>
      <c r="D235" s="33" t="s">
        <v>543</v>
      </c>
      <c r="E235" s="34">
        <f>IF(_xlfn.IFNA(VLOOKUP(B235,Data!B:G,3,FALSE),"")=0, "", _xlfn.IFNA(VLOOKUP(B235,Data!B:G,3,FALSE),""))</f>
        <v>3</v>
      </c>
      <c r="F235" s="66" t="s">
        <v>106</v>
      </c>
      <c r="H235" s="66" t="str">
        <f>IF(_xlfn.IFNA(VLOOKUP(C235,Data!A:G,5,FALSE),"")=0, "Check course registration information", _xlfn.IFNA(VLOOKUP(C235,Data!A:G,5,FALSE),""))</f>
        <v>NUCL 32000</v>
      </c>
      <c r="J235" s="33" t="str">
        <f>IF(_xlfn.IFNA(VLOOKUP(C235,Data!A:G,6,FALSE),"")=0, "Check course registration information", _xlfn.IFNA(VLOOKUP(C235,Data!A:G,6,FALSE),""))</f>
        <v>Fundamental of radiation interaction with materials and applications, types of radiation and radiation sources, physical mechanisms of radiation interaction with solids, radiation damage, ion mixing, applications in nuclear fission and fusion reactors, applications in materials synthesis</v>
      </c>
      <c r="K235" s="33" t="str">
        <f>IF(_xlfn.IFNA(VLOOKUP(C235,Data!A:H,7,FALSE),"")=0, "", _xlfn.IFNA(HYPERLINK(VLOOKUP(C235,Data!A:H,7,FALSE),"Catalog Link"),""))</f>
        <v>Catalog Link</v>
      </c>
      <c r="L235" s="33" t="str">
        <f>IF(_xlfn.IFNA(VLOOKUP(C235,Data!A:I,8,FALSE),"")=0, "", _xlfn.IFNA(HYPERLINK(VLOOKUP(C235,Data!A:I,8,FALSE),"Additional Information"),""))</f>
        <v/>
      </c>
      <c r="M235" s="34">
        <f t="shared" si="4"/>
        <v>2</v>
      </c>
      <c r="N235" s="42" t="s">
        <v>63</v>
      </c>
      <c r="O235" s="42" t="s">
        <v>63</v>
      </c>
      <c r="P235" s="42" t="s">
        <v>63</v>
      </c>
      <c r="Q235" s="42" t="s">
        <v>63</v>
      </c>
      <c r="R235" s="42" t="s">
        <v>63</v>
      </c>
      <c r="S235" s="42" t="s">
        <v>63</v>
      </c>
      <c r="T235" s="42" t="s">
        <v>63</v>
      </c>
      <c r="U235" s="42" t="s">
        <v>63</v>
      </c>
      <c r="V235" s="42" t="s">
        <v>63</v>
      </c>
      <c r="W235" s="42" t="s">
        <v>63</v>
      </c>
      <c r="X235" s="42" t="s">
        <v>63</v>
      </c>
      <c r="Y235" s="42" t="s">
        <v>63</v>
      </c>
      <c r="Z235" s="42" t="s">
        <v>63</v>
      </c>
      <c r="AA235" s="42" t="s">
        <v>63</v>
      </c>
      <c r="AB235" s="42" t="s">
        <v>63</v>
      </c>
      <c r="AC235" s="42"/>
      <c r="AD235" s="42" t="s">
        <v>63</v>
      </c>
      <c r="AE235" s="42" t="s">
        <v>63</v>
      </c>
      <c r="AF235" s="42" t="s">
        <v>63</v>
      </c>
      <c r="AG235" s="42" t="s">
        <v>63</v>
      </c>
      <c r="AH235" s="42" t="s">
        <v>63</v>
      </c>
      <c r="AI235" s="42"/>
      <c r="AJ235" s="42" t="s">
        <v>63</v>
      </c>
      <c r="AK235" s="42"/>
      <c r="AL235" s="42" t="s">
        <v>63</v>
      </c>
      <c r="AM235" s="42"/>
      <c r="AN235" s="42" t="s">
        <v>64</v>
      </c>
      <c r="AO235" s="42" t="s">
        <v>63</v>
      </c>
      <c r="AP235" s="42" t="s">
        <v>63</v>
      </c>
      <c r="AQ235" s="42" t="s">
        <v>63</v>
      </c>
      <c r="AR235" s="42"/>
      <c r="AS235" s="42" t="s">
        <v>63</v>
      </c>
      <c r="AT235" s="42" t="s">
        <v>63</v>
      </c>
      <c r="AU235" s="42"/>
      <c r="AV235" s="42"/>
      <c r="AW235" s="42" t="s">
        <v>63</v>
      </c>
      <c r="AX235" s="42" t="s">
        <v>64</v>
      </c>
      <c r="AY235" s="42" t="s">
        <v>63</v>
      </c>
      <c r="AZ235" s="42" t="s">
        <v>63</v>
      </c>
      <c r="BA235" s="42"/>
      <c r="BB235" s="42" t="s">
        <v>63</v>
      </c>
      <c r="BC235" s="42" t="s">
        <v>63</v>
      </c>
      <c r="BD235" s="42" t="s">
        <v>63</v>
      </c>
      <c r="BE235" s="42" t="s">
        <v>63</v>
      </c>
      <c r="BF235" s="42" t="s">
        <v>63</v>
      </c>
      <c r="BG235" s="42" t="s">
        <v>63</v>
      </c>
      <c r="BH235" s="42" t="s">
        <v>63</v>
      </c>
      <c r="BI235" s="42" t="s">
        <v>63</v>
      </c>
      <c r="BJ235" s="42" t="s">
        <v>63</v>
      </c>
      <c r="BK235" s="42" t="s">
        <v>63</v>
      </c>
      <c r="BL235" s="42" t="s">
        <v>63</v>
      </c>
    </row>
    <row r="236" spans="1:64">
      <c r="A236" s="33" t="s">
        <v>1176</v>
      </c>
      <c r="B236" s="34" t="s">
        <v>548</v>
      </c>
      <c r="C236" s="34" t="s">
        <v>548</v>
      </c>
      <c r="D236" s="33" t="s">
        <v>549</v>
      </c>
      <c r="E236" s="34">
        <f>IF(_xlfn.IFNA(VLOOKUP(B236,Data!B:G,3,FALSE),"")=0, "", _xlfn.IFNA(VLOOKUP(B236,Data!B:G,3,FALSE),""))</f>
        <v>3</v>
      </c>
      <c r="F236" s="66" t="s">
        <v>106</v>
      </c>
      <c r="H236" s="66" t="str">
        <f>IF(_xlfn.IFNA(VLOOKUP(C236,Data!A:G,5,FALSE),"")=0, "Check course registration information", _xlfn.IFNA(VLOOKUP(C236,Data!A:G,5,FALSE),""))</f>
        <v>Junior status and above</v>
      </c>
      <c r="J236" s="33" t="str">
        <f>IF(_xlfn.IFNA(VLOOKUP(C236,Data!A:G,6,FALSE),"")=0, "Check course registration information", _xlfn.IFNA(VLOOKUP(C236,Data!A:G,6,FALSE),""))</f>
        <v>Introduction to radiation effects in solids and a survey of nuclear reactor materials. Radiation interaction mechanisms and effects on properties. Reactor material characteristics, selection criteria, testing, and economic considerations</v>
      </c>
      <c r="K236" s="33" t="str">
        <f>IF(_xlfn.IFNA(VLOOKUP(C236,Data!A:H,7,FALSE),"")=0, "", _xlfn.IFNA(HYPERLINK(VLOOKUP(C236,Data!A:H,7,FALSE),"Catalog Link"),""))</f>
        <v>Catalog Link</v>
      </c>
      <c r="L236" s="33" t="str">
        <f>IF(_xlfn.IFNA(VLOOKUP(C236,Data!A:I,8,FALSE),"")=0, "", _xlfn.IFNA(HYPERLINK(VLOOKUP(C236,Data!A:I,8,FALSE),"Additional Information"),""))</f>
        <v/>
      </c>
      <c r="M236" s="34">
        <f t="shared" si="4"/>
        <v>1</v>
      </c>
      <c r="N236" s="42" t="s">
        <v>63</v>
      </c>
      <c r="O236" s="42" t="s">
        <v>63</v>
      </c>
      <c r="P236" s="42" t="s">
        <v>63</v>
      </c>
      <c r="Q236" s="42" t="s">
        <v>63</v>
      </c>
      <c r="R236" s="42" t="s">
        <v>63</v>
      </c>
      <c r="S236" s="42" t="s">
        <v>63</v>
      </c>
      <c r="T236" s="42" t="s">
        <v>63</v>
      </c>
      <c r="U236" s="42" t="s">
        <v>63</v>
      </c>
      <c r="V236" s="42" t="s">
        <v>63</v>
      </c>
      <c r="W236" s="42" t="s">
        <v>63</v>
      </c>
      <c r="X236" s="42" t="s">
        <v>63</v>
      </c>
      <c r="Y236" s="42" t="s">
        <v>63</v>
      </c>
      <c r="Z236" s="42" t="s">
        <v>63</v>
      </c>
      <c r="AA236" s="42" t="s">
        <v>63</v>
      </c>
      <c r="AB236" s="42" t="s">
        <v>63</v>
      </c>
      <c r="AC236" s="42"/>
      <c r="AD236" s="42" t="s">
        <v>63</v>
      </c>
      <c r="AE236" s="42" t="s">
        <v>63</v>
      </c>
      <c r="AF236" s="42" t="s">
        <v>63</v>
      </c>
      <c r="AG236" s="42" t="s">
        <v>63</v>
      </c>
      <c r="AH236" s="42" t="s">
        <v>63</v>
      </c>
      <c r="AI236" s="42"/>
      <c r="AJ236" s="42" t="s">
        <v>63</v>
      </c>
      <c r="AK236" s="42"/>
      <c r="AL236" s="42" t="s">
        <v>63</v>
      </c>
      <c r="AM236" s="42"/>
      <c r="AN236" s="42" t="s">
        <v>63</v>
      </c>
      <c r="AO236" s="42" t="s">
        <v>63</v>
      </c>
      <c r="AP236" s="42" t="s">
        <v>63</v>
      </c>
      <c r="AQ236" s="42" t="s">
        <v>63</v>
      </c>
      <c r="AR236" s="42"/>
      <c r="AS236" s="42" t="s">
        <v>63</v>
      </c>
      <c r="AT236" s="42" t="s">
        <v>63</v>
      </c>
      <c r="AU236" s="42"/>
      <c r="AV236" s="42"/>
      <c r="AW236" s="42" t="s">
        <v>63</v>
      </c>
      <c r="AX236" s="42" t="s">
        <v>64</v>
      </c>
      <c r="AY236" s="42" t="s">
        <v>63</v>
      </c>
      <c r="AZ236" s="42" t="s">
        <v>63</v>
      </c>
      <c r="BA236" s="42"/>
      <c r="BB236" s="42" t="s">
        <v>63</v>
      </c>
      <c r="BC236" s="42" t="s">
        <v>63</v>
      </c>
      <c r="BD236" s="42" t="s">
        <v>63</v>
      </c>
      <c r="BE236" s="42" t="s">
        <v>63</v>
      </c>
      <c r="BF236" s="42" t="s">
        <v>63</v>
      </c>
      <c r="BG236" s="42" t="s">
        <v>63</v>
      </c>
      <c r="BH236" s="42" t="s">
        <v>63</v>
      </c>
      <c r="BI236" s="42" t="s">
        <v>63</v>
      </c>
      <c r="BJ236" s="42" t="s">
        <v>63</v>
      </c>
      <c r="BK236" s="42" t="s">
        <v>63</v>
      </c>
      <c r="BL236" s="42" t="s">
        <v>63</v>
      </c>
    </row>
    <row r="237" spans="1:64">
      <c r="A237" s="33" t="s">
        <v>1176</v>
      </c>
      <c r="B237" s="34" t="s">
        <v>550</v>
      </c>
      <c r="C237" s="34" t="s">
        <v>550</v>
      </c>
      <c r="D237" s="33" t="s">
        <v>551</v>
      </c>
      <c r="E237" s="34">
        <f>IF(_xlfn.IFNA(VLOOKUP(B237,Data!B:G,3,FALSE),"")=0, "", _xlfn.IFNA(VLOOKUP(B237,Data!B:G,3,FALSE),""))</f>
        <v>3</v>
      </c>
      <c r="F237" s="66" t="s">
        <v>106</v>
      </c>
      <c r="H237" s="66" t="str">
        <f>IF(_xlfn.IFNA(VLOOKUP(C237,Data!A:G,5,FALSE),"")=0, "Check course registration information", _xlfn.IFNA(VLOOKUP(C237,Data!A:G,5,FALSE),""))</f>
        <v>Senior status and above</v>
      </c>
      <c r="J237" s="33" t="str">
        <f>IF(_xlfn.IFNA(VLOOKUP(C237,Data!A:G,6,FALSE),"")=0, "Check course registration information", _xlfn.IFNA(VLOOKUP(C237,Data!A:G,6,FALSE),""))</f>
        <v>Introduction of the principles of nuclear science and engineering for addressing industrial and scientific issues ranging from sub-nano-to-macro scales. Areas to be covered include: propulsion, high-energy density materials, supercooling, medical applications, sonoluminescence, novel detection systems for special nuclear and contraband materials, and advanced nuclear fusion power systems</v>
      </c>
      <c r="K237" s="33" t="str">
        <f>IF(_xlfn.IFNA(VLOOKUP(C237,Data!A:H,7,FALSE),"")=0, "", _xlfn.IFNA(HYPERLINK(VLOOKUP(C237,Data!A:H,7,FALSE),"Catalog Link"),""))</f>
        <v>Catalog Link</v>
      </c>
      <c r="L237" s="33" t="str">
        <f>IF(_xlfn.IFNA(VLOOKUP(C237,Data!A:I,8,FALSE),"")=0, "", _xlfn.IFNA(HYPERLINK(VLOOKUP(C237,Data!A:I,8,FALSE),"Additional Information"),""))</f>
        <v/>
      </c>
      <c r="M237" s="34">
        <f t="shared" si="4"/>
        <v>2</v>
      </c>
      <c r="N237" s="42" t="s">
        <v>63</v>
      </c>
      <c r="O237" s="42" t="s">
        <v>63</v>
      </c>
      <c r="P237" s="42" t="s">
        <v>63</v>
      </c>
      <c r="Q237" s="42" t="s">
        <v>63</v>
      </c>
      <c r="R237" s="42" t="s">
        <v>63</v>
      </c>
      <c r="S237" s="42" t="s">
        <v>63</v>
      </c>
      <c r="T237" s="42" t="s">
        <v>63</v>
      </c>
      <c r="U237" s="42" t="s">
        <v>63</v>
      </c>
      <c r="V237" s="42" t="s">
        <v>63</v>
      </c>
      <c r="W237" s="42" t="s">
        <v>63</v>
      </c>
      <c r="X237" s="42" t="s">
        <v>63</v>
      </c>
      <c r="Y237" s="42" t="s">
        <v>63</v>
      </c>
      <c r="Z237" s="42" t="s">
        <v>63</v>
      </c>
      <c r="AA237" s="42" t="s">
        <v>63</v>
      </c>
      <c r="AB237" s="42" t="s">
        <v>63</v>
      </c>
      <c r="AC237" s="42"/>
      <c r="AD237" s="42" t="s">
        <v>63</v>
      </c>
      <c r="AE237" s="42" t="s">
        <v>63</v>
      </c>
      <c r="AF237" s="42" t="s">
        <v>63</v>
      </c>
      <c r="AG237" s="42" t="s">
        <v>63</v>
      </c>
      <c r="AH237" s="42" t="s">
        <v>63</v>
      </c>
      <c r="AI237" s="42"/>
      <c r="AJ237" s="42" t="s">
        <v>63</v>
      </c>
      <c r="AK237" s="42"/>
      <c r="AL237" s="42" t="s">
        <v>63</v>
      </c>
      <c r="AM237" s="42" t="s">
        <v>64</v>
      </c>
      <c r="AN237" s="42" t="s">
        <v>63</v>
      </c>
      <c r="AO237" s="42" t="s">
        <v>63</v>
      </c>
      <c r="AP237" s="42" t="s">
        <v>63</v>
      </c>
      <c r="AQ237" s="42" t="s">
        <v>63</v>
      </c>
      <c r="AR237" s="42"/>
      <c r="AS237" s="42" t="s">
        <v>63</v>
      </c>
      <c r="AT237" s="42" t="s">
        <v>63</v>
      </c>
      <c r="AU237" s="42"/>
      <c r="AV237" s="42"/>
      <c r="AW237" s="42" t="s">
        <v>63</v>
      </c>
      <c r="AX237" s="42" t="s">
        <v>64</v>
      </c>
      <c r="AY237" s="42" t="s">
        <v>63</v>
      </c>
      <c r="AZ237" s="42" t="s">
        <v>63</v>
      </c>
      <c r="BA237" s="42"/>
      <c r="BB237" s="42" t="s">
        <v>63</v>
      </c>
      <c r="BC237" s="42" t="s">
        <v>63</v>
      </c>
      <c r="BD237" s="42" t="s">
        <v>63</v>
      </c>
      <c r="BE237" s="42" t="s">
        <v>63</v>
      </c>
      <c r="BF237" s="42" t="s">
        <v>63</v>
      </c>
      <c r="BG237" s="42" t="s">
        <v>63</v>
      </c>
      <c r="BH237" s="42" t="s">
        <v>63</v>
      </c>
      <c r="BI237" s="42" t="s">
        <v>63</v>
      </c>
      <c r="BJ237" s="42" t="s">
        <v>63</v>
      </c>
      <c r="BK237" s="42" t="s">
        <v>63</v>
      </c>
      <c r="BL237" s="42" t="s">
        <v>63</v>
      </c>
    </row>
    <row r="238" spans="1:64">
      <c r="A238" s="33" t="s">
        <v>1176</v>
      </c>
      <c r="B238" s="34" t="s">
        <v>734</v>
      </c>
      <c r="C238" s="34" t="s">
        <v>734</v>
      </c>
      <c r="D238" s="33" t="s">
        <v>1547</v>
      </c>
      <c r="E238" s="34">
        <f>IF(_xlfn.IFNA(VLOOKUP(B238,Data!B:G,3,FALSE),"")=0, "", _xlfn.IFNA(VLOOKUP(B238,Data!B:G,3,FALSE),""))</f>
        <v>3</v>
      </c>
      <c r="F238" s="66" t="s">
        <v>241</v>
      </c>
      <c r="H238" s="66" t="str">
        <f>IF(_xlfn.IFNA(VLOOKUP(C238,Data!A:G,5,FALSE),"")=0, "Check course registration information", _xlfn.IFNA(VLOOKUP(C238,Data!A:G,5,FALSE),""))</f>
        <v>PHYS 24100 or PHYS 25100 or PHYS 26100 or PHYS 27200</v>
      </c>
      <c r="J238" s="33" t="str">
        <f>IF(_xlfn.IFNA(VLOOKUP(C238,Data!A:G,6,FALSE),"")=0, "Check course registration information", _xlfn.IFNA(VLOOKUP(C238,Data!A:G,6,FALSE),""))</f>
        <v>Wave optics and properties of light, including reflection, refraction interference. Fraunhofer and Fresnel diffraction dispersion, polarization, double refraction, introduction to lasers and holography</v>
      </c>
      <c r="K238" s="33" t="str">
        <f>IF(_xlfn.IFNA(VLOOKUP(C238,Data!A:H,7,FALSE),"")=0, "", _xlfn.IFNA(HYPERLINK(VLOOKUP(C238,Data!A:H,7,FALSE),"Catalog Link"),""))</f>
        <v>Catalog Link</v>
      </c>
      <c r="L238" s="33" t="str">
        <f>IF(_xlfn.IFNA(VLOOKUP(C238,Data!A:I,8,FALSE),"")=0, "", _xlfn.IFNA(HYPERLINK(VLOOKUP(C238,Data!A:I,8,FALSE),"Additional Information"),""))</f>
        <v/>
      </c>
      <c r="M238" s="34">
        <f t="shared" si="4"/>
        <v>1</v>
      </c>
      <c r="N238" s="42" t="s">
        <v>63</v>
      </c>
      <c r="O238" s="42" t="s">
        <v>63</v>
      </c>
      <c r="P238" s="42" t="s">
        <v>63</v>
      </c>
      <c r="Q238" s="42" t="s">
        <v>63</v>
      </c>
      <c r="R238" s="42" t="s">
        <v>63</v>
      </c>
      <c r="S238" s="42" t="s">
        <v>63</v>
      </c>
      <c r="T238" s="42" t="s">
        <v>63</v>
      </c>
      <c r="U238" s="42" t="s">
        <v>63</v>
      </c>
      <c r="V238" s="42" t="s">
        <v>63</v>
      </c>
      <c r="W238" s="42" t="s">
        <v>63</v>
      </c>
      <c r="X238" s="42" t="s">
        <v>63</v>
      </c>
      <c r="Y238" s="42" t="s">
        <v>63</v>
      </c>
      <c r="Z238" s="42" t="s">
        <v>63</v>
      </c>
      <c r="AA238" s="42" t="s">
        <v>63</v>
      </c>
      <c r="AB238" s="42" t="s">
        <v>63</v>
      </c>
      <c r="AC238" s="42"/>
      <c r="AD238" s="42" t="s">
        <v>63</v>
      </c>
      <c r="AE238" s="42" t="s">
        <v>63</v>
      </c>
      <c r="AF238" s="42" t="s">
        <v>63</v>
      </c>
      <c r="AG238" s="42" t="s">
        <v>63</v>
      </c>
      <c r="AH238" s="42" t="s">
        <v>63</v>
      </c>
      <c r="AI238" s="42"/>
      <c r="AJ238" s="42" t="s">
        <v>63</v>
      </c>
      <c r="AK238" s="42"/>
      <c r="AL238" s="42" t="s">
        <v>63</v>
      </c>
      <c r="AM238" s="42"/>
      <c r="AN238" s="42" t="s">
        <v>64</v>
      </c>
      <c r="AO238" s="42" t="s">
        <v>63</v>
      </c>
      <c r="AP238" s="42" t="s">
        <v>63</v>
      </c>
      <c r="AQ238" s="42" t="s">
        <v>63</v>
      </c>
      <c r="AR238" s="42"/>
      <c r="AS238" s="42" t="s">
        <v>63</v>
      </c>
      <c r="AT238" s="42" t="s">
        <v>63</v>
      </c>
      <c r="AU238" s="42"/>
      <c r="AV238" s="42"/>
      <c r="AW238" s="42" t="s">
        <v>63</v>
      </c>
      <c r="AX238" s="42"/>
      <c r="AY238" s="42" t="s">
        <v>63</v>
      </c>
      <c r="AZ238" s="42" t="s">
        <v>63</v>
      </c>
      <c r="BA238" s="42"/>
      <c r="BB238" s="42" t="s">
        <v>63</v>
      </c>
      <c r="BC238" s="42" t="s">
        <v>63</v>
      </c>
      <c r="BD238" s="42" t="s">
        <v>63</v>
      </c>
      <c r="BE238" s="42" t="s">
        <v>63</v>
      </c>
      <c r="BF238" s="42" t="s">
        <v>63</v>
      </c>
      <c r="BG238" s="42" t="s">
        <v>63</v>
      </c>
      <c r="BH238" s="42" t="s">
        <v>63</v>
      </c>
      <c r="BI238" s="42" t="s">
        <v>63</v>
      </c>
      <c r="BJ238" s="42" t="s">
        <v>63</v>
      </c>
      <c r="BK238" s="42" t="s">
        <v>63</v>
      </c>
      <c r="BL238" s="42" t="s">
        <v>63</v>
      </c>
    </row>
    <row r="239" spans="1:64">
      <c r="A239" s="33" t="s">
        <v>1177</v>
      </c>
      <c r="B239" s="34" t="s">
        <v>736</v>
      </c>
      <c r="C239" s="34" t="s">
        <v>736</v>
      </c>
      <c r="D239" s="33" t="s">
        <v>525</v>
      </c>
      <c r="E239" s="34">
        <f>IF(_xlfn.IFNA(VLOOKUP(B239,Data!B:G,3,FALSE),"")=0, "", _xlfn.IFNA(VLOOKUP(B239,Data!B:G,3,FALSE),""))</f>
        <v>3</v>
      </c>
      <c r="F239" s="33" t="s">
        <v>1175</v>
      </c>
      <c r="G239" s="33"/>
      <c r="H239" s="33" t="str">
        <f>IF(_xlfn.IFNA(VLOOKUP(C239,Data!A:G,5,FALSE),"")=0, "Check course registration information", _xlfn.IFNA(VLOOKUP(C239,Data!A:G,5,FALSE),""))</f>
        <v>Check course registration information</v>
      </c>
      <c r="J239" s="33" t="str">
        <f>IF(_xlfn.IFNA(VLOOKUP(C239,Data!A:G,6,FALSE),"")=0, "Check course registration information", _xlfn.IFNA(VLOOKUP(C239,Data!A:G,6,FALSE),""))</f>
        <v>This course is to conduct physics research in a class-based environment. As such, we will perform authentic research, defined as work with the potential for results that are of interest to the scientific community. We will work with large data sets, such as those collected by survey telescopes, dark matter experiments, or detectors at the Large Hadron Collider</v>
      </c>
      <c r="K239" s="33" t="str">
        <f>IF(_xlfn.IFNA(VLOOKUP(C239,Data!A:H,7,FALSE),"")=0, "", _xlfn.IFNA(HYPERLINK(VLOOKUP(C239,Data!A:H,7,FALSE),"Catalog Link"),""))</f>
        <v>Catalog Link</v>
      </c>
      <c r="L239" s="33" t="str">
        <f>IF(_xlfn.IFNA(VLOOKUP(C239,Data!A:I,8,FALSE),"")=0, "", _xlfn.IFNA(HYPERLINK(VLOOKUP(C239,Data!A:I,8,FALSE),"Additional Information"),""))</f>
        <v/>
      </c>
      <c r="M239" s="34">
        <f t="shared" si="4"/>
        <v>2</v>
      </c>
      <c r="N239" s="42" t="s">
        <v>63</v>
      </c>
      <c r="O239" s="42" t="s">
        <v>63</v>
      </c>
      <c r="P239" s="42" t="s">
        <v>63</v>
      </c>
      <c r="Q239" s="42" t="s">
        <v>63</v>
      </c>
      <c r="R239" s="42" t="s">
        <v>63</v>
      </c>
      <c r="S239" s="42" t="s">
        <v>63</v>
      </c>
      <c r="T239" s="42" t="s">
        <v>63</v>
      </c>
      <c r="U239" s="42" t="s">
        <v>64</v>
      </c>
      <c r="V239" s="42" t="s">
        <v>64</v>
      </c>
      <c r="W239" s="42" t="s">
        <v>63</v>
      </c>
      <c r="X239" s="42" t="s">
        <v>63</v>
      </c>
      <c r="Y239" s="42" t="s">
        <v>63</v>
      </c>
      <c r="Z239" s="42" t="s">
        <v>63</v>
      </c>
      <c r="AA239" s="43" t="s">
        <v>63</v>
      </c>
      <c r="AB239" s="42" t="s">
        <v>63</v>
      </c>
      <c r="AC239" s="42"/>
      <c r="AD239" s="42" t="s">
        <v>63</v>
      </c>
      <c r="AE239" s="42" t="s">
        <v>63</v>
      </c>
      <c r="AF239" s="42" t="s">
        <v>63</v>
      </c>
      <c r="AG239" s="42" t="s">
        <v>63</v>
      </c>
      <c r="AH239" s="42" t="s">
        <v>63</v>
      </c>
      <c r="AI239" s="42"/>
      <c r="AJ239" s="42" t="s">
        <v>63</v>
      </c>
      <c r="AK239" s="42"/>
      <c r="AL239" s="42" t="s">
        <v>63</v>
      </c>
      <c r="AM239" s="42"/>
      <c r="AN239" s="42" t="s">
        <v>63</v>
      </c>
      <c r="AO239" s="42" t="s">
        <v>63</v>
      </c>
      <c r="AP239" s="42" t="s">
        <v>63</v>
      </c>
      <c r="AQ239" s="42" t="s">
        <v>63</v>
      </c>
      <c r="AR239" s="42"/>
      <c r="AS239" s="42" t="s">
        <v>63</v>
      </c>
      <c r="AT239" s="42" t="s">
        <v>63</v>
      </c>
      <c r="AU239" s="42"/>
      <c r="AV239" s="42"/>
      <c r="AW239" s="42" t="s">
        <v>63</v>
      </c>
      <c r="AX239" s="42" t="s">
        <v>63</v>
      </c>
      <c r="AY239" s="42" t="s">
        <v>63</v>
      </c>
      <c r="AZ239" s="42" t="s">
        <v>63</v>
      </c>
      <c r="BA239" s="42"/>
      <c r="BB239" s="42" t="s">
        <v>63</v>
      </c>
      <c r="BC239" s="42" t="s">
        <v>63</v>
      </c>
      <c r="BD239" s="42" t="s">
        <v>63</v>
      </c>
      <c r="BE239" s="42" t="s">
        <v>63</v>
      </c>
      <c r="BF239" s="42" t="s">
        <v>63</v>
      </c>
      <c r="BG239" s="42" t="s">
        <v>63</v>
      </c>
      <c r="BH239" s="42" t="s">
        <v>63</v>
      </c>
      <c r="BI239" s="42" t="s">
        <v>63</v>
      </c>
      <c r="BJ239" s="42" t="s">
        <v>63</v>
      </c>
      <c r="BK239" s="42" t="s">
        <v>63</v>
      </c>
      <c r="BL239" s="42" t="s">
        <v>63</v>
      </c>
    </row>
    <row r="240" spans="1:64">
      <c r="A240" s="33" t="s">
        <v>1176</v>
      </c>
      <c r="B240" s="34" t="s">
        <v>738</v>
      </c>
      <c r="C240" s="34" t="s">
        <v>738</v>
      </c>
      <c r="D240" s="33" t="s">
        <v>289</v>
      </c>
      <c r="E240" s="34">
        <f>IF(_xlfn.IFNA(VLOOKUP(B240,Data!B:G,3,FALSE),"")=0, "", _xlfn.IFNA(VLOOKUP(B240,Data!B:G,3,FALSE),""))</f>
        <v>3</v>
      </c>
      <c r="F240" s="66" t="s">
        <v>241</v>
      </c>
      <c r="H240" s="66" t="str">
        <f>IF(_xlfn.IFNA(VLOOKUP(C240,Data!A:G,5,FALSE),"")=0, "Check course registration information", _xlfn.IFNA(VLOOKUP(C240,Data!A:G,5,FALSE),""))</f>
        <v>PHYS 34202 or PHYS 34400</v>
      </c>
      <c r="J240" s="33" t="str">
        <f>IF(_xlfn.IFNA(VLOOKUP(C240,Data!A:G,6,FALSE),"")=0, "Check course registration information", _xlfn.IFNA(VLOOKUP(C240,Data!A:G,6,FALSE),""))</f>
        <v>This is a first course in quantum information and quantum computing, for students who have already had an introduction to quantum science. Linear algebra and some probability theory will be presented and used throughout this course. The basic postulates of quantum mechanics will motivate the applications to qubits, cryptography, quantum computation, algorithms, error correction, and other current topics</v>
      </c>
      <c r="K240" s="33" t="str">
        <f>IF(_xlfn.IFNA(VLOOKUP(C240,Data!A:H,7,FALSE),"")=0, "", _xlfn.IFNA(HYPERLINK(VLOOKUP(C240,Data!A:H,7,FALSE),"Catalog Link"),""))</f>
        <v>Catalog Link</v>
      </c>
      <c r="L240" s="33" t="str">
        <f>IF(_xlfn.IFNA(VLOOKUP(C240,Data!A:I,8,FALSE),"")=0, "", _xlfn.IFNA(HYPERLINK(VLOOKUP(C240,Data!A:I,8,FALSE),"Additional Information"),""))</f>
        <v/>
      </c>
      <c r="M240" s="34">
        <f t="shared" si="4"/>
        <v>2</v>
      </c>
      <c r="N240" s="42" t="s">
        <v>63</v>
      </c>
      <c r="O240" s="42" t="s">
        <v>63</v>
      </c>
      <c r="P240" s="42" t="s">
        <v>63</v>
      </c>
      <c r="Q240" s="42" t="s">
        <v>63</v>
      </c>
      <c r="R240" s="42" t="s">
        <v>63</v>
      </c>
      <c r="S240" s="42" t="s">
        <v>63</v>
      </c>
      <c r="T240" s="42" t="s">
        <v>63</v>
      </c>
      <c r="U240" s="42" t="s">
        <v>63</v>
      </c>
      <c r="V240" s="42" t="s">
        <v>63</v>
      </c>
      <c r="W240" s="42" t="s">
        <v>63</v>
      </c>
      <c r="X240" s="42" t="s">
        <v>63</v>
      </c>
      <c r="Y240" s="42" t="s">
        <v>63</v>
      </c>
      <c r="Z240" s="42" t="s">
        <v>63</v>
      </c>
      <c r="AA240" s="42" t="s">
        <v>63</v>
      </c>
      <c r="AB240" s="42" t="s">
        <v>63</v>
      </c>
      <c r="AC240" s="42"/>
      <c r="AD240" s="42" t="s">
        <v>63</v>
      </c>
      <c r="AE240" s="42" t="s">
        <v>63</v>
      </c>
      <c r="AF240" s="42" t="s">
        <v>63</v>
      </c>
      <c r="AG240" s="42" t="s">
        <v>63</v>
      </c>
      <c r="AH240" s="42" t="s">
        <v>63</v>
      </c>
      <c r="AI240" s="42"/>
      <c r="AJ240" s="42" t="s">
        <v>63</v>
      </c>
      <c r="AK240" s="42"/>
      <c r="AL240" s="42" t="s">
        <v>63</v>
      </c>
      <c r="AM240" s="42"/>
      <c r="AN240" s="42" t="s">
        <v>63</v>
      </c>
      <c r="AO240" s="42" t="s">
        <v>63</v>
      </c>
      <c r="AP240" s="42" t="s">
        <v>63</v>
      </c>
      <c r="AQ240" s="42" t="s">
        <v>63</v>
      </c>
      <c r="AR240" s="42"/>
      <c r="AS240" s="42" t="s">
        <v>63</v>
      </c>
      <c r="AT240" s="42" t="s">
        <v>63</v>
      </c>
      <c r="AU240" s="42"/>
      <c r="AV240" s="42" t="s">
        <v>64</v>
      </c>
      <c r="AW240" s="42"/>
      <c r="AX240" s="42" t="s">
        <v>63</v>
      </c>
      <c r="AY240" s="42" t="s">
        <v>63</v>
      </c>
      <c r="AZ240" s="42" t="s">
        <v>63</v>
      </c>
      <c r="BA240" s="42"/>
      <c r="BB240" s="42" t="s">
        <v>64</v>
      </c>
      <c r="BC240" s="42" t="s">
        <v>63</v>
      </c>
      <c r="BD240" s="42" t="s">
        <v>63</v>
      </c>
      <c r="BE240" s="42" t="s">
        <v>63</v>
      </c>
      <c r="BF240" s="42" t="s">
        <v>63</v>
      </c>
      <c r="BG240" s="42" t="s">
        <v>63</v>
      </c>
      <c r="BH240" s="42" t="s">
        <v>63</v>
      </c>
      <c r="BI240" s="42" t="s">
        <v>63</v>
      </c>
      <c r="BJ240" s="42" t="s">
        <v>63</v>
      </c>
      <c r="BK240" s="42" t="s">
        <v>63</v>
      </c>
      <c r="BL240" s="42" t="s">
        <v>63</v>
      </c>
    </row>
    <row r="241" spans="1:64">
      <c r="A241" s="33" t="s">
        <v>1177</v>
      </c>
      <c r="B241" s="34" t="s">
        <v>739</v>
      </c>
      <c r="C241" s="34" t="s">
        <v>739</v>
      </c>
      <c r="D241" s="33" t="s">
        <v>291</v>
      </c>
      <c r="E241" s="34">
        <f>IF(_xlfn.IFNA(VLOOKUP(B241,Data!B:G,3,FALSE),"")=0, "", _xlfn.IFNA(VLOOKUP(B241,Data!B:G,3,FALSE),""))</f>
        <v>3</v>
      </c>
      <c r="F241" s="44" t="s">
        <v>241</v>
      </c>
      <c r="H241" s="33" t="str">
        <f>IF(_xlfn.IFNA(VLOOKUP(C241,Data!A:G,5,FALSE),"")=0, "Check course registration information", _xlfn.IFNA(VLOOKUP(C241,Data!A:G,5,FALSE),""))</f>
        <v>PHYS 24100 or PHYS 25100 or PHYS 26100 or PHYS 27200 or (PHYS 27100 and PHYS 27101</v>
      </c>
      <c r="J241" s="33" t="str">
        <f>IF(_xlfn.IFNA(VLOOKUP(C241,Data!A:G,6,FALSE),"")=0, "Check course registration information", _xlfn.IFNA(VLOOKUP(C241,Data!A:G,6,FALSE),""))</f>
        <v>Physics of waves and oscillations including sound, elastic waves, and electromagnetic waves such as light. Topics range from the theory of simple harmonic oscillators, transverse modes of a continuous string, and physical optics including interference, Fresnel and Fraunhofer diffraction, and resolution, to diffraction of X-rays and electrons by crystals. Optionally includes topics such as nonlinear waves and surface waves</v>
      </c>
      <c r="K241" s="33" t="str">
        <f>IF(_xlfn.IFNA(VLOOKUP(C241,Data!A:H,7,FALSE),"")=0, "", _xlfn.IFNA(HYPERLINK(VLOOKUP(C241,Data!A:H,7,FALSE),"Catalog Link"),""))</f>
        <v>Catalog Link</v>
      </c>
      <c r="L241" s="33" t="str">
        <f>IF(_xlfn.IFNA(VLOOKUP(C241,Data!A:I,8,FALSE),"")=0, "", _xlfn.IFNA(HYPERLINK(VLOOKUP(C241,Data!A:I,8,FALSE),"Additional Information"),""))</f>
        <v/>
      </c>
      <c r="M241" s="34">
        <f t="shared" si="4"/>
        <v>3</v>
      </c>
      <c r="N241" s="42" t="s">
        <v>63</v>
      </c>
      <c r="O241" s="42" t="s">
        <v>63</v>
      </c>
      <c r="P241" s="42" t="s">
        <v>63</v>
      </c>
      <c r="Q241" s="42" t="s">
        <v>63</v>
      </c>
      <c r="R241" s="42" t="s">
        <v>63</v>
      </c>
      <c r="S241" s="42" t="s">
        <v>63</v>
      </c>
      <c r="T241" s="42" t="s">
        <v>63</v>
      </c>
      <c r="U241" s="42" t="s">
        <v>63</v>
      </c>
      <c r="V241" s="42" t="s">
        <v>63</v>
      </c>
      <c r="W241" s="42" t="s">
        <v>63</v>
      </c>
      <c r="X241" s="42" t="s">
        <v>63</v>
      </c>
      <c r="Y241" s="42" t="s">
        <v>63</v>
      </c>
      <c r="Z241" s="42" t="s">
        <v>63</v>
      </c>
      <c r="AA241" s="43" t="s">
        <v>63</v>
      </c>
      <c r="AB241" s="42" t="s">
        <v>63</v>
      </c>
      <c r="AC241" s="42"/>
      <c r="AD241" s="42" t="s">
        <v>63</v>
      </c>
      <c r="AE241" s="42" t="s">
        <v>63</v>
      </c>
      <c r="AF241" s="42" t="s">
        <v>63</v>
      </c>
      <c r="AG241" s="42" t="s">
        <v>63</v>
      </c>
      <c r="AH241" s="42" t="s">
        <v>63</v>
      </c>
      <c r="AI241" s="42"/>
      <c r="AJ241" s="42" t="s">
        <v>63</v>
      </c>
      <c r="AK241" s="42"/>
      <c r="AL241" s="42" t="s">
        <v>63</v>
      </c>
      <c r="AM241" s="42"/>
      <c r="AN241" s="42" t="s">
        <v>64</v>
      </c>
      <c r="AO241" s="42" t="s">
        <v>63</v>
      </c>
      <c r="AP241" s="42" t="s">
        <v>63</v>
      </c>
      <c r="AQ241" s="42" t="s">
        <v>63</v>
      </c>
      <c r="AR241" s="42"/>
      <c r="AS241" s="42" t="s">
        <v>63</v>
      </c>
      <c r="AT241" s="42" t="s">
        <v>63</v>
      </c>
      <c r="AU241" s="42"/>
      <c r="AV241" s="42"/>
      <c r="AW241" s="42" t="s">
        <v>64</v>
      </c>
      <c r="AX241" s="42" t="s">
        <v>63</v>
      </c>
      <c r="AY241" s="42" t="s">
        <v>63</v>
      </c>
      <c r="AZ241" s="42" t="s">
        <v>63</v>
      </c>
      <c r="BA241" s="42"/>
      <c r="BB241" s="42" t="s">
        <v>64</v>
      </c>
      <c r="BC241" s="42" t="s">
        <v>63</v>
      </c>
      <c r="BD241" s="42" t="s">
        <v>63</v>
      </c>
      <c r="BE241" s="42" t="s">
        <v>63</v>
      </c>
      <c r="BF241" s="42" t="s">
        <v>63</v>
      </c>
      <c r="BG241" s="42" t="s">
        <v>63</v>
      </c>
      <c r="BH241" s="42" t="s">
        <v>63</v>
      </c>
      <c r="BI241" s="42" t="s">
        <v>63</v>
      </c>
      <c r="BJ241" s="42" t="s">
        <v>63</v>
      </c>
      <c r="BK241" s="42" t="s">
        <v>63</v>
      </c>
      <c r="BL241" s="42" t="s">
        <v>63</v>
      </c>
    </row>
    <row r="242" spans="1:64">
      <c r="A242" s="33" t="s">
        <v>1176</v>
      </c>
      <c r="B242" s="34" t="s">
        <v>740</v>
      </c>
      <c r="C242" s="34" t="s">
        <v>740</v>
      </c>
      <c r="D242" s="33" t="s">
        <v>339</v>
      </c>
      <c r="E242" s="34">
        <f>IF(_xlfn.IFNA(VLOOKUP(B242,Data!B:G,3,FALSE),"")=0, "", _xlfn.IFNA(VLOOKUP(B242,Data!B:G,3,FALSE),""))</f>
        <v>3</v>
      </c>
      <c r="F242" s="66" t="s">
        <v>241</v>
      </c>
      <c r="H242" s="66" t="str">
        <f>IF(_xlfn.IFNA(VLOOKUP(C242,Data!A:G,5,FALSE),"")=0, "Check course registration information", _xlfn.IFNA(VLOOKUP(C242,Data!A:G,5,FALSE),""))</f>
        <v>PHYS 36000 or PHYS 55000) and (PHYS 41600 or PHYS 41610 or PHYS 51500 [concurrent ok]</v>
      </c>
      <c r="J242" s="33" t="str">
        <f>IF(_xlfn.IFNA(VLOOKUP(C242,Data!A:G,6,FALSE),"")=0, "Check course registration information", _xlfn.IFNA(VLOOKUP(C242,Data!A:G,6,FALSE),""))</f>
        <v>This course bridges fundamental quantum mechanics and modern microelectronics by exploring the core physics of semiconductor materials and devices. Students will investigate how the microscopic behavior of electrons determines the macroscopic electrical and optical properties of these essential materials. By connecting theoretical principles to real-world technologies, the course prepares students for advanced research and careers in the rapidly growing semiconductor industry</v>
      </c>
      <c r="K242" s="33" t="str">
        <f>IF(_xlfn.IFNA(VLOOKUP(C242,Data!A:H,7,FALSE),"")=0, "", _xlfn.IFNA(HYPERLINK(VLOOKUP(C242,Data!A:H,7,FALSE),"Catalog Link"),""))</f>
        <v>Catalog Link</v>
      </c>
      <c r="L242" s="33" t="str">
        <f>IF(_xlfn.IFNA(VLOOKUP(C242,Data!A:I,8,FALSE),"")=0, "", _xlfn.IFNA(HYPERLINK(VLOOKUP(C242,Data!A:I,8,FALSE),"Additional Information"),""))</f>
        <v/>
      </c>
      <c r="M242" s="34">
        <f t="shared" si="4"/>
        <v>1</v>
      </c>
      <c r="N242" s="42" t="s">
        <v>63</v>
      </c>
      <c r="O242" s="42" t="s">
        <v>63</v>
      </c>
      <c r="P242" s="42" t="s">
        <v>63</v>
      </c>
      <c r="Q242" s="42" t="s">
        <v>63</v>
      </c>
      <c r="R242" s="42" t="s">
        <v>63</v>
      </c>
      <c r="S242" s="42" t="s">
        <v>63</v>
      </c>
      <c r="T242" s="42" t="s">
        <v>63</v>
      </c>
      <c r="U242" s="42" t="s">
        <v>63</v>
      </c>
      <c r="V242" s="42" t="s">
        <v>63</v>
      </c>
      <c r="W242" s="42" t="s">
        <v>63</v>
      </c>
      <c r="X242" s="42" t="s">
        <v>63</v>
      </c>
      <c r="Y242" s="42" t="s">
        <v>63</v>
      </c>
      <c r="Z242" s="42" t="s">
        <v>63</v>
      </c>
      <c r="AA242" s="42" t="s">
        <v>63</v>
      </c>
      <c r="AB242" s="42" t="s">
        <v>63</v>
      </c>
      <c r="AC242" s="42"/>
      <c r="AD242" s="42" t="s">
        <v>63</v>
      </c>
      <c r="AE242" s="42" t="s">
        <v>63</v>
      </c>
      <c r="AF242" s="42" t="s">
        <v>63</v>
      </c>
      <c r="AG242" s="42" t="s">
        <v>63</v>
      </c>
      <c r="AH242" s="42" t="s">
        <v>63</v>
      </c>
      <c r="AI242" s="42"/>
      <c r="AJ242" s="42" t="s">
        <v>63</v>
      </c>
      <c r="AK242" s="42"/>
      <c r="AL242" s="42" t="s">
        <v>63</v>
      </c>
      <c r="AM242" s="42"/>
      <c r="AN242" s="42" t="s">
        <v>63</v>
      </c>
      <c r="AO242" s="42" t="s">
        <v>63</v>
      </c>
      <c r="AP242" s="42" t="s">
        <v>63</v>
      </c>
      <c r="AQ242" s="42" t="s">
        <v>63</v>
      </c>
      <c r="AR242" s="42"/>
      <c r="AS242" s="42" t="s">
        <v>63</v>
      </c>
      <c r="AT242" s="42" t="s">
        <v>63</v>
      </c>
      <c r="AU242" s="42"/>
      <c r="AV242" s="42"/>
      <c r="AW242" s="42" t="s">
        <v>63</v>
      </c>
      <c r="AX242" s="42" t="s">
        <v>63</v>
      </c>
      <c r="AY242" s="42" t="s">
        <v>63</v>
      </c>
      <c r="AZ242" s="42" t="s">
        <v>63</v>
      </c>
      <c r="BA242" s="42"/>
      <c r="BB242" s="42" t="s">
        <v>64</v>
      </c>
      <c r="BC242" s="42" t="s">
        <v>63</v>
      </c>
      <c r="BD242" s="42" t="s">
        <v>63</v>
      </c>
      <c r="BE242" s="42" t="s">
        <v>63</v>
      </c>
      <c r="BF242" s="42" t="s">
        <v>63</v>
      </c>
      <c r="BG242" s="42" t="s">
        <v>63</v>
      </c>
      <c r="BH242" s="42" t="s">
        <v>63</v>
      </c>
      <c r="BI242" s="42" t="s">
        <v>63</v>
      </c>
      <c r="BJ242" s="42" t="s">
        <v>63</v>
      </c>
      <c r="BK242" s="42" t="s">
        <v>63</v>
      </c>
      <c r="BL242" s="42" t="s">
        <v>63</v>
      </c>
    </row>
    <row r="243" spans="1:64">
      <c r="A243" s="33" t="s">
        <v>1176</v>
      </c>
      <c r="B243" s="34" t="s">
        <v>742</v>
      </c>
      <c r="C243" s="34" t="s">
        <v>742</v>
      </c>
      <c r="D243" s="33" t="s">
        <v>1546</v>
      </c>
      <c r="E243" s="34">
        <f>IF(_xlfn.IFNA(VLOOKUP(B243,Data!B:G,3,FALSE),"")=0, "", _xlfn.IFNA(VLOOKUP(B243,Data!B:G,3,FALSE),""))</f>
        <v>2</v>
      </c>
      <c r="F243" s="66" t="s">
        <v>241</v>
      </c>
      <c r="H243" s="66" t="str">
        <f>IF(_xlfn.IFNA(VLOOKUP(C243,Data!A:G,5,FALSE),"")=0, "Check course registration information", _xlfn.IFNA(VLOOKUP(C243,Data!A:G,5,FALSE),""))</f>
        <v>PHYS 42200 [concurrent ok] or PHYS 32200 [concurrent ok]</v>
      </c>
      <c r="J243" s="33" t="str">
        <f>IF(_xlfn.IFNA(VLOOKUP(C243,Data!A:G,6,FALSE),"")=0, "Check course registration information", _xlfn.IFNA(VLOOKUP(C243,Data!A:G,6,FALSE),""))</f>
        <v>Laboratory primarily intended for junior year physics majors. Assorted experiments in optics and other fields using lasers, photodiodes, computers, and other modern technology</v>
      </c>
      <c r="K243" s="33" t="str">
        <f>IF(_xlfn.IFNA(VLOOKUP(C243,Data!A:H,7,FALSE),"")=0, "", _xlfn.IFNA(HYPERLINK(VLOOKUP(C243,Data!A:H,7,FALSE),"Catalog Link"),""))</f>
        <v>Catalog Link</v>
      </c>
      <c r="L243" s="33" t="str">
        <f>IF(_xlfn.IFNA(VLOOKUP(C243,Data!A:I,8,FALSE),"")=0, "", _xlfn.IFNA(HYPERLINK(VLOOKUP(C243,Data!A:I,8,FALSE),"Additional Information"),""))</f>
        <v/>
      </c>
      <c r="M243" s="34">
        <f t="shared" si="4"/>
        <v>1</v>
      </c>
      <c r="N243" s="42" t="s">
        <v>63</v>
      </c>
      <c r="O243" s="42" t="s">
        <v>63</v>
      </c>
      <c r="P243" s="42" t="s">
        <v>63</v>
      </c>
      <c r="Q243" s="42" t="s">
        <v>63</v>
      </c>
      <c r="R243" s="42" t="s">
        <v>63</v>
      </c>
      <c r="S243" s="42" t="s">
        <v>63</v>
      </c>
      <c r="T243" s="42" t="s">
        <v>63</v>
      </c>
      <c r="U243" s="42" t="s">
        <v>63</v>
      </c>
      <c r="V243" s="42" t="s">
        <v>63</v>
      </c>
      <c r="W243" s="42" t="s">
        <v>63</v>
      </c>
      <c r="X243" s="42" t="s">
        <v>63</v>
      </c>
      <c r="Y243" s="42" t="s">
        <v>63</v>
      </c>
      <c r="Z243" s="42" t="s">
        <v>63</v>
      </c>
      <c r="AA243" s="42" t="s">
        <v>63</v>
      </c>
      <c r="AB243" s="42" t="s">
        <v>63</v>
      </c>
      <c r="AC243" s="42"/>
      <c r="AD243" s="42" t="s">
        <v>63</v>
      </c>
      <c r="AE243" s="42" t="s">
        <v>63</v>
      </c>
      <c r="AF243" s="42" t="s">
        <v>63</v>
      </c>
      <c r="AG243" s="42" t="s">
        <v>63</v>
      </c>
      <c r="AH243" s="42" t="s">
        <v>63</v>
      </c>
      <c r="AI243" s="42"/>
      <c r="AJ243" s="42" t="s">
        <v>63</v>
      </c>
      <c r="AK243" s="42"/>
      <c r="AL243" s="42" t="s">
        <v>63</v>
      </c>
      <c r="AM243" s="42"/>
      <c r="AN243" s="42" t="s">
        <v>64</v>
      </c>
      <c r="AO243" s="42" t="s">
        <v>63</v>
      </c>
      <c r="AP243" s="42" t="s">
        <v>63</v>
      </c>
      <c r="AQ243" s="42" t="s">
        <v>63</v>
      </c>
      <c r="AR243" s="42"/>
      <c r="AS243" s="42" t="s">
        <v>63</v>
      </c>
      <c r="AT243" s="42" t="s">
        <v>63</v>
      </c>
      <c r="AU243" s="42"/>
      <c r="AV243" s="42"/>
      <c r="AW243" s="42" t="s">
        <v>63</v>
      </c>
      <c r="AX243" s="42" t="s">
        <v>63</v>
      </c>
      <c r="AY243" s="42" t="s">
        <v>63</v>
      </c>
      <c r="AZ243" s="42" t="s">
        <v>63</v>
      </c>
      <c r="BA243" s="42"/>
      <c r="BB243" s="42" t="s">
        <v>63</v>
      </c>
      <c r="BC243" s="42" t="s">
        <v>63</v>
      </c>
      <c r="BD243" s="42" t="s">
        <v>63</v>
      </c>
      <c r="BE243" s="42" t="s">
        <v>63</v>
      </c>
      <c r="BF243" s="42" t="s">
        <v>63</v>
      </c>
      <c r="BG243" s="42" t="s">
        <v>63</v>
      </c>
      <c r="BH243" s="42" t="s">
        <v>63</v>
      </c>
      <c r="BI243" s="42" t="s">
        <v>63</v>
      </c>
      <c r="BJ243" s="42" t="s">
        <v>63</v>
      </c>
      <c r="BK243" s="42" t="s">
        <v>63</v>
      </c>
      <c r="BL243" s="42" t="s">
        <v>63</v>
      </c>
    </row>
    <row r="244" spans="1:64">
      <c r="A244" s="33" t="s">
        <v>1176</v>
      </c>
      <c r="B244" s="34" t="s">
        <v>743</v>
      </c>
      <c r="C244" s="34" t="s">
        <v>743</v>
      </c>
      <c r="D244" s="33" t="s">
        <v>341</v>
      </c>
      <c r="E244" s="34">
        <f>IF(_xlfn.IFNA(VLOOKUP(B244,Data!B:G,3,FALSE),"")=0, "", _xlfn.IFNA(VLOOKUP(B244,Data!B:G,3,FALSE),""))</f>
        <v>3</v>
      </c>
      <c r="F244" s="66" t="s">
        <v>241</v>
      </c>
      <c r="H244" s="66" t="str">
        <f>IF(_xlfn.IFNA(VLOOKUP(C244,Data!A:G,5,FALSE),"")=0, "Check course registration information", _xlfn.IFNA(VLOOKUP(C244,Data!A:G,5,FALSE),""))</f>
        <v>PHYS 36000 or PHYS 46000 or PHYS 55000</v>
      </c>
      <c r="J244" s="33" t="str">
        <f>IF(_xlfn.IFNA(VLOOKUP(C244,Data!A:G,6,FALSE),"")=0, "Check course registration information", _xlfn.IFNA(VLOOKUP(C244,Data!A:G,6,FALSE),""))</f>
        <v>An introduction to the physics of quantum information science. Starting with the concepts of quantum superposition, it defines and describes qubits (quantum bits) and their manipulation by quantum logic gates. The topics of quantum entanglement and the EPR paradox are introduced, and their importance for quantum teleportation, communication, and quantum cryptography are covered. Quantum computing is described in terms of quantum circuits of logic gates, and also in terms of quantum algorithms, such as Deutsch's algorithm, the quantum Fourier transform, Shor's prime factoring algorithm, and Grover's search algorithm. The final topic is quantum decoherence and the limits it places on practical implementations of quantum computing</v>
      </c>
      <c r="K244" s="33" t="str">
        <f>IF(_xlfn.IFNA(VLOOKUP(C244,Data!A:H,7,FALSE),"")=0, "", _xlfn.IFNA(HYPERLINK(VLOOKUP(C244,Data!A:H,7,FALSE),"Catalog Link"),""))</f>
        <v>Catalog Link</v>
      </c>
      <c r="L244" s="33" t="str">
        <f>IF(_xlfn.IFNA(VLOOKUP(C244,Data!A:I,8,FALSE),"")=0, "", _xlfn.IFNA(HYPERLINK(VLOOKUP(C244,Data!A:I,8,FALSE),"Additional Information"),""))</f>
        <v/>
      </c>
      <c r="M244" s="34">
        <f t="shared" si="4"/>
        <v>2</v>
      </c>
      <c r="N244" s="42" t="s">
        <v>63</v>
      </c>
      <c r="O244" s="42" t="s">
        <v>63</v>
      </c>
      <c r="P244" s="42" t="s">
        <v>63</v>
      </c>
      <c r="Q244" s="42" t="s">
        <v>63</v>
      </c>
      <c r="R244" s="42" t="s">
        <v>63</v>
      </c>
      <c r="S244" s="42" t="s">
        <v>63</v>
      </c>
      <c r="T244" s="42" t="s">
        <v>63</v>
      </c>
      <c r="U244" s="42" t="s">
        <v>63</v>
      </c>
      <c r="V244" s="42" t="s">
        <v>63</v>
      </c>
      <c r="W244" s="42" t="s">
        <v>63</v>
      </c>
      <c r="X244" s="42" t="s">
        <v>63</v>
      </c>
      <c r="Y244" s="42" t="s">
        <v>63</v>
      </c>
      <c r="Z244" s="42" t="s">
        <v>63</v>
      </c>
      <c r="AA244" s="42" t="s">
        <v>63</v>
      </c>
      <c r="AB244" s="42" t="s">
        <v>63</v>
      </c>
      <c r="AC244" s="42"/>
      <c r="AD244" s="42" t="s">
        <v>63</v>
      </c>
      <c r="AE244" s="42" t="s">
        <v>63</v>
      </c>
      <c r="AF244" s="42" t="s">
        <v>63</v>
      </c>
      <c r="AG244" s="42" t="s">
        <v>63</v>
      </c>
      <c r="AH244" s="42" t="s">
        <v>63</v>
      </c>
      <c r="AI244" s="42"/>
      <c r="AJ244" s="42" t="s">
        <v>63</v>
      </c>
      <c r="AK244" s="42"/>
      <c r="AL244" s="42" t="s">
        <v>63</v>
      </c>
      <c r="AM244" s="42"/>
      <c r="AN244" s="42" t="s">
        <v>63</v>
      </c>
      <c r="AO244" s="42" t="s">
        <v>63</v>
      </c>
      <c r="AP244" s="42" t="s">
        <v>63</v>
      </c>
      <c r="AQ244" s="42" t="s">
        <v>63</v>
      </c>
      <c r="AR244" s="42"/>
      <c r="AS244" s="42" t="s">
        <v>63</v>
      </c>
      <c r="AT244" s="42" t="s">
        <v>63</v>
      </c>
      <c r="AU244" s="42"/>
      <c r="AV244" s="42" t="s">
        <v>64</v>
      </c>
      <c r="AW244" s="42" t="s">
        <v>64</v>
      </c>
      <c r="AX244" s="42" t="s">
        <v>63</v>
      </c>
      <c r="AY244" s="42" t="s">
        <v>63</v>
      </c>
      <c r="AZ244" s="42" t="s">
        <v>63</v>
      </c>
      <c r="BA244" s="42"/>
      <c r="BB244" s="42" t="s">
        <v>63</v>
      </c>
      <c r="BC244" s="42" t="s">
        <v>63</v>
      </c>
      <c r="BD244" s="42" t="s">
        <v>63</v>
      </c>
      <c r="BE244" s="42" t="s">
        <v>63</v>
      </c>
      <c r="BF244" s="42" t="s">
        <v>63</v>
      </c>
      <c r="BG244" s="42" t="s">
        <v>63</v>
      </c>
      <c r="BH244" s="42" t="s">
        <v>63</v>
      </c>
      <c r="BI244" s="42" t="s">
        <v>63</v>
      </c>
      <c r="BJ244" s="42" t="s">
        <v>63</v>
      </c>
      <c r="BK244" s="42" t="s">
        <v>63</v>
      </c>
      <c r="BL244" s="42" t="s">
        <v>63</v>
      </c>
    </row>
    <row r="245" spans="1:64">
      <c r="A245" s="33" t="s">
        <v>1176</v>
      </c>
      <c r="B245" s="34" t="s">
        <v>745</v>
      </c>
      <c r="C245" s="34" t="s">
        <v>745</v>
      </c>
      <c r="D245" s="33" t="s">
        <v>97</v>
      </c>
      <c r="E245" s="34">
        <f>IF(_xlfn.IFNA(VLOOKUP(B245,Data!B:G,3,FALSE),"")=0, "", _xlfn.IFNA(VLOOKUP(B245,Data!B:G,3,FALSE),""))</f>
        <v>4</v>
      </c>
      <c r="F245" s="66" t="s">
        <v>69</v>
      </c>
      <c r="H245" s="66" t="str">
        <f>IF(_xlfn.IFNA(VLOOKUP(C245,Data!A:G,5,FALSE),"")=0, "Check course registration information", _xlfn.IFNA(VLOOKUP(C245,Data!A:G,5,FALSE),""))</f>
        <v>PHYS 27200</v>
      </c>
      <c r="J245" s="33" t="str">
        <f>IF(_xlfn.IFNA(VLOOKUP(C245,Data!A:G,6,FALSE),"")=0, "Check course registration information", _xlfn.IFNA(VLOOKUP(C245,Data!A:G,6,FALSE),""))</f>
        <v>A summary of principles of modern electronics currently used in research. Coursework will include broad coverage of the field and selected topics in electronics instrumentation</v>
      </c>
      <c r="K245" s="33" t="str">
        <f>IF(_xlfn.IFNA(VLOOKUP(C245,Data!A:H,7,FALSE),"")=0, "", _xlfn.IFNA(HYPERLINK(VLOOKUP(C245,Data!A:H,7,FALSE),"Catalog Link"),""))</f>
        <v>Catalog Link</v>
      </c>
      <c r="L245" s="33" t="str">
        <f>IF(_xlfn.IFNA(VLOOKUP(C245,Data!A:I,8,FALSE),"")=0, "", _xlfn.IFNA(HYPERLINK(VLOOKUP(C245,Data!A:I,8,FALSE),"Additional Information"),""))</f>
        <v/>
      </c>
      <c r="M245" s="34">
        <f t="shared" si="4"/>
        <v>1</v>
      </c>
      <c r="N245" s="42" t="s">
        <v>63</v>
      </c>
      <c r="O245" s="42" t="s">
        <v>63</v>
      </c>
      <c r="P245" s="42" t="s">
        <v>63</v>
      </c>
      <c r="Q245" s="42"/>
      <c r="R245" s="42" t="s">
        <v>63</v>
      </c>
      <c r="S245" s="42" t="s">
        <v>64</v>
      </c>
      <c r="T245" s="42" t="s">
        <v>63</v>
      </c>
      <c r="U245" s="42" t="s">
        <v>63</v>
      </c>
      <c r="V245" s="42" t="s">
        <v>63</v>
      </c>
      <c r="W245" s="42" t="s">
        <v>63</v>
      </c>
      <c r="X245" s="42" t="s">
        <v>63</v>
      </c>
      <c r="Y245" s="42"/>
      <c r="Z245" s="42" t="s">
        <v>63</v>
      </c>
      <c r="AA245" s="42" t="s">
        <v>63</v>
      </c>
      <c r="AB245" s="42" t="s">
        <v>63</v>
      </c>
      <c r="AC245" s="42"/>
      <c r="AD245" s="42" t="s">
        <v>63</v>
      </c>
      <c r="AE245" s="42" t="s">
        <v>63</v>
      </c>
      <c r="AF245" s="42" t="s">
        <v>63</v>
      </c>
      <c r="AG245" s="42" t="s">
        <v>63</v>
      </c>
      <c r="AH245" s="42" t="s">
        <v>63</v>
      </c>
      <c r="AI245" s="42"/>
      <c r="AJ245" s="42" t="s">
        <v>63</v>
      </c>
      <c r="AK245" s="42"/>
      <c r="AL245" s="42" t="s">
        <v>63</v>
      </c>
      <c r="AM245" s="42"/>
      <c r="AN245" s="42" t="s">
        <v>63</v>
      </c>
      <c r="AO245" s="42" t="s">
        <v>63</v>
      </c>
      <c r="AP245" s="42" t="s">
        <v>63</v>
      </c>
      <c r="AQ245" s="42" t="s">
        <v>63</v>
      </c>
      <c r="AR245" s="42"/>
      <c r="AS245" s="42" t="s">
        <v>63</v>
      </c>
      <c r="AT245" s="42" t="s">
        <v>63</v>
      </c>
      <c r="AU245" s="42"/>
      <c r="AV245" s="42"/>
      <c r="AW245" s="42" t="s">
        <v>63</v>
      </c>
      <c r="AX245" s="42" t="s">
        <v>63</v>
      </c>
      <c r="AY245" s="42" t="s">
        <v>63</v>
      </c>
      <c r="AZ245" s="42" t="s">
        <v>63</v>
      </c>
      <c r="BA245" s="42"/>
      <c r="BB245" s="42"/>
      <c r="BC245" s="42" t="s">
        <v>63</v>
      </c>
      <c r="BD245" s="42" t="s">
        <v>63</v>
      </c>
      <c r="BE245" s="42" t="s">
        <v>63</v>
      </c>
      <c r="BF245" s="42" t="s">
        <v>63</v>
      </c>
      <c r="BG245" s="42" t="s">
        <v>63</v>
      </c>
      <c r="BH245" s="42" t="s">
        <v>63</v>
      </c>
      <c r="BI245" s="42" t="s">
        <v>63</v>
      </c>
      <c r="BJ245" s="42" t="s">
        <v>63</v>
      </c>
      <c r="BK245" s="42" t="s">
        <v>63</v>
      </c>
      <c r="BL245" s="42" t="s">
        <v>63</v>
      </c>
    </row>
    <row r="246" spans="1:64">
      <c r="A246" s="33" t="s">
        <v>1176</v>
      </c>
      <c r="B246" s="34" t="s">
        <v>747</v>
      </c>
      <c r="C246" s="34" t="s">
        <v>747</v>
      </c>
      <c r="D246" s="33" t="s">
        <v>343</v>
      </c>
      <c r="E246" s="34">
        <f>IF(_xlfn.IFNA(VLOOKUP(B246,Data!B:G,3,FALSE),"")=0, "", _xlfn.IFNA(VLOOKUP(B246,Data!B:G,3,FALSE),""))</f>
        <v>3</v>
      </c>
      <c r="F246" s="66" t="s">
        <v>241</v>
      </c>
      <c r="H246" s="66" t="str">
        <f>IF(_xlfn.IFNA(VLOOKUP(C246,Data!A:G,5,FALSE),"")=0, "Check course registration information", _xlfn.IFNA(VLOOKUP(C246,Data!A:G,5,FALSE),""))</f>
        <v>PHYS 36000 or PHYS 46000 or PHYS 55000 or PHYS 41600 or PHYS 41610 or PHYS 51500</v>
      </c>
      <c r="J246" s="33" t="str">
        <f>IF(_xlfn.IFNA(VLOOKUP(C246,Data!A:G,6,FALSE),"")=0, "Check course registration information", _xlfn.IFNA(VLOOKUP(C246,Data!A:G,6,FALSE),""))</f>
        <v>Crystal structure; lattice vibrations and electronic band structure of crystals; electrical, optical, and thermal properties of solids; transport and other nonequilibrium phenomena in uniform and nonuniform materials</v>
      </c>
      <c r="K246" s="33" t="str">
        <f>IF(_xlfn.IFNA(VLOOKUP(C246,Data!A:H,7,FALSE),"")=0, "", _xlfn.IFNA(HYPERLINK(VLOOKUP(C246,Data!A:H,7,FALSE),"Catalog Link"),""))</f>
        <v>Catalog Link</v>
      </c>
      <c r="L246" s="33" t="str">
        <f>IF(_xlfn.IFNA(VLOOKUP(C246,Data!A:I,8,FALSE),"")=0, "", _xlfn.IFNA(HYPERLINK(VLOOKUP(C246,Data!A:I,8,FALSE),"Additional Information"),""))</f>
        <v/>
      </c>
      <c r="M246" s="34">
        <f t="shared" si="4"/>
        <v>1</v>
      </c>
      <c r="N246" s="42" t="s">
        <v>63</v>
      </c>
      <c r="O246" s="42" t="s">
        <v>63</v>
      </c>
      <c r="P246" s="42" t="s">
        <v>63</v>
      </c>
      <c r="Q246" s="42" t="s">
        <v>63</v>
      </c>
      <c r="R246" s="42" t="s">
        <v>63</v>
      </c>
      <c r="S246" s="42" t="s">
        <v>63</v>
      </c>
      <c r="T246" s="42" t="s">
        <v>63</v>
      </c>
      <c r="U246" s="42" t="s">
        <v>63</v>
      </c>
      <c r="V246" s="42" t="s">
        <v>63</v>
      </c>
      <c r="W246" s="42" t="s">
        <v>63</v>
      </c>
      <c r="X246" s="42" t="s">
        <v>63</v>
      </c>
      <c r="Y246" s="42" t="s">
        <v>63</v>
      </c>
      <c r="Z246" s="42" t="s">
        <v>63</v>
      </c>
      <c r="AA246" s="42" t="s">
        <v>63</v>
      </c>
      <c r="AB246" s="42" t="s">
        <v>63</v>
      </c>
      <c r="AC246" s="42"/>
      <c r="AD246" s="42" t="s">
        <v>63</v>
      </c>
      <c r="AE246" s="42" t="s">
        <v>63</v>
      </c>
      <c r="AF246" s="42" t="s">
        <v>63</v>
      </c>
      <c r="AG246" s="42" t="s">
        <v>63</v>
      </c>
      <c r="AH246" s="42" t="s">
        <v>63</v>
      </c>
      <c r="AI246" s="42"/>
      <c r="AJ246" s="42" t="s">
        <v>63</v>
      </c>
      <c r="AK246" s="42"/>
      <c r="AL246" s="42" t="s">
        <v>63</v>
      </c>
      <c r="AM246" s="42"/>
      <c r="AN246" s="42" t="s">
        <v>63</v>
      </c>
      <c r="AO246" s="42" t="s">
        <v>63</v>
      </c>
      <c r="AP246" s="42" t="s">
        <v>63</v>
      </c>
      <c r="AQ246" s="42" t="s">
        <v>63</v>
      </c>
      <c r="AR246" s="42"/>
      <c r="AS246" s="42" t="s">
        <v>63</v>
      </c>
      <c r="AT246" s="42" t="s">
        <v>63</v>
      </c>
      <c r="AU246" s="42"/>
      <c r="AV246" s="42"/>
      <c r="AW246" s="42" t="s">
        <v>63</v>
      </c>
      <c r="AX246" s="42" t="s">
        <v>63</v>
      </c>
      <c r="AY246" s="42" t="s">
        <v>63</v>
      </c>
      <c r="AZ246" s="42" t="s">
        <v>63</v>
      </c>
      <c r="BA246" s="42"/>
      <c r="BB246" s="42" t="s">
        <v>64</v>
      </c>
      <c r="BC246" s="42" t="s">
        <v>63</v>
      </c>
      <c r="BD246" s="42" t="s">
        <v>63</v>
      </c>
      <c r="BE246" s="42" t="s">
        <v>63</v>
      </c>
      <c r="BF246" s="42" t="s">
        <v>63</v>
      </c>
      <c r="BG246" s="42" t="s">
        <v>63</v>
      </c>
      <c r="BH246" s="42" t="s">
        <v>63</v>
      </c>
      <c r="BI246" s="42" t="s">
        <v>63</v>
      </c>
      <c r="BJ246" s="42" t="s">
        <v>63</v>
      </c>
      <c r="BK246" s="42" t="s">
        <v>63</v>
      </c>
      <c r="BL246" s="42" t="s">
        <v>63</v>
      </c>
    </row>
    <row r="247" spans="1:64">
      <c r="A247" s="33" t="s">
        <v>1177</v>
      </c>
      <c r="B247" s="34" t="s">
        <v>538</v>
      </c>
      <c r="C247" s="34" t="s">
        <v>538</v>
      </c>
      <c r="D247" s="33" t="s">
        <v>539</v>
      </c>
      <c r="E247" s="34">
        <f>IF(_xlfn.IFNA(VLOOKUP(B247,Data!B:G,3,FALSE),"")=0, "", _xlfn.IFNA(VLOOKUP(B247,Data!B:G,3,FALSE),""))</f>
        <v>3</v>
      </c>
      <c r="F247" s="33" t="s">
        <v>1175</v>
      </c>
      <c r="G247" s="33"/>
      <c r="H247" s="33" t="str">
        <f>IF(_xlfn.IFNA(VLOOKUP(C247,Data!A:G,5,FALSE),"")=0, "Check course registration information", _xlfn.IFNA(VLOOKUP(C247,Data!A:G,5,FALSE),""))</f>
        <v>Check course registration information</v>
      </c>
      <c r="J247" s="33" t="str">
        <f>IF(_xlfn.IFNA(VLOOKUP(C247,Data!A:G,6,FALSE),"")=0, "Check course registration information", _xlfn.IFNA(VLOOKUP(C247,Data!A:G,6,FALSE),""))</f>
        <v>Check course registration information</v>
      </c>
      <c r="K247" s="33" t="str">
        <f>IF(_xlfn.IFNA(VLOOKUP(C247,Data!A:H,7,FALSE),"")=0, "", _xlfn.IFNA(HYPERLINK(VLOOKUP(C247,Data!A:H,7,FALSE),"Catalog Link"),""))</f>
        <v>Catalog Link</v>
      </c>
      <c r="L247" s="33" t="str">
        <f>IF(_xlfn.IFNA(VLOOKUP(C247,Data!A:I,8,FALSE),"")=0, "", _xlfn.IFNA(HYPERLINK(VLOOKUP(C247,Data!A:I,8,FALSE),"Additional Information"),""))</f>
        <v>Additional Information</v>
      </c>
      <c r="M247" s="34">
        <f t="shared" si="4"/>
        <v>2</v>
      </c>
      <c r="N247" s="42" t="s">
        <v>63</v>
      </c>
      <c r="O247" s="42" t="s">
        <v>64</v>
      </c>
      <c r="P247" s="42" t="s">
        <v>63</v>
      </c>
      <c r="Q247" s="42" t="s">
        <v>63</v>
      </c>
      <c r="R247" s="42" t="s">
        <v>63</v>
      </c>
      <c r="S247" s="42" t="s">
        <v>63</v>
      </c>
      <c r="T247" s="42" t="s">
        <v>63</v>
      </c>
      <c r="U247" s="42" t="s">
        <v>63</v>
      </c>
      <c r="V247" s="42" t="s">
        <v>63</v>
      </c>
      <c r="W247" s="42" t="s">
        <v>63</v>
      </c>
      <c r="X247" s="42" t="s">
        <v>63</v>
      </c>
      <c r="Y247" s="42" t="s">
        <v>63</v>
      </c>
      <c r="Z247" s="42" t="s">
        <v>64</v>
      </c>
      <c r="AA247" s="43" t="s">
        <v>63</v>
      </c>
      <c r="AB247" s="42" t="s">
        <v>63</v>
      </c>
      <c r="AC247" s="42"/>
      <c r="AD247" s="42" t="s">
        <v>63</v>
      </c>
      <c r="AE247" s="42" t="s">
        <v>63</v>
      </c>
      <c r="AF247" s="42" t="s">
        <v>63</v>
      </c>
      <c r="AG247" s="42" t="s">
        <v>63</v>
      </c>
      <c r="AH247" s="42" t="s">
        <v>63</v>
      </c>
      <c r="AI247" s="42"/>
      <c r="AJ247" s="42" t="s">
        <v>63</v>
      </c>
      <c r="AK247" s="42"/>
      <c r="AL247" s="42" t="s">
        <v>63</v>
      </c>
      <c r="AM247" s="42"/>
      <c r="AN247" s="42" t="s">
        <v>63</v>
      </c>
      <c r="AO247" s="42" t="s">
        <v>63</v>
      </c>
      <c r="AP247" s="42" t="s">
        <v>63</v>
      </c>
      <c r="AQ247" s="42" t="s">
        <v>63</v>
      </c>
      <c r="AR247" s="42"/>
      <c r="AS247" s="42" t="s">
        <v>63</v>
      </c>
      <c r="AT247" s="42" t="s">
        <v>63</v>
      </c>
      <c r="AU247" s="42"/>
      <c r="AV247" s="42"/>
      <c r="AW247" s="42" t="s">
        <v>63</v>
      </c>
      <c r="AX247" s="42" t="s">
        <v>63</v>
      </c>
      <c r="AY247" s="42" t="s">
        <v>63</v>
      </c>
      <c r="AZ247" s="42" t="s">
        <v>63</v>
      </c>
      <c r="BA247" s="42"/>
      <c r="BB247" s="42" t="s">
        <v>63</v>
      </c>
      <c r="BC247" s="42" t="s">
        <v>63</v>
      </c>
      <c r="BD247" s="42" t="s">
        <v>63</v>
      </c>
      <c r="BE247" s="42" t="s">
        <v>63</v>
      </c>
      <c r="BF247" s="42" t="s">
        <v>63</v>
      </c>
      <c r="BG247" s="42" t="s">
        <v>63</v>
      </c>
      <c r="BH247" s="42" t="s">
        <v>63</v>
      </c>
      <c r="BI247" s="42" t="s">
        <v>63</v>
      </c>
      <c r="BJ247" s="42" t="s">
        <v>63</v>
      </c>
      <c r="BK247" s="42" t="s">
        <v>63</v>
      </c>
      <c r="BL247" s="42" t="s">
        <v>63</v>
      </c>
    </row>
    <row r="248" spans="1:64">
      <c r="A248" s="33" t="s">
        <v>1177</v>
      </c>
      <c r="B248" s="34" t="s">
        <v>540</v>
      </c>
      <c r="C248" s="34" t="s">
        <v>540</v>
      </c>
      <c r="D248" s="33" t="s">
        <v>541</v>
      </c>
      <c r="E248" s="34">
        <f>IF(_xlfn.IFNA(VLOOKUP(B248,Data!B:G,3,FALSE),"")=0, "", _xlfn.IFNA(VLOOKUP(B248,Data!B:G,3,FALSE),""))</f>
        <v>3</v>
      </c>
      <c r="F248" s="33" t="s">
        <v>1175</v>
      </c>
      <c r="G248" s="33"/>
      <c r="H248" s="33" t="str">
        <f>IF(_xlfn.IFNA(VLOOKUP(C248,Data!A:G,5,FALSE),"")=0, "Check course registration information", _xlfn.IFNA(VLOOKUP(C248,Data!A:G,5,FALSE),""))</f>
        <v>Check course registration information</v>
      </c>
      <c r="J248" s="33" t="str">
        <f>IF(_xlfn.IFNA(VLOOKUP(C248,Data!A:G,6,FALSE),"")=0, "Check course registration information", _xlfn.IFNA(VLOOKUP(C248,Data!A:G,6,FALSE),""))</f>
        <v>Phys 545 (Solid-State Physics)</v>
      </c>
      <c r="K248" s="33" t="str">
        <f>IF(_xlfn.IFNA(VLOOKUP(C248,Data!A:H,7,FALSE),"")=0, "", _xlfn.IFNA(HYPERLINK(VLOOKUP(C248,Data!A:H,7,FALSE),"Catalog Link"),""))</f>
        <v>Catalog Link</v>
      </c>
      <c r="L248" s="33" t="str">
        <f>IF(_xlfn.IFNA(VLOOKUP(C248,Data!A:I,8,FALSE),"")=0, "", _xlfn.IFNA(HYPERLINK(VLOOKUP(C248,Data!A:I,8,FALSE),"Additional Information"),""))</f>
        <v>Additional Information</v>
      </c>
      <c r="M248" s="34">
        <f t="shared" si="4"/>
        <v>2</v>
      </c>
      <c r="N248" s="42" t="s">
        <v>63</v>
      </c>
      <c r="O248" s="42" t="s">
        <v>63</v>
      </c>
      <c r="P248" s="42" t="s">
        <v>63</v>
      </c>
      <c r="Q248" s="42" t="s">
        <v>63</v>
      </c>
      <c r="R248" s="42" t="s">
        <v>63</v>
      </c>
      <c r="S248" s="42" t="s">
        <v>63</v>
      </c>
      <c r="T248" s="42" t="s">
        <v>63</v>
      </c>
      <c r="U248" s="42" t="s">
        <v>63</v>
      </c>
      <c r="V248" s="42" t="s">
        <v>63</v>
      </c>
      <c r="W248" s="42" t="s">
        <v>63</v>
      </c>
      <c r="X248" s="42" t="s">
        <v>63</v>
      </c>
      <c r="Y248" s="42" t="s">
        <v>63</v>
      </c>
      <c r="Z248" s="42" t="s">
        <v>63</v>
      </c>
      <c r="AA248" s="43" t="s">
        <v>63</v>
      </c>
      <c r="AB248" s="42" t="s">
        <v>63</v>
      </c>
      <c r="AC248" s="42"/>
      <c r="AD248" s="42" t="s">
        <v>63</v>
      </c>
      <c r="AE248" s="42" t="s">
        <v>63</v>
      </c>
      <c r="AF248" s="42" t="s">
        <v>63</v>
      </c>
      <c r="AG248" s="42" t="s">
        <v>63</v>
      </c>
      <c r="AH248" s="42" t="s">
        <v>63</v>
      </c>
      <c r="AI248" s="42"/>
      <c r="AJ248" s="42" t="s">
        <v>63</v>
      </c>
      <c r="AK248" s="42"/>
      <c r="AL248" s="42" t="s">
        <v>63</v>
      </c>
      <c r="AM248" s="42"/>
      <c r="AN248" s="42" t="s">
        <v>63</v>
      </c>
      <c r="AO248" s="42" t="s">
        <v>63</v>
      </c>
      <c r="AP248" s="42" t="s">
        <v>63</v>
      </c>
      <c r="AQ248" s="42" t="s">
        <v>63</v>
      </c>
      <c r="AR248" s="42"/>
      <c r="AS248" s="42" t="s">
        <v>63</v>
      </c>
      <c r="AT248" s="42" t="s">
        <v>63</v>
      </c>
      <c r="AU248" s="42"/>
      <c r="AV248" s="42"/>
      <c r="AW248" s="42" t="s">
        <v>63</v>
      </c>
      <c r="AX248" s="42" t="s">
        <v>63</v>
      </c>
      <c r="AY248" s="42" t="s">
        <v>63</v>
      </c>
      <c r="AZ248" s="42" t="s">
        <v>63</v>
      </c>
      <c r="BA248" s="42"/>
      <c r="BB248" s="42" t="s">
        <v>64</v>
      </c>
      <c r="BC248" s="42" t="s">
        <v>63</v>
      </c>
      <c r="BD248" s="42" t="s">
        <v>63</v>
      </c>
      <c r="BE248" s="42" t="s">
        <v>63</v>
      </c>
      <c r="BF248" s="42" t="s">
        <v>64</v>
      </c>
      <c r="BG248" s="42" t="s">
        <v>63</v>
      </c>
      <c r="BH248" s="42" t="s">
        <v>63</v>
      </c>
      <c r="BI248" s="42" t="s">
        <v>63</v>
      </c>
      <c r="BJ248" s="42" t="s">
        <v>63</v>
      </c>
      <c r="BK248" s="42" t="s">
        <v>63</v>
      </c>
      <c r="BL248" s="42" t="s">
        <v>63</v>
      </c>
    </row>
    <row r="249" spans="1:64">
      <c r="A249" s="55" t="s">
        <v>1176</v>
      </c>
      <c r="B249" s="34" t="s">
        <v>552</v>
      </c>
      <c r="C249" s="34" t="s">
        <v>552</v>
      </c>
      <c r="D249" s="33" t="s">
        <v>553</v>
      </c>
      <c r="E249" s="34">
        <f>IF(_xlfn.IFNA(VLOOKUP(B249,Data!B:G,3,FALSE),"")=0, "", _xlfn.IFNA(VLOOKUP(B249,Data!B:G,3,FALSE),""))</f>
        <v>3</v>
      </c>
      <c r="F249" s="66" t="s">
        <v>106</v>
      </c>
      <c r="H249" s="66" t="str">
        <f>IF(_xlfn.IFNA(VLOOKUP(C249,Data!A:G,5,FALSE),"")=0, "Check course registration information", _xlfn.IFNA(VLOOKUP(C249,Data!A:G,5,FALSE),""))</f>
        <v xml:space="preserve">This course is designed for MS &amp; PhD students doing semiconductor research (including Engineering students, who are welcome!). A knowledge of elementary quantum mechanics &amp; elementary statistical physics is assumed. Some knowledge of elementary solid state physics would be helpful, but isn't essential. It would be helpful (but it isn't vital) to have had a solid state physics course similar to our Physics 545.
</v>
      </c>
      <c r="J249" s="33" t="str">
        <f>IF(_xlfn.IFNA(VLOOKUP(C249,Data!A:G,6,FALSE),"")=0, "Check course registration information", _xlfn.IFNA(VLOOKUP(C249,Data!A:G,6,FALSE),""))</f>
        <v>This course will explore the basic physics and material properties of modern semiconductor nanostructures. Particular emphasis will be placed on fabrication techniques for semiconducting quantum wells, wires, and dots. Fundamental and practical aspects of molecular beam epitaxy and chemical vapor deposition will be covered. State-of-the-art nanomaterial structural characterization techniques will be reviewed. The impact of reduced dimensionality on the electrical and optical properties of nanostructures will be studied. The close connection between fundamental physics and the implementation of new device concepts will be illustrated in some detail with examples from photonic devices.</v>
      </c>
      <c r="K249" s="33" t="str">
        <f>IF(_xlfn.IFNA(VLOOKUP(C249,Data!A:H,7,FALSE),"")=0, "", _xlfn.IFNA(HYPERLINK(VLOOKUP(C249,Data!A:H,7,FALSE),"Catalog Link"),""))</f>
        <v>Catalog Link</v>
      </c>
      <c r="L249" s="33" t="str">
        <f>IF(_xlfn.IFNA(VLOOKUP(C249,Data!A:I,8,FALSE),"")=0, "", _xlfn.IFNA(HYPERLINK(VLOOKUP(C249,Data!A:I,8,FALSE),"Additional Information"),""))</f>
        <v>Additional Information</v>
      </c>
      <c r="M249" s="34">
        <f t="shared" si="4"/>
        <v>2</v>
      </c>
      <c r="N249" s="42" t="s">
        <v>63</v>
      </c>
      <c r="O249" s="42" t="s">
        <v>63</v>
      </c>
      <c r="P249" s="42" t="s">
        <v>63</v>
      </c>
      <c r="Q249" s="42" t="s">
        <v>63</v>
      </c>
      <c r="R249" s="42" t="s">
        <v>63</v>
      </c>
      <c r="S249" s="42" t="s">
        <v>63</v>
      </c>
      <c r="T249" s="42" t="s">
        <v>63</v>
      </c>
      <c r="U249" s="42" t="s">
        <v>63</v>
      </c>
      <c r="V249" s="42" t="s">
        <v>63</v>
      </c>
      <c r="W249" s="42" t="s">
        <v>63</v>
      </c>
      <c r="X249" s="42" t="s">
        <v>63</v>
      </c>
      <c r="Y249" s="42" t="s">
        <v>63</v>
      </c>
      <c r="Z249" s="42" t="s">
        <v>63</v>
      </c>
      <c r="AA249" s="42" t="s">
        <v>63</v>
      </c>
      <c r="AB249" s="42" t="s">
        <v>63</v>
      </c>
      <c r="AC249" s="42"/>
      <c r="AD249" s="42" t="s">
        <v>63</v>
      </c>
      <c r="AE249" s="42" t="s">
        <v>63</v>
      </c>
      <c r="AF249" s="42" t="s">
        <v>63</v>
      </c>
      <c r="AG249" s="42" t="s">
        <v>63</v>
      </c>
      <c r="AH249" s="42" t="s">
        <v>63</v>
      </c>
      <c r="AI249" s="42"/>
      <c r="AJ249" s="42" t="s">
        <v>63</v>
      </c>
      <c r="AK249" s="42"/>
      <c r="AL249" s="42" t="s">
        <v>63</v>
      </c>
      <c r="AM249" s="42"/>
      <c r="AN249" s="42" t="s">
        <v>63</v>
      </c>
      <c r="AO249" s="42" t="s">
        <v>63</v>
      </c>
      <c r="AP249" s="42" t="s">
        <v>63</v>
      </c>
      <c r="AQ249" s="42" t="s">
        <v>63</v>
      </c>
      <c r="AR249" s="42"/>
      <c r="AS249" s="42" t="s">
        <v>63</v>
      </c>
      <c r="AT249" s="42" t="s">
        <v>63</v>
      </c>
      <c r="AU249" s="42"/>
      <c r="AV249" s="42"/>
      <c r="AW249" s="42" t="s">
        <v>63</v>
      </c>
      <c r="AX249" s="42" t="s">
        <v>63</v>
      </c>
      <c r="AY249" s="42" t="s">
        <v>63</v>
      </c>
      <c r="AZ249" s="42" t="s">
        <v>63</v>
      </c>
      <c r="BA249" s="42"/>
      <c r="BB249" s="42" t="s">
        <v>64</v>
      </c>
      <c r="BC249" s="42" t="s">
        <v>63</v>
      </c>
      <c r="BD249" s="42" t="s">
        <v>63</v>
      </c>
      <c r="BE249" s="42" t="s">
        <v>63</v>
      </c>
      <c r="BF249" s="42" t="s">
        <v>64</v>
      </c>
      <c r="BG249" s="42" t="s">
        <v>63</v>
      </c>
      <c r="BH249" s="42" t="s">
        <v>63</v>
      </c>
      <c r="BI249" s="42" t="s">
        <v>63</v>
      </c>
      <c r="BJ249" s="42" t="s">
        <v>63</v>
      </c>
      <c r="BK249" s="42" t="s">
        <v>63</v>
      </c>
      <c r="BL249" s="42" t="s">
        <v>63</v>
      </c>
    </row>
    <row r="250" spans="1:64">
      <c r="A250" s="33" t="s">
        <v>1177</v>
      </c>
      <c r="B250" s="34" t="s">
        <v>544</v>
      </c>
      <c r="C250" s="34" t="s">
        <v>544</v>
      </c>
      <c r="D250" s="33" t="s">
        <v>545</v>
      </c>
      <c r="E250" s="34">
        <f>IF(_xlfn.IFNA(VLOOKUP(B250,Data!B:G,3,FALSE),"")=0, "", _xlfn.IFNA(VLOOKUP(B250,Data!B:G,3,FALSE),""))</f>
        <v>3</v>
      </c>
      <c r="F250" s="33" t="s">
        <v>1175</v>
      </c>
      <c r="G250" s="33"/>
      <c r="H250" s="33" t="str">
        <f>IF(_xlfn.IFNA(VLOOKUP(C250,Data!A:G,5,FALSE),"")=0, "Check course registration information", _xlfn.IFNA(VLOOKUP(C250,Data!A:G,5,FALSE),""))</f>
        <v>A physics background in mechanics at the level of PHYS 310 or 410, and quantum mechanics at the level of PHYS 342 (or higher) is required. A practical programming experience is highly desirable though formal computer science course such as CS 150 (Fortran) or CS 180 (C) can be tolerated as substitutes.</v>
      </c>
      <c r="J250" s="33" t="str">
        <f>IF(_xlfn.IFNA(VLOOKUP(C250,Data!A:G,6,FALSE),"")=0, "Check course registration information", _xlfn.IFNA(VLOOKUP(C250,Data!A:G,6,FALSE),""))</f>
        <v>Numerical methods applied to physics problems. Root finding, interpolation, numerical differentiation and integration. Ordinary differential equations: Euler, Runge-Kutta methods, adaptive step size. Linear algebra: matrix methods, eigenvalues. Partial differential equations: finite difference methods. Monte Carlo methods: random walk, integration, statistical mechanics simulation. Molecular dynamics. Introduction to machine learning for physics. Programming in Python.</v>
      </c>
      <c r="K250" s="33" t="str">
        <f>IF(_xlfn.IFNA(VLOOKUP(C250,Data!A:H,7,FALSE),"")=0, "", _xlfn.IFNA(HYPERLINK(VLOOKUP(C250,Data!A:H,7,FALSE),"Catalog Link"),""))</f>
        <v>Catalog Link</v>
      </c>
      <c r="L250" s="33" t="str">
        <f>IF(_xlfn.IFNA(VLOOKUP(C250,Data!A:I,8,FALSE),"")=0, "", _xlfn.IFNA(HYPERLINK(VLOOKUP(C250,Data!A:I,8,FALSE),"Additional Information"),""))</f>
        <v>Additional Information</v>
      </c>
      <c r="M250" s="34">
        <f t="shared" si="4"/>
        <v>1</v>
      </c>
      <c r="N250" s="42" t="s">
        <v>63</v>
      </c>
      <c r="O250" s="42" t="s">
        <v>63</v>
      </c>
      <c r="P250" s="42" t="s">
        <v>63</v>
      </c>
      <c r="Q250" s="42" t="s">
        <v>63</v>
      </c>
      <c r="R250" s="42" t="s">
        <v>63</v>
      </c>
      <c r="S250" s="42" t="s">
        <v>63</v>
      </c>
      <c r="T250" s="42" t="s">
        <v>63</v>
      </c>
      <c r="U250" s="42" t="s">
        <v>64</v>
      </c>
      <c r="V250" s="42" t="s">
        <v>63</v>
      </c>
      <c r="W250" s="42" t="s">
        <v>63</v>
      </c>
      <c r="X250" s="42" t="s">
        <v>63</v>
      </c>
      <c r="Y250" s="42" t="s">
        <v>63</v>
      </c>
      <c r="Z250" s="42" t="s">
        <v>63</v>
      </c>
      <c r="AA250" s="43" t="s">
        <v>63</v>
      </c>
      <c r="AB250" s="42" t="s">
        <v>63</v>
      </c>
      <c r="AC250" s="42"/>
      <c r="AD250" s="42" t="s">
        <v>63</v>
      </c>
      <c r="AE250" s="42" t="s">
        <v>63</v>
      </c>
      <c r="AF250" s="42" t="s">
        <v>63</v>
      </c>
      <c r="AG250" s="42" t="s">
        <v>63</v>
      </c>
      <c r="AH250" s="42" t="s">
        <v>63</v>
      </c>
      <c r="AI250" s="42"/>
      <c r="AJ250" s="42" t="s">
        <v>63</v>
      </c>
      <c r="AK250" s="42"/>
      <c r="AL250" s="42" t="s">
        <v>63</v>
      </c>
      <c r="AM250" s="42"/>
      <c r="AN250" s="42" t="s">
        <v>63</v>
      </c>
      <c r="AO250" s="42" t="s">
        <v>63</v>
      </c>
      <c r="AP250" s="42" t="s">
        <v>63</v>
      </c>
      <c r="AQ250" s="42" t="s">
        <v>63</v>
      </c>
      <c r="AR250" s="42"/>
      <c r="AS250" s="42" t="s">
        <v>63</v>
      </c>
      <c r="AT250" s="42" t="s">
        <v>63</v>
      </c>
      <c r="AU250" s="42"/>
      <c r="AV250" s="42"/>
      <c r="AW250" s="42" t="s">
        <v>63</v>
      </c>
      <c r="AX250" s="42" t="s">
        <v>63</v>
      </c>
      <c r="AY250" s="42" t="s">
        <v>63</v>
      </c>
      <c r="AZ250" s="42" t="s">
        <v>63</v>
      </c>
      <c r="BA250" s="42"/>
      <c r="BB250" s="42" t="s">
        <v>63</v>
      </c>
      <c r="BC250" s="42" t="s">
        <v>63</v>
      </c>
      <c r="BD250" s="42" t="s">
        <v>63</v>
      </c>
      <c r="BE250" s="42" t="s">
        <v>63</v>
      </c>
      <c r="BF250" s="42" t="s">
        <v>63</v>
      </c>
      <c r="BG250" s="42" t="s">
        <v>63</v>
      </c>
      <c r="BH250" s="42" t="s">
        <v>63</v>
      </c>
      <c r="BI250" s="42" t="s">
        <v>63</v>
      </c>
      <c r="BJ250" s="42" t="s">
        <v>63</v>
      </c>
      <c r="BK250" s="42" t="s">
        <v>63</v>
      </c>
      <c r="BL250" s="42" t="s">
        <v>63</v>
      </c>
    </row>
    <row r="251" spans="1:64">
      <c r="A251" s="33" t="s">
        <v>1176</v>
      </c>
      <c r="B251" s="34" t="s">
        <v>1555</v>
      </c>
      <c r="C251" s="34" t="s">
        <v>1555</v>
      </c>
      <c r="D251" s="33" t="s">
        <v>1557</v>
      </c>
      <c r="E251" s="34">
        <f>IF(_xlfn.IFNA(VLOOKUP(B251,Data!B:G,3,FALSE),"")=0, "", _xlfn.IFNA(VLOOKUP(B251,Data!B:G,3,FALSE),""))</f>
        <v>3</v>
      </c>
      <c r="F251" s="66" t="s">
        <v>348</v>
      </c>
      <c r="H251" s="66" t="str">
        <f>IF(_xlfn.IFNA(VLOOKUP(C251,Data!A:G,5,FALSE),"")=0, "Check course registration information", _xlfn.IFNA(VLOOKUP(C251,Data!A:G,5,FALSE),""))</f>
        <v>ECON 26000 or ECON 36000 or ECON E2700 or MGMT 30500 or STAT 35000</v>
      </c>
      <c r="J251" s="33" t="str">
        <f>IF(_xlfn.IFNA(VLOOKUP(C251,Data!A:G,6,FALSE),"")=0, "Check course registration information", _xlfn.IFNA(VLOOKUP(C251,Data!A:G,6,FALSE),""))</f>
        <v>The course is an undergraduate elective offered as part of the Center for Manufacturing Management Enterprises (CMME) quality initiatives. Provides an overview of various tools and methods for total quality management</v>
      </c>
      <c r="K251" s="33" t="str">
        <f>IF(_xlfn.IFNA(VLOOKUP(C251,Data!A:H,7,FALSE),"")=0, "", _xlfn.IFNA(HYPERLINK(VLOOKUP(C251,Data!A:H,7,FALSE),"Catalog Link"),""))</f>
        <v>Catalog Link</v>
      </c>
      <c r="L251" s="33" t="str">
        <f>IF(_xlfn.IFNA(VLOOKUP(C251,Data!A:I,8,FALSE),"")=0, "", _xlfn.IFNA(HYPERLINK(VLOOKUP(C251,Data!A:I,8,FALSE),"Additional Information"),""))</f>
        <v/>
      </c>
      <c r="M251" s="34">
        <f t="shared" si="4"/>
        <v>4</v>
      </c>
      <c r="N251" s="42" t="s">
        <v>63</v>
      </c>
      <c r="O251" s="42" t="s">
        <v>63</v>
      </c>
      <c r="P251" s="42" t="s">
        <v>63</v>
      </c>
      <c r="Q251" s="42" t="s">
        <v>63</v>
      </c>
      <c r="R251" s="42" t="s">
        <v>63</v>
      </c>
      <c r="S251" s="42" t="s">
        <v>63</v>
      </c>
      <c r="T251" s="42"/>
      <c r="U251" s="42" t="s">
        <v>64</v>
      </c>
      <c r="V251" s="42" t="s">
        <v>63</v>
      </c>
      <c r="W251" s="42" t="s">
        <v>63</v>
      </c>
      <c r="X251" s="42" t="s">
        <v>63</v>
      </c>
      <c r="Y251" s="42" t="s">
        <v>63</v>
      </c>
      <c r="Z251" s="42" t="s">
        <v>63</v>
      </c>
      <c r="AA251" s="42" t="s">
        <v>63</v>
      </c>
      <c r="AB251" s="42" t="s">
        <v>63</v>
      </c>
      <c r="AC251" s="42"/>
      <c r="AD251" s="42" t="s">
        <v>63</v>
      </c>
      <c r="AE251" s="42" t="s">
        <v>63</v>
      </c>
      <c r="AF251" s="42" t="s">
        <v>63</v>
      </c>
      <c r="AG251" s="42" t="s">
        <v>63</v>
      </c>
      <c r="AH251" s="42" t="s">
        <v>64</v>
      </c>
      <c r="AI251" s="42"/>
      <c r="AJ251" s="42" t="s">
        <v>63</v>
      </c>
      <c r="AK251" s="42"/>
      <c r="AL251" s="42" t="s">
        <v>63</v>
      </c>
      <c r="AM251" s="42"/>
      <c r="AN251" s="42" t="s">
        <v>63</v>
      </c>
      <c r="AO251" s="42" t="s">
        <v>63</v>
      </c>
      <c r="AP251" s="42" t="s">
        <v>63</v>
      </c>
      <c r="AQ251" s="42" t="s">
        <v>63</v>
      </c>
      <c r="AR251" s="42"/>
      <c r="AS251" s="42" t="s">
        <v>63</v>
      </c>
      <c r="AT251" s="42" t="s">
        <v>63</v>
      </c>
      <c r="AU251" s="42"/>
      <c r="AV251" s="42"/>
      <c r="AW251" s="42" t="s">
        <v>63</v>
      </c>
      <c r="AX251" s="42" t="s">
        <v>63</v>
      </c>
      <c r="AY251" s="42" t="s">
        <v>63</v>
      </c>
      <c r="AZ251" s="42" t="s">
        <v>63</v>
      </c>
      <c r="BA251" s="42"/>
      <c r="BB251" s="42" t="s">
        <v>63</v>
      </c>
      <c r="BC251" s="42" t="s">
        <v>63</v>
      </c>
      <c r="BD251" s="42" t="s">
        <v>64</v>
      </c>
      <c r="BE251" s="42" t="s">
        <v>63</v>
      </c>
      <c r="BF251" s="42" t="s">
        <v>63</v>
      </c>
      <c r="BG251" s="42" t="s">
        <v>64</v>
      </c>
      <c r="BH251" s="42" t="s">
        <v>63</v>
      </c>
      <c r="BI251" s="42" t="s">
        <v>63</v>
      </c>
      <c r="BJ251" s="42" t="s">
        <v>63</v>
      </c>
      <c r="BK251" s="42" t="s">
        <v>63</v>
      </c>
      <c r="BL251" s="42" t="s">
        <v>63</v>
      </c>
    </row>
    <row r="252" spans="1:64">
      <c r="A252" s="33" t="s">
        <v>1176</v>
      </c>
      <c r="B252" s="34" t="s">
        <v>1548</v>
      </c>
      <c r="C252" s="34" t="str">
        <f>B252</f>
        <v>QM 47300</v>
      </c>
      <c r="D252" s="33" t="s">
        <v>1549</v>
      </c>
      <c r="E252" s="34">
        <f>IF(_xlfn.IFNA(VLOOKUP(B252,Data!B:G,3,FALSE),"")=0, "", _xlfn.IFNA(VLOOKUP(B252,Data!B:G,3,FALSE),""))</f>
        <v>3</v>
      </c>
      <c r="F252" s="66" t="s">
        <v>348</v>
      </c>
      <c r="H252" s="66" t="str">
        <f>IF(_xlfn.IFNA(VLOOKUP(C252,Data!A:G,5,FALSE),"")=0, "Check course registration information", _xlfn.IFNA(VLOOKUP(C252,Data!A:G,5,FALSE),""))</f>
        <v>ECON 26000 or ECON 36000 or MGMT 30500 or STAT 35000 or STAT 41600 or STAT 50100 or STAT 51100</v>
      </c>
      <c r="J252" s="33" t="str">
        <f>IF(_xlfn.IFNA(VLOOKUP(C252,Data!A:G,6,FALSE),"")=0, "Check course registration information", _xlfn.IFNA(VLOOKUP(C252,Data!A:G,6,FALSE),""))</f>
        <v>Students follow a structured analytical process using popular industry tools (e.g., RStudio, Tableau, SQL) to identify, visualize, and summarize relationships within large data sets to support business problems. More focus is on descriptive analytics which includes business segmentation and clustering methods, but also introduces two predictive analytic methods, decision trees, and neural networks</v>
      </c>
      <c r="K252" s="33" t="str">
        <f>IF(_xlfn.IFNA(VLOOKUP(C252,Data!A:H,7,FALSE),"")=0, "", _xlfn.IFNA(HYPERLINK(VLOOKUP(C252,Data!A:H,7,FALSE),"Catalog Link"),""))</f>
        <v>Catalog Link</v>
      </c>
      <c r="L252" s="33" t="str">
        <f>IF(_xlfn.IFNA(VLOOKUP(C252,Data!A:I,8,FALSE),"")=0, "", _xlfn.IFNA(HYPERLINK(VLOOKUP(C252,Data!A:I,8,FALSE),"Additional Information"),""))</f>
        <v/>
      </c>
      <c r="M252" s="34">
        <f t="shared" si="4"/>
        <v>1</v>
      </c>
      <c r="N252" s="42" t="s">
        <v>63</v>
      </c>
      <c r="O252" s="42" t="s">
        <v>63</v>
      </c>
      <c r="P252" s="42" t="s">
        <v>63</v>
      </c>
      <c r="Q252" s="42" t="s">
        <v>63</v>
      </c>
      <c r="R252" s="42" t="s">
        <v>63</v>
      </c>
      <c r="S252" s="42" t="s">
        <v>63</v>
      </c>
      <c r="T252" s="42"/>
      <c r="U252" s="42" t="s">
        <v>64</v>
      </c>
      <c r="V252" s="42" t="s">
        <v>63</v>
      </c>
      <c r="W252" s="42" t="s">
        <v>63</v>
      </c>
      <c r="X252" s="42" t="s">
        <v>63</v>
      </c>
      <c r="Y252" s="42" t="s">
        <v>63</v>
      </c>
      <c r="Z252" s="42" t="s">
        <v>63</v>
      </c>
      <c r="AA252" s="42" t="s">
        <v>63</v>
      </c>
      <c r="AB252" s="42" t="s">
        <v>63</v>
      </c>
      <c r="AC252" s="42"/>
      <c r="AD252" s="42" t="s">
        <v>63</v>
      </c>
      <c r="AE252" s="42" t="s">
        <v>63</v>
      </c>
      <c r="AF252" s="42" t="s">
        <v>63</v>
      </c>
      <c r="AG252" s="42" t="s">
        <v>63</v>
      </c>
      <c r="AH252" s="42" t="s">
        <v>63</v>
      </c>
      <c r="AI252" s="42"/>
      <c r="AJ252" s="42" t="s">
        <v>63</v>
      </c>
      <c r="AK252" s="42"/>
      <c r="AL252" s="42" t="s">
        <v>63</v>
      </c>
      <c r="AM252" s="42"/>
      <c r="AN252" s="42" t="s">
        <v>63</v>
      </c>
      <c r="AO252" s="42" t="s">
        <v>63</v>
      </c>
      <c r="AP252" s="42" t="s">
        <v>63</v>
      </c>
      <c r="AQ252" s="42" t="s">
        <v>63</v>
      </c>
      <c r="AR252" s="42"/>
      <c r="AS252" s="42" t="s">
        <v>63</v>
      </c>
      <c r="AT252" s="42" t="s">
        <v>63</v>
      </c>
      <c r="AU252" s="42"/>
      <c r="AV252" s="42"/>
      <c r="AW252" s="42" t="s">
        <v>63</v>
      </c>
      <c r="AX252" s="42" t="s">
        <v>63</v>
      </c>
      <c r="AY252" s="42" t="s">
        <v>63</v>
      </c>
      <c r="AZ252" s="42" t="s">
        <v>63</v>
      </c>
      <c r="BA252" s="42"/>
      <c r="BB252" s="42" t="s">
        <v>63</v>
      </c>
      <c r="BC252" s="42" t="s">
        <v>63</v>
      </c>
      <c r="BD252" s="42" t="s">
        <v>63</v>
      </c>
      <c r="BE252" s="42" t="s">
        <v>63</v>
      </c>
      <c r="BF252" s="42" t="s">
        <v>63</v>
      </c>
      <c r="BG252" s="42" t="s">
        <v>63</v>
      </c>
      <c r="BH252" s="42" t="s">
        <v>63</v>
      </c>
      <c r="BI252" s="42" t="s">
        <v>63</v>
      </c>
      <c r="BJ252" s="42" t="s">
        <v>63</v>
      </c>
      <c r="BK252" s="42" t="s">
        <v>63</v>
      </c>
      <c r="BL252" s="42" t="s">
        <v>63</v>
      </c>
    </row>
    <row r="253" spans="1:64" s="36" customFormat="1" ht="15.75">
      <c r="A253" s="33" t="s">
        <v>1176</v>
      </c>
      <c r="B253" s="34" t="s">
        <v>1550</v>
      </c>
      <c r="C253" s="34" t="s">
        <v>1550</v>
      </c>
      <c r="D253" s="33" t="s">
        <v>1551</v>
      </c>
      <c r="E253" s="34">
        <f>IF(_xlfn.IFNA(VLOOKUP(B253,Data!B:G,3,FALSE),"")=0, "", _xlfn.IFNA(VLOOKUP(B253,Data!B:G,3,FALSE),""))</f>
        <v>3</v>
      </c>
      <c r="F253" s="66" t="s">
        <v>348</v>
      </c>
      <c r="G253" s="44"/>
      <c r="H253" s="66" t="str">
        <f>IF(_xlfn.IFNA(VLOOKUP(C253,Data!A:G,5,FALSE),"")=0, "Check course registration information", _xlfn.IFNA(VLOOKUP(C253,Data!A:G,5,FALSE),""))</f>
        <v>ECON 26000 or ECON 36000 or MGMT 30500 or STAT 35000 or STAT 50100 or STAT 51100</v>
      </c>
      <c r="I253" s="33"/>
      <c r="J253" s="33" t="str">
        <f>IF(_xlfn.IFNA(VLOOKUP(C253,Data!A:G,6,FALSE),"")=0, "Check course registration information", _xlfn.IFNA(VLOOKUP(C253,Data!A:G,6,FALSE),""))</f>
        <v>Students build and evaluate predictive models to support regression-type and classification-type business problems using popular industry tools (e.g., RStudio, SAS Enterprise Miner). Methods covered include multiple linear regression, ridge regression, lasso, CART, logistic regression, LDA/QDA, SVM, and ensemble methods such as random forests</v>
      </c>
      <c r="K253" s="33" t="str">
        <f>IF(_xlfn.IFNA(VLOOKUP(C253,Data!A:H,7,FALSE),"")=0, "", _xlfn.IFNA(HYPERLINK(VLOOKUP(C253,Data!A:H,7,FALSE),"Catalog Link"),""))</f>
        <v>Catalog Link</v>
      </c>
      <c r="L253" s="33" t="str">
        <f>IF(_xlfn.IFNA(VLOOKUP(C253,Data!A:I,8,FALSE),"")=0, "", _xlfn.IFNA(HYPERLINK(VLOOKUP(C253,Data!A:I,8,FALSE),"Additional Information"),""))</f>
        <v/>
      </c>
      <c r="M253" s="34">
        <f t="shared" si="4"/>
        <v>2</v>
      </c>
      <c r="N253" s="42" t="s">
        <v>63</v>
      </c>
      <c r="O253" s="42" t="s">
        <v>63</v>
      </c>
      <c r="P253" s="42" t="s">
        <v>63</v>
      </c>
      <c r="Q253" s="42" t="s">
        <v>63</v>
      </c>
      <c r="R253" s="42" t="s">
        <v>63</v>
      </c>
      <c r="S253" s="42" t="s">
        <v>63</v>
      </c>
      <c r="T253" s="42"/>
      <c r="U253" s="42" t="s">
        <v>64</v>
      </c>
      <c r="V253" s="42" t="s">
        <v>63</v>
      </c>
      <c r="W253" s="42" t="s">
        <v>63</v>
      </c>
      <c r="X253" s="42" t="s">
        <v>63</v>
      </c>
      <c r="Y253" s="42" t="s">
        <v>63</v>
      </c>
      <c r="Z253" s="42" t="s">
        <v>63</v>
      </c>
      <c r="AA253" s="42" t="s">
        <v>63</v>
      </c>
      <c r="AB253" s="42" t="s">
        <v>63</v>
      </c>
      <c r="AC253" s="42"/>
      <c r="AD253" s="42" t="s">
        <v>63</v>
      </c>
      <c r="AE253" s="42" t="s">
        <v>63</v>
      </c>
      <c r="AF253" s="42" t="s">
        <v>63</v>
      </c>
      <c r="AG253" s="42" t="s">
        <v>63</v>
      </c>
      <c r="AH253" s="42" t="s">
        <v>63</v>
      </c>
      <c r="AI253" s="42"/>
      <c r="AJ253" s="42" t="s">
        <v>63</v>
      </c>
      <c r="AK253" s="42"/>
      <c r="AL253" s="42" t="s">
        <v>63</v>
      </c>
      <c r="AM253" s="42"/>
      <c r="AN253" s="42" t="s">
        <v>63</v>
      </c>
      <c r="AO253" s="42" t="s">
        <v>63</v>
      </c>
      <c r="AP253" s="42" t="s">
        <v>63</v>
      </c>
      <c r="AQ253" s="42" t="s">
        <v>63</v>
      </c>
      <c r="AR253" s="42"/>
      <c r="AS253" s="42" t="s">
        <v>63</v>
      </c>
      <c r="AT253" s="42" t="s">
        <v>63</v>
      </c>
      <c r="AU253" s="42"/>
      <c r="AV253" s="42"/>
      <c r="AW253" s="42" t="s">
        <v>63</v>
      </c>
      <c r="AX253" s="42" t="s">
        <v>63</v>
      </c>
      <c r="AY253" s="42" t="s">
        <v>63</v>
      </c>
      <c r="AZ253" s="42" t="s">
        <v>63</v>
      </c>
      <c r="BA253" s="42"/>
      <c r="BB253" s="42" t="s">
        <v>63</v>
      </c>
      <c r="BC253" s="42" t="s">
        <v>63</v>
      </c>
      <c r="BD253" s="42" t="s">
        <v>64</v>
      </c>
      <c r="BE253" s="42" t="s">
        <v>63</v>
      </c>
      <c r="BF253" s="42" t="s">
        <v>63</v>
      </c>
      <c r="BG253" s="42" t="s">
        <v>63</v>
      </c>
      <c r="BH253" s="42" t="s">
        <v>63</v>
      </c>
      <c r="BI253" s="42" t="s">
        <v>63</v>
      </c>
      <c r="BJ253" s="42" t="s">
        <v>63</v>
      </c>
      <c r="BK253" s="42" t="s">
        <v>63</v>
      </c>
      <c r="BL253" s="42" t="s">
        <v>63</v>
      </c>
    </row>
    <row r="254" spans="1:64">
      <c r="A254" s="33" t="s">
        <v>1176</v>
      </c>
      <c r="B254" s="34" t="s">
        <v>1553</v>
      </c>
      <c r="C254" s="34" t="s">
        <v>1553</v>
      </c>
      <c r="D254" s="33" t="s">
        <v>1554</v>
      </c>
      <c r="E254" s="34">
        <f>IF(_xlfn.IFNA(VLOOKUP(B254,Data!B:G,3,FALSE),"")=0, "", _xlfn.IFNA(VLOOKUP(B254,Data!B:G,3,FALSE),""))</f>
        <v>3</v>
      </c>
      <c r="F254" s="66" t="s">
        <v>348</v>
      </c>
      <c r="H254" s="66" t="str">
        <f>IF(_xlfn.IFNA(VLOOKUP(C254,Data!A:G,5,FALSE),"")=0, "Check course registration information", _xlfn.IFNA(VLOOKUP(C254,Data!A:G,5,FALSE),""))</f>
        <v>Junior status and above</v>
      </c>
      <c r="J254" s="33" t="str">
        <f>IF(_xlfn.IFNA(VLOOKUP(C254,Data!A:G,6,FALSE),"")=0, "Check course registration information", _xlfn.IFNA(VLOOKUP(C254,Data!A:G,6,FALSE),""))</f>
        <v>This course introduces general concepts in supply chain management, including procurement, supply planning, demand planning, and logistics, using state-of-the-art tools in predictive analytics, artificial intelligence, and optimization. This course is designed around a corporate partnership to provide students with the opportunity to work on a real-world case presented by the corporate partner, a complex problem broken down into several learning areas throughout the semester</v>
      </c>
      <c r="K254" s="33" t="str">
        <f>IF(_xlfn.IFNA(VLOOKUP(C254,Data!A:H,7,FALSE),"")=0, "", _xlfn.IFNA(HYPERLINK(VLOOKUP(C254,Data!A:H,7,FALSE),"Catalog Link"),""))</f>
        <v>Catalog Link</v>
      </c>
      <c r="L254" s="33" t="str">
        <f>IF(_xlfn.IFNA(VLOOKUP(C254,Data!A:I,8,FALSE),"")=0, "", _xlfn.IFNA(HYPERLINK(VLOOKUP(C254,Data!A:I,8,FALSE),"Additional Information"),""))</f>
        <v/>
      </c>
      <c r="M254" s="34">
        <f t="shared" si="4"/>
        <v>1</v>
      </c>
      <c r="N254" s="42" t="s">
        <v>63</v>
      </c>
      <c r="O254" s="42" t="s">
        <v>63</v>
      </c>
      <c r="P254" s="42" t="s">
        <v>63</v>
      </c>
      <c r="Q254" s="42" t="s">
        <v>63</v>
      </c>
      <c r="R254" s="42" t="s">
        <v>63</v>
      </c>
      <c r="S254" s="42" t="s">
        <v>63</v>
      </c>
      <c r="T254" s="42" t="s">
        <v>63</v>
      </c>
      <c r="U254" s="42" t="s">
        <v>63</v>
      </c>
      <c r="V254" s="42" t="s">
        <v>63</v>
      </c>
      <c r="W254" s="42" t="s">
        <v>63</v>
      </c>
      <c r="X254" s="42" t="s">
        <v>63</v>
      </c>
      <c r="Y254" s="42" t="s">
        <v>63</v>
      </c>
      <c r="Z254" s="42" t="s">
        <v>63</v>
      </c>
      <c r="AA254" s="42" t="s">
        <v>63</v>
      </c>
      <c r="AB254" s="42" t="s">
        <v>63</v>
      </c>
      <c r="AC254" s="42"/>
      <c r="AD254" s="42" t="s">
        <v>63</v>
      </c>
      <c r="AE254" s="42" t="s">
        <v>63</v>
      </c>
      <c r="AF254" s="42" t="s">
        <v>63</v>
      </c>
      <c r="AG254" s="42" t="s">
        <v>63</v>
      </c>
      <c r="AH254" s="42" t="s">
        <v>63</v>
      </c>
      <c r="AI254" s="42"/>
      <c r="AJ254" s="42" t="s">
        <v>63</v>
      </c>
      <c r="AK254" s="42"/>
      <c r="AL254" s="42" t="s">
        <v>63</v>
      </c>
      <c r="AM254" s="42"/>
      <c r="AN254" s="42" t="s">
        <v>63</v>
      </c>
      <c r="AO254" s="42" t="s">
        <v>63</v>
      </c>
      <c r="AP254" s="42" t="s">
        <v>63</v>
      </c>
      <c r="AQ254" s="42" t="s">
        <v>63</v>
      </c>
      <c r="AR254" s="42"/>
      <c r="AS254" s="42" t="s">
        <v>63</v>
      </c>
      <c r="AT254" s="42" t="s">
        <v>63</v>
      </c>
      <c r="AU254" s="42"/>
      <c r="AV254" s="42"/>
      <c r="AW254" s="42" t="s">
        <v>63</v>
      </c>
      <c r="AX254" s="42" t="s">
        <v>63</v>
      </c>
      <c r="AY254" s="42" t="s">
        <v>63</v>
      </c>
      <c r="AZ254" s="42" t="s">
        <v>63</v>
      </c>
      <c r="BA254" s="42"/>
      <c r="BB254" s="42" t="s">
        <v>63</v>
      </c>
      <c r="BC254" s="42" t="s">
        <v>63</v>
      </c>
      <c r="BD254" s="42" t="s">
        <v>63</v>
      </c>
      <c r="BE254" s="42" t="s">
        <v>63</v>
      </c>
      <c r="BF254" s="42" t="s">
        <v>63</v>
      </c>
      <c r="BG254" s="42" t="s">
        <v>64</v>
      </c>
      <c r="BH254" s="42" t="s">
        <v>63</v>
      </c>
      <c r="BI254" s="42" t="s">
        <v>63</v>
      </c>
      <c r="BJ254" s="42" t="s">
        <v>63</v>
      </c>
      <c r="BK254" s="42" t="s">
        <v>63</v>
      </c>
      <c r="BL254" s="42" t="s">
        <v>63</v>
      </c>
    </row>
    <row r="255" spans="1:64">
      <c r="A255" s="33" t="s">
        <v>1176</v>
      </c>
      <c r="B255" s="34" t="s">
        <v>1556</v>
      </c>
      <c r="C255" s="34" t="s">
        <v>1556</v>
      </c>
      <c r="D255" s="33" t="s">
        <v>1558</v>
      </c>
      <c r="E255" s="34">
        <f>IF(_xlfn.IFNA(VLOOKUP(B255,Data!B:G,3,FALSE),"")=0, "", _xlfn.IFNA(VLOOKUP(B255,Data!B:G,3,FALSE),""))</f>
        <v>3</v>
      </c>
      <c r="F255" s="66" t="s">
        <v>348</v>
      </c>
      <c r="H255" s="66" t="str">
        <f>IF(_xlfn.IFNA(VLOOKUP(C255,Data!A:G,5,FALSE),"")=0, "Check course registration information", _xlfn.IFNA(VLOOKUP(C255,Data!A:G,5,FALSE),""))</f>
        <v>MGMT 36100</v>
      </c>
      <c r="J255" s="33" t="str">
        <f>IF(_xlfn.IFNA(VLOOKUP(C255,Data!A:G,6,FALSE),"")=0, "Check course registration information", _xlfn.IFNA(VLOOKUP(C255,Data!A:G,6,FALSE),""))</f>
        <v>The course examines key concepts in the planning, control, and improvement of processes in manufacturing and service operations. Specific topics covered in the course include: (i) Product/service characteristics that provide value to customers and competitive priorities, (ii) Role of processes and key operations choices to support the competitive priorities, (iii) Process analysis and scheduling, (iv) Throughput principles to deal with adverse impacts of process uncertainties and bottlenecks, (v) Managing capacity and lead times, (vi) Throughput principles to deal with wastes and errors, including the Toyota Production System and Lean Operations, and (vii) Coordinating material/order flows in supply chain - MRP, and Resources and Production Planning - Aggregate Production Planning. The class uses a combination of lectures, cases, simulations, outside speakers, experiential exercises, and student presentations. An important component of the course is a hands-on exercise where students in teams of seven or eight design and run a production process to meet demand for a quality-conscious customer. The teams then present the lessons learned to the class</v>
      </c>
      <c r="K255" s="33" t="str">
        <f>IF(_xlfn.IFNA(VLOOKUP(C255,Data!A:H,7,FALSE),"")=0, "", _xlfn.IFNA(HYPERLINK(VLOOKUP(C255,Data!A:H,7,FALSE),"Catalog Link"),""))</f>
        <v>Catalog Link</v>
      </c>
      <c r="L255" s="33" t="str">
        <f>IF(_xlfn.IFNA(VLOOKUP(C255,Data!A:I,8,FALSE),"")=0, "", _xlfn.IFNA(HYPERLINK(VLOOKUP(C255,Data!A:I,8,FALSE),"Additional Information"),""))</f>
        <v/>
      </c>
      <c r="M255" s="34">
        <f t="shared" si="4"/>
        <v>2</v>
      </c>
      <c r="N255" s="42" t="s">
        <v>63</v>
      </c>
      <c r="O255" s="42" t="s">
        <v>63</v>
      </c>
      <c r="P255" s="42" t="s">
        <v>63</v>
      </c>
      <c r="Q255" s="42" t="s">
        <v>63</v>
      </c>
      <c r="R255" s="42" t="s">
        <v>63</v>
      </c>
      <c r="S255" s="42" t="s">
        <v>63</v>
      </c>
      <c r="T255" s="42" t="s">
        <v>63</v>
      </c>
      <c r="U255" s="42" t="s">
        <v>63</v>
      </c>
      <c r="V255" s="42" t="s">
        <v>63</v>
      </c>
      <c r="W255" s="42" t="s">
        <v>63</v>
      </c>
      <c r="X255" s="42" t="s">
        <v>63</v>
      </c>
      <c r="Y255" s="42" t="s">
        <v>63</v>
      </c>
      <c r="Z255" s="42" t="s">
        <v>63</v>
      </c>
      <c r="AA255" s="42" t="s">
        <v>63</v>
      </c>
      <c r="AB255" s="42" t="s">
        <v>63</v>
      </c>
      <c r="AC255" s="42"/>
      <c r="AD255" s="42" t="s">
        <v>63</v>
      </c>
      <c r="AE255" s="42" t="s">
        <v>63</v>
      </c>
      <c r="AF255" s="42" t="s">
        <v>63</v>
      </c>
      <c r="AG255" s="42" t="s">
        <v>63</v>
      </c>
      <c r="AH255" s="42" t="s">
        <v>64</v>
      </c>
      <c r="AI255" s="42"/>
      <c r="AJ255" s="42" t="s">
        <v>63</v>
      </c>
      <c r="AK255" s="42"/>
      <c r="AL255" s="42" t="s">
        <v>63</v>
      </c>
      <c r="AM255" s="42"/>
      <c r="AN255" s="42" t="s">
        <v>63</v>
      </c>
      <c r="AO255" s="42" t="s">
        <v>63</v>
      </c>
      <c r="AP255" s="42" t="s">
        <v>63</v>
      </c>
      <c r="AQ255" s="42" t="s">
        <v>63</v>
      </c>
      <c r="AR255" s="42" t="s">
        <v>64</v>
      </c>
      <c r="AS255" s="42" t="s">
        <v>63</v>
      </c>
      <c r="AT255" s="42" t="s">
        <v>63</v>
      </c>
      <c r="AU255" s="42"/>
      <c r="AV255" s="42"/>
      <c r="AW255" s="42" t="s">
        <v>63</v>
      </c>
      <c r="AX255" s="42" t="s">
        <v>63</v>
      </c>
      <c r="AY255" s="42" t="s">
        <v>63</v>
      </c>
      <c r="AZ255" s="42" t="s">
        <v>63</v>
      </c>
      <c r="BA255" s="42"/>
      <c r="BB255" s="42" t="s">
        <v>63</v>
      </c>
      <c r="BC255" s="42" t="s">
        <v>63</v>
      </c>
      <c r="BD255" s="42" t="s">
        <v>63</v>
      </c>
      <c r="BE255" s="42" t="s">
        <v>63</v>
      </c>
      <c r="BF255" s="42" t="s">
        <v>63</v>
      </c>
      <c r="BG255" s="42" t="s">
        <v>63</v>
      </c>
      <c r="BH255" s="42" t="s">
        <v>63</v>
      </c>
      <c r="BI255" s="42" t="s">
        <v>63</v>
      </c>
      <c r="BJ255" s="42" t="s">
        <v>63</v>
      </c>
      <c r="BK255" s="42" t="s">
        <v>63</v>
      </c>
      <c r="BL255" s="42" t="s">
        <v>63</v>
      </c>
    </row>
    <row r="256" spans="1:64">
      <c r="A256" s="33" t="s">
        <v>1176</v>
      </c>
      <c r="B256" s="34" t="s">
        <v>1559</v>
      </c>
      <c r="C256" s="34" t="s">
        <v>1559</v>
      </c>
      <c r="D256" s="33" t="s">
        <v>1560</v>
      </c>
      <c r="E256" s="34">
        <f>IF(_xlfn.IFNA(VLOOKUP(B256,Data!B:G,3,FALSE),"")=0, "", _xlfn.IFNA(VLOOKUP(B256,Data!B:G,3,FALSE),""))</f>
        <v>3</v>
      </c>
      <c r="F256" s="66" t="s">
        <v>348</v>
      </c>
      <c r="H256" s="66" t="str">
        <f>IF(_xlfn.IFNA(VLOOKUP(C256,Data!A:G,5,FALSE),"")=0, "Check course registration information", _xlfn.IFNA(VLOOKUP(C256,Data!A:G,5,FALSE),""))</f>
        <v>MGMT 36100 [concurrent ok]</v>
      </c>
      <c r="J256" s="33" t="str">
        <f>IF(_xlfn.IFNA(VLOOKUP(C256,Data!A:G,6,FALSE),"")=0, "Check course registration information", _xlfn.IFNA(VLOOKUP(C256,Data!A:G,6,FALSE),""))</f>
        <v>This course focuses on data-driven and rigorous decision-making in supply chain management. It is a complete problem-solving and decision-making process, and integrates a broad set of analytical methodologies (data analysis, optimization, and simulation). Students will implement these methodologies in both Excel and in Python, and they will learn how to use AI to augment and support their coding abilities. MGMT 30600 is highly recommended but not required. Basic Calculus, Statistics, and Excel literacy are required</v>
      </c>
      <c r="K256" s="33" t="str">
        <f>IF(_xlfn.IFNA(VLOOKUP(C256,Data!A:H,7,FALSE),"")=0, "", _xlfn.IFNA(HYPERLINK(VLOOKUP(C256,Data!A:H,7,FALSE),"Catalog Link"),""))</f>
        <v>Catalog Link</v>
      </c>
      <c r="L256" s="33" t="str">
        <f>IF(_xlfn.IFNA(VLOOKUP(C256,Data!A:I,8,FALSE),"")=0, "", _xlfn.IFNA(HYPERLINK(VLOOKUP(C256,Data!A:I,8,FALSE),"Additional Information"),""))</f>
        <v/>
      </c>
      <c r="M256" s="34">
        <f t="shared" si="4"/>
        <v>1</v>
      </c>
      <c r="N256" s="42" t="s">
        <v>63</v>
      </c>
      <c r="O256" s="42" t="s">
        <v>63</v>
      </c>
      <c r="P256" s="42" t="s">
        <v>63</v>
      </c>
      <c r="Q256" s="42" t="s">
        <v>63</v>
      </c>
      <c r="R256" s="42" t="s">
        <v>63</v>
      </c>
      <c r="S256" s="42" t="s">
        <v>63</v>
      </c>
      <c r="T256" s="42" t="s">
        <v>63</v>
      </c>
      <c r="U256" s="42" t="s">
        <v>63</v>
      </c>
      <c r="V256" s="42" t="s">
        <v>63</v>
      </c>
      <c r="W256" s="42" t="s">
        <v>63</v>
      </c>
      <c r="X256" s="42" t="s">
        <v>63</v>
      </c>
      <c r="Y256" s="42" t="s">
        <v>63</v>
      </c>
      <c r="Z256" s="42" t="s">
        <v>63</v>
      </c>
      <c r="AA256" s="42" t="s">
        <v>63</v>
      </c>
      <c r="AB256" s="42" t="s">
        <v>63</v>
      </c>
      <c r="AC256" s="42"/>
      <c r="AD256" s="42" t="s">
        <v>63</v>
      </c>
      <c r="AE256" s="42" t="s">
        <v>63</v>
      </c>
      <c r="AF256" s="42" t="s">
        <v>63</v>
      </c>
      <c r="AG256" s="42" t="s">
        <v>63</v>
      </c>
      <c r="AH256" s="42" t="s">
        <v>63</v>
      </c>
      <c r="AI256" s="42"/>
      <c r="AJ256" s="42" t="s">
        <v>63</v>
      </c>
      <c r="AK256" s="42"/>
      <c r="AL256" s="42" t="s">
        <v>63</v>
      </c>
      <c r="AM256" s="42"/>
      <c r="AN256" s="42" t="s">
        <v>63</v>
      </c>
      <c r="AO256" s="42" t="s">
        <v>63</v>
      </c>
      <c r="AP256" s="42" t="s">
        <v>63</v>
      </c>
      <c r="AQ256" s="42" t="s">
        <v>63</v>
      </c>
      <c r="AR256" s="42"/>
      <c r="AS256" s="42" t="s">
        <v>63</v>
      </c>
      <c r="AT256" s="42" t="s">
        <v>63</v>
      </c>
      <c r="AU256" s="42"/>
      <c r="AV256" s="42"/>
      <c r="AW256" s="42" t="s">
        <v>63</v>
      </c>
      <c r="AX256" s="42" t="s">
        <v>63</v>
      </c>
      <c r="AY256" s="42" t="s">
        <v>63</v>
      </c>
      <c r="AZ256" s="42" t="s">
        <v>63</v>
      </c>
      <c r="BA256" s="42"/>
      <c r="BB256" s="42" t="s">
        <v>63</v>
      </c>
      <c r="BC256" s="42" t="s">
        <v>63</v>
      </c>
      <c r="BD256" s="42" t="s">
        <v>63</v>
      </c>
      <c r="BE256" s="42" t="s">
        <v>63</v>
      </c>
      <c r="BF256" s="42" t="s">
        <v>63</v>
      </c>
      <c r="BG256" s="42" t="s">
        <v>64</v>
      </c>
      <c r="BH256" s="42" t="s">
        <v>63</v>
      </c>
      <c r="BI256" s="42" t="s">
        <v>63</v>
      </c>
      <c r="BJ256" s="42" t="s">
        <v>63</v>
      </c>
      <c r="BK256" s="42" t="s">
        <v>63</v>
      </c>
      <c r="BL256" s="42" t="s">
        <v>63</v>
      </c>
    </row>
    <row r="257" spans="1:64">
      <c r="A257" s="33" t="s">
        <v>1177</v>
      </c>
      <c r="B257" s="34" t="s">
        <v>546</v>
      </c>
      <c r="C257" s="34" t="s">
        <v>546</v>
      </c>
      <c r="D257" s="33" t="s">
        <v>547</v>
      </c>
      <c r="E257" s="34">
        <f>IF(_xlfn.IFNA(VLOOKUP(B257,Data!B:G,3,FALSE),"")=0, "", _xlfn.IFNA(VLOOKUP(B257,Data!B:G,3,FALSE),""))</f>
        <v>3</v>
      </c>
      <c r="F257" s="33" t="s">
        <v>1175</v>
      </c>
      <c r="G257" s="33"/>
      <c r="H257" s="33" t="str">
        <f>IF(_xlfn.IFNA(VLOOKUP(C257,Data!A:G,5,FALSE),"")=0, "Check course registration information", _xlfn.IFNA(VLOOKUP(C257,Data!A:G,5,FALSE),""))</f>
        <v>MA 16020 or MA 16021 or MA 16200 or MA 16400 or MA 16600 or MA 16900 or MA 17300 or MA 18100 or MA 22200 or MATH 16400</v>
      </c>
      <c r="J257" s="33" t="str">
        <f>IF(_xlfn.IFNA(VLOOKUP(C257,Data!A:G,6,FALSE),"")=0, "Check course registration information", _xlfn.IFNA(VLOOKUP(C257,Data!A:G,6,FALSE),""))</f>
        <v>Descriptive statistics; elementary probability; sampling distributions; inference, testing hypotheses, and estimation; normal, binomial, Poisson, hypergeometric distributions; one-way analysis of variance; contingency tables; regression. For statistics majors and minors, credit should be allowed in no more than one of STAT 30100, STAT 30301, STAT 35000, STAT 35500, STAT 50100, and in no more than one of STAT 50300 and STAT 51100. Prerequisite: Two semesters of college calculus</v>
      </c>
      <c r="K257" s="33" t="str">
        <f>IF(_xlfn.IFNA(VLOOKUP(C257,Data!A:H,7,FALSE),"")=0, "", _xlfn.IFNA(HYPERLINK(VLOOKUP(C257,Data!A:H,7,FALSE),"Catalog Link"),""))</f>
        <v>Catalog Link</v>
      </c>
      <c r="L257" s="33" t="str">
        <f>IF(_xlfn.IFNA(VLOOKUP(C257,Data!A:I,8,FALSE),"")=0, "", _xlfn.IFNA(HYPERLINK(VLOOKUP(C257,Data!A:I,8,FALSE),"Additional Information"),""))</f>
        <v/>
      </c>
      <c r="M257" s="34">
        <f t="shared" si="4"/>
        <v>2</v>
      </c>
      <c r="N257" s="42" t="s">
        <v>63</v>
      </c>
      <c r="O257" s="42" t="s">
        <v>63</v>
      </c>
      <c r="P257" s="42" t="s">
        <v>63</v>
      </c>
      <c r="Q257" s="42" t="s">
        <v>63</v>
      </c>
      <c r="R257" s="42" t="s">
        <v>63</v>
      </c>
      <c r="S257" s="42" t="s">
        <v>63</v>
      </c>
      <c r="T257" s="42" t="s">
        <v>63</v>
      </c>
      <c r="U257" s="42" t="s">
        <v>64</v>
      </c>
      <c r="V257" s="42" t="s">
        <v>63</v>
      </c>
      <c r="W257" s="42" t="s">
        <v>63</v>
      </c>
      <c r="X257" s="42" t="s">
        <v>63</v>
      </c>
      <c r="Y257" s="42" t="s">
        <v>63</v>
      </c>
      <c r="Z257" s="42" t="s">
        <v>63</v>
      </c>
      <c r="AA257" s="43" t="s">
        <v>63</v>
      </c>
      <c r="AB257" s="42" t="s">
        <v>63</v>
      </c>
      <c r="AC257" s="42"/>
      <c r="AD257" s="42" t="s">
        <v>63</v>
      </c>
      <c r="AE257" s="42" t="s">
        <v>63</v>
      </c>
      <c r="AF257" s="42" t="s">
        <v>63</v>
      </c>
      <c r="AG257" s="42" t="s">
        <v>63</v>
      </c>
      <c r="AH257" s="42" t="s">
        <v>63</v>
      </c>
      <c r="AI257" s="42"/>
      <c r="AJ257" s="42" t="s">
        <v>63</v>
      </c>
      <c r="AK257" s="42"/>
      <c r="AL257" s="42" t="s">
        <v>63</v>
      </c>
      <c r="AM257" s="42"/>
      <c r="AN257" s="42" t="s">
        <v>63</v>
      </c>
      <c r="AO257" s="42" t="s">
        <v>63</v>
      </c>
      <c r="AP257" s="42" t="s">
        <v>63</v>
      </c>
      <c r="AQ257" s="42" t="s">
        <v>63</v>
      </c>
      <c r="AR257" s="42"/>
      <c r="AS257" s="42" t="s">
        <v>63</v>
      </c>
      <c r="AT257" s="42" t="s">
        <v>63</v>
      </c>
      <c r="AU257" s="42"/>
      <c r="AV257" s="42"/>
      <c r="AW257" s="42" t="s">
        <v>63</v>
      </c>
      <c r="AX257" s="42" t="s">
        <v>63</v>
      </c>
      <c r="AY257" s="42" t="s">
        <v>63</v>
      </c>
      <c r="AZ257" s="42" t="s">
        <v>63</v>
      </c>
      <c r="BA257" s="42"/>
      <c r="BB257" s="42" t="s">
        <v>63</v>
      </c>
      <c r="BC257" s="42" t="s">
        <v>63</v>
      </c>
      <c r="BD257" s="42" t="s">
        <v>63</v>
      </c>
      <c r="BE257" s="42" t="s">
        <v>63</v>
      </c>
      <c r="BF257" s="42" t="s">
        <v>63</v>
      </c>
      <c r="BG257" s="42" t="s">
        <v>64</v>
      </c>
      <c r="BH257" s="42" t="s">
        <v>63</v>
      </c>
      <c r="BI257" s="42" t="s">
        <v>63</v>
      </c>
      <c r="BJ257" s="42" t="s">
        <v>63</v>
      </c>
      <c r="BK257" s="42" t="s">
        <v>63</v>
      </c>
      <c r="BL257" s="42" t="s">
        <v>63</v>
      </c>
    </row>
    <row r="258" spans="1:64">
      <c r="A258" s="33" t="s">
        <v>1177</v>
      </c>
      <c r="B258" s="34" t="s">
        <v>238</v>
      </c>
      <c r="C258" s="34" t="s">
        <v>238</v>
      </c>
      <c r="D258" s="33" t="s">
        <v>1166</v>
      </c>
      <c r="E258" s="34" t="str">
        <f>IF(_xlfn.IFNA(VLOOKUP(B258,Data!B:G,3,FALSE),"")=0, "", _xlfn.IFNA(VLOOKUP(B258,Data!B:G,3,FALSE),""))</f>
        <v/>
      </c>
      <c r="F258" s="66" t="s">
        <v>569</v>
      </c>
      <c r="H258" s="66" t="str">
        <f>IF(_xlfn.IFNA(VLOOKUP(C258,Data!A:G,5,FALSE),"")=0, "Check course registration information", _xlfn.IFNA(VLOOKUP(C258,Data!A:G,5,FALSE),""))</f>
        <v>Check course registration information</v>
      </c>
      <c r="I258" s="33" t="s">
        <v>568</v>
      </c>
      <c r="J258" s="33" t="str">
        <f>IF(_xlfn.IFNA(VLOOKUP(C258,Data!A:G,6,FALSE),"")=0, "Check course registration information", _xlfn.IFNA(VLOOKUP(C258,Data!A:G,6,FALSE),""))</f>
        <v>Check course registration information</v>
      </c>
      <c r="K258" s="33" t="str">
        <f>IF(_xlfn.IFNA(VLOOKUP(C258,Data!A:H,7,FALSE),"")=0, "", _xlfn.IFNA(HYPERLINK(VLOOKUP(C258,Data!A:H,7,FALSE),"Catalog Link"),""))</f>
        <v/>
      </c>
      <c r="L258" s="33" t="str">
        <f>IF(_xlfn.IFNA(VLOOKUP(C258,Data!A:I,8,FALSE),"")=0, "", _xlfn.IFNA(HYPERLINK(VLOOKUP(C258,Data!A:I,8,FALSE),"Additional Information"),""))</f>
        <v/>
      </c>
      <c r="M258" s="34">
        <f t="shared" si="4"/>
        <v>8</v>
      </c>
      <c r="N258" s="42" t="s">
        <v>63</v>
      </c>
      <c r="O258" s="42" t="s">
        <v>63</v>
      </c>
      <c r="P258" s="42" t="s">
        <v>63</v>
      </c>
      <c r="Q258" s="42" t="s">
        <v>64</v>
      </c>
      <c r="R258" s="42" t="s">
        <v>64</v>
      </c>
      <c r="S258" s="42" t="s">
        <v>63</v>
      </c>
      <c r="T258" s="42" t="s">
        <v>64</v>
      </c>
      <c r="U258" s="42" t="s">
        <v>63</v>
      </c>
      <c r="V258" s="42" t="s">
        <v>63</v>
      </c>
      <c r="W258" s="42" t="s">
        <v>63</v>
      </c>
      <c r="X258" s="42" t="s">
        <v>64</v>
      </c>
      <c r="Y258" s="42" t="s">
        <v>63</v>
      </c>
      <c r="Z258" s="42" t="s">
        <v>64</v>
      </c>
      <c r="AA258" s="42" t="s">
        <v>63</v>
      </c>
      <c r="AB258" s="42" t="s">
        <v>63</v>
      </c>
      <c r="AC258" s="42"/>
      <c r="AD258" s="42" t="s">
        <v>64</v>
      </c>
      <c r="AE258" s="42" t="s">
        <v>64</v>
      </c>
      <c r="AF258" s="42" t="s">
        <v>63</v>
      </c>
      <c r="AG258" s="42" t="s">
        <v>63</v>
      </c>
      <c r="AH258" s="42" t="s">
        <v>63</v>
      </c>
      <c r="AI258" s="42"/>
      <c r="AJ258" s="42" t="s">
        <v>63</v>
      </c>
      <c r="AK258" s="42"/>
      <c r="AL258" s="42" t="s">
        <v>63</v>
      </c>
      <c r="AM258" s="42"/>
      <c r="AN258" s="42" t="s">
        <v>63</v>
      </c>
      <c r="AO258" s="42" t="s">
        <v>64</v>
      </c>
      <c r="AP258" s="42" t="s">
        <v>63</v>
      </c>
      <c r="AQ258" s="42" t="s">
        <v>63</v>
      </c>
      <c r="AR258" s="42"/>
      <c r="AS258" s="42" t="s">
        <v>63</v>
      </c>
      <c r="AT258" s="42" t="s">
        <v>63</v>
      </c>
      <c r="AU258" s="42"/>
      <c r="AV258" s="42"/>
      <c r="AW258" s="42" t="s">
        <v>63</v>
      </c>
      <c r="AX258" s="42" t="s">
        <v>63</v>
      </c>
      <c r="AY258" s="42" t="s">
        <v>63</v>
      </c>
      <c r="AZ258" s="42" t="s">
        <v>63</v>
      </c>
      <c r="BA258" s="42"/>
      <c r="BB258" s="42" t="s">
        <v>63</v>
      </c>
      <c r="BC258" s="42" t="s">
        <v>63</v>
      </c>
      <c r="BD258" s="42" t="s">
        <v>63</v>
      </c>
      <c r="BE258" s="42" t="s">
        <v>63</v>
      </c>
      <c r="BF258" s="42" t="s">
        <v>63</v>
      </c>
      <c r="BG258" s="42" t="s">
        <v>63</v>
      </c>
      <c r="BH258" s="42" t="s">
        <v>63</v>
      </c>
      <c r="BI258" s="42" t="s">
        <v>63</v>
      </c>
      <c r="BJ258" s="42" t="s">
        <v>63</v>
      </c>
      <c r="BK258" s="42" t="s">
        <v>63</v>
      </c>
      <c r="BL258" s="42" t="s">
        <v>63</v>
      </c>
    </row>
    <row r="259" spans="1:64">
      <c r="A259" s="33" t="s">
        <v>1176</v>
      </c>
      <c r="B259" s="34" t="s">
        <v>238</v>
      </c>
      <c r="C259" s="34" t="s">
        <v>1210</v>
      </c>
      <c r="D259" s="33" t="s">
        <v>1575</v>
      </c>
      <c r="E259" s="34" t="str">
        <f>IF(_xlfn.IFNA(VLOOKUP(B259,Data!B:G,3,FALSE),"")=0, "", _xlfn.IFNA(VLOOKUP(B259,Data!B:G,3,FALSE),""))</f>
        <v/>
      </c>
      <c r="F259" s="66" t="s">
        <v>116</v>
      </c>
      <c r="H259" s="66" t="str">
        <f>IF(_xlfn.IFNA(VLOOKUP(C259,Data!A:G,5,FALSE),"")=0, "Check course registration information", _xlfn.IFNA(VLOOKUP(C259,Data!A:G,5,FALSE),""))</f>
        <v>Check course registration information</v>
      </c>
      <c r="I259" s="33" t="s">
        <v>567</v>
      </c>
      <c r="J259" s="33" t="str">
        <f>IF(_xlfn.IFNA(VLOOKUP(C259,Data!A:G,6,FALSE),"")=0, "Check course registration information", _xlfn.IFNA(VLOOKUP(C259,Data!A:G,6,FALSE),""))</f>
        <v>Check course registration information</v>
      </c>
      <c r="K259" s="33" t="str">
        <f>IF(_xlfn.IFNA(VLOOKUP(C259,Data!A:H,7,FALSE),"")=0, "", _xlfn.IFNA(HYPERLINK(VLOOKUP(C259,Data!A:H,7,FALSE),"Catalog Link"),""))</f>
        <v/>
      </c>
      <c r="L259" s="33" t="str">
        <f>IF(_xlfn.IFNA(VLOOKUP(C259,Data!A:I,8,FALSE),"")=0, "", _xlfn.IFNA(HYPERLINK(VLOOKUP(C259,Data!A:I,8,FALSE),"Additional Information"),""))</f>
        <v/>
      </c>
      <c r="M259" s="34">
        <f t="shared" ref="M259:M322" si="5">COUNTIF(N259:BL259,"x")</f>
        <v>8</v>
      </c>
      <c r="N259" s="42" t="s">
        <v>63</v>
      </c>
      <c r="O259" s="42" t="s">
        <v>63</v>
      </c>
      <c r="P259" s="42" t="s">
        <v>63</v>
      </c>
      <c r="Q259" s="42" t="s">
        <v>64</v>
      </c>
      <c r="R259" s="42" t="s">
        <v>64</v>
      </c>
      <c r="S259" s="42" t="s">
        <v>63</v>
      </c>
      <c r="T259" s="42" t="s">
        <v>64</v>
      </c>
      <c r="U259" s="42" t="s">
        <v>63</v>
      </c>
      <c r="V259" s="42" t="s">
        <v>63</v>
      </c>
      <c r="W259" s="42" t="s">
        <v>63</v>
      </c>
      <c r="X259" s="42" t="s">
        <v>64</v>
      </c>
      <c r="Y259" s="42" t="s">
        <v>63</v>
      </c>
      <c r="Z259" s="42" t="s">
        <v>64</v>
      </c>
      <c r="AA259" s="42" t="s">
        <v>63</v>
      </c>
      <c r="AB259" s="42" t="s">
        <v>63</v>
      </c>
      <c r="AC259" s="42"/>
      <c r="AD259" s="42" t="s">
        <v>64</v>
      </c>
      <c r="AE259" s="42" t="s">
        <v>64</v>
      </c>
      <c r="AF259" s="42" t="s">
        <v>63</v>
      </c>
      <c r="AG259" s="42" t="s">
        <v>63</v>
      </c>
      <c r="AH259" s="42" t="s">
        <v>63</v>
      </c>
      <c r="AI259" s="42"/>
      <c r="AJ259" s="42" t="s">
        <v>63</v>
      </c>
      <c r="AK259" s="42"/>
      <c r="AL259" s="42" t="s">
        <v>63</v>
      </c>
      <c r="AM259" s="42"/>
      <c r="AN259" s="42" t="s">
        <v>63</v>
      </c>
      <c r="AO259" s="42" t="s">
        <v>64</v>
      </c>
      <c r="AP259" s="42" t="s">
        <v>63</v>
      </c>
      <c r="AQ259" s="42" t="s">
        <v>63</v>
      </c>
      <c r="AR259" s="42"/>
      <c r="AS259" s="42" t="s">
        <v>63</v>
      </c>
      <c r="AT259" s="42" t="s">
        <v>63</v>
      </c>
      <c r="AU259" s="42"/>
      <c r="AV259" s="42"/>
      <c r="AW259" s="42" t="s">
        <v>63</v>
      </c>
      <c r="AX259" s="42" t="s">
        <v>63</v>
      </c>
      <c r="AY259" s="42" t="s">
        <v>63</v>
      </c>
      <c r="AZ259" s="42" t="s">
        <v>63</v>
      </c>
      <c r="BA259" s="42"/>
      <c r="BB259" s="42" t="s">
        <v>63</v>
      </c>
      <c r="BC259" s="42" t="s">
        <v>63</v>
      </c>
      <c r="BD259" s="42" t="s">
        <v>63</v>
      </c>
      <c r="BE259" s="42" t="s">
        <v>63</v>
      </c>
      <c r="BF259" s="42" t="s">
        <v>63</v>
      </c>
      <c r="BG259" s="42" t="s">
        <v>63</v>
      </c>
      <c r="BH259" s="42" t="s">
        <v>63</v>
      </c>
      <c r="BI259" s="42" t="s">
        <v>63</v>
      </c>
      <c r="BJ259" s="42" t="s">
        <v>63</v>
      </c>
      <c r="BK259" s="42" t="s">
        <v>63</v>
      </c>
      <c r="BL259" s="42" t="s">
        <v>63</v>
      </c>
    </row>
    <row r="260" spans="1:64">
      <c r="A260" s="33" t="s">
        <v>1176</v>
      </c>
      <c r="B260" s="34" t="s">
        <v>238</v>
      </c>
      <c r="C260" s="34" t="s">
        <v>1211</v>
      </c>
      <c r="D260" s="33" t="s">
        <v>1421</v>
      </c>
      <c r="E260" s="34" t="str">
        <f>IF(_xlfn.IFNA(VLOOKUP(B260,Data!B:G,3,FALSE),"")=0, "", _xlfn.IFNA(VLOOKUP(B260,Data!B:G,3,FALSE),""))</f>
        <v/>
      </c>
      <c r="F260" s="66" t="s">
        <v>116</v>
      </c>
      <c r="H260" s="66" t="str">
        <f>IF(_xlfn.IFNA(VLOOKUP(C260,Data!A:G,5,FALSE),"")=0, "Check course registration information", _xlfn.IFNA(VLOOKUP(C260,Data!A:G,5,FALSE),""))</f>
        <v>Check course registration information</v>
      </c>
      <c r="I260" s="33" t="s">
        <v>1428</v>
      </c>
      <c r="J260" s="33" t="str">
        <f>IF(_xlfn.IFNA(VLOOKUP(C260,Data!A:G,6,FALSE),"")=0, "Check course registration information", _xlfn.IFNA(VLOOKUP(C260,Data!A:G,6,FALSE),""))</f>
        <v xml:space="preserve">The primary objective of the SoCET team is to provide students with a comprehensive System on Chip design, fabrication and test experience that is as similar to industry practice as possible
</v>
      </c>
      <c r="K260" s="33" t="str">
        <f>IF(_xlfn.IFNA(VLOOKUP(C260,Data!A:H,7,FALSE),"")=0, "", _xlfn.IFNA(HYPERLINK(VLOOKUP(C260,Data!A:H,7,FALSE),"Catalog Link"),""))</f>
        <v/>
      </c>
      <c r="L260" s="33" t="str">
        <f>IF(_xlfn.IFNA(VLOOKUP(C260,Data!A:I,8,FALSE),"")=0, "", _xlfn.IFNA(HYPERLINK(VLOOKUP(C260,Data!A:I,8,FALSE),"Additional Information"),""))</f>
        <v>Additional Information</v>
      </c>
      <c r="M260" s="34">
        <f t="shared" si="5"/>
        <v>21</v>
      </c>
      <c r="N260" s="42" t="s">
        <v>64</v>
      </c>
      <c r="O260" s="42" t="s">
        <v>64</v>
      </c>
      <c r="P260" s="42" t="s">
        <v>64</v>
      </c>
      <c r="Q260" s="42" t="s">
        <v>64</v>
      </c>
      <c r="R260" s="42" t="s">
        <v>64</v>
      </c>
      <c r="S260" s="42" t="s">
        <v>64</v>
      </c>
      <c r="T260" s="42" t="s">
        <v>64</v>
      </c>
      <c r="U260" s="42" t="s">
        <v>63</v>
      </c>
      <c r="V260" s="42"/>
      <c r="W260" s="42" t="s">
        <v>63</v>
      </c>
      <c r="X260" s="42" t="s">
        <v>64</v>
      </c>
      <c r="Y260" s="42" t="s">
        <v>64</v>
      </c>
      <c r="Z260" s="42" t="s">
        <v>64</v>
      </c>
      <c r="AA260" s="42" t="s">
        <v>64</v>
      </c>
      <c r="AB260" s="42" t="s">
        <v>63</v>
      </c>
      <c r="AC260" s="42"/>
      <c r="AD260" s="42" t="s">
        <v>64</v>
      </c>
      <c r="AE260" s="42" t="s">
        <v>64</v>
      </c>
      <c r="AF260" s="42" t="s">
        <v>64</v>
      </c>
      <c r="AG260" s="42" t="s">
        <v>63</v>
      </c>
      <c r="AH260" s="42" t="s">
        <v>63</v>
      </c>
      <c r="AI260" s="42"/>
      <c r="AJ260" s="42" t="s">
        <v>64</v>
      </c>
      <c r="AK260" s="42"/>
      <c r="AL260" s="42" t="s">
        <v>64</v>
      </c>
      <c r="AM260" s="42"/>
      <c r="AN260" s="42" t="s">
        <v>63</v>
      </c>
      <c r="AO260" s="42" t="s">
        <v>63</v>
      </c>
      <c r="AP260" s="42" t="s">
        <v>63</v>
      </c>
      <c r="AQ260" s="42" t="s">
        <v>64</v>
      </c>
      <c r="AR260" s="42"/>
      <c r="AS260" s="42" t="s">
        <v>63</v>
      </c>
      <c r="AT260" s="42" t="s">
        <v>63</v>
      </c>
      <c r="AU260" s="42"/>
      <c r="AV260" s="42"/>
      <c r="AW260" s="42" t="s">
        <v>63</v>
      </c>
      <c r="AX260" s="42" t="s">
        <v>63</v>
      </c>
      <c r="AY260" s="42" t="s">
        <v>63</v>
      </c>
      <c r="AZ260" s="42" t="s">
        <v>63</v>
      </c>
      <c r="BA260" s="42"/>
      <c r="BB260" s="42" t="s">
        <v>64</v>
      </c>
      <c r="BC260" s="42" t="s">
        <v>63</v>
      </c>
      <c r="BD260" s="42" t="s">
        <v>63</v>
      </c>
      <c r="BE260" s="42" t="s">
        <v>63</v>
      </c>
      <c r="BF260" s="42" t="s">
        <v>63</v>
      </c>
      <c r="BG260" s="42" t="s">
        <v>63</v>
      </c>
      <c r="BH260" s="42" t="s">
        <v>64</v>
      </c>
      <c r="BI260" s="42" t="s">
        <v>63</v>
      </c>
      <c r="BJ260" s="42" t="s">
        <v>64</v>
      </c>
      <c r="BK260" s="42" t="s">
        <v>63</v>
      </c>
      <c r="BL260" s="42" t="s">
        <v>64</v>
      </c>
    </row>
    <row r="261" spans="1:64">
      <c r="A261" s="33" t="s">
        <v>1177</v>
      </c>
      <c r="B261" s="34" t="s">
        <v>238</v>
      </c>
      <c r="C261" s="34" t="s">
        <v>1212</v>
      </c>
      <c r="D261" s="33" t="s">
        <v>1169</v>
      </c>
      <c r="E261" s="34" t="str">
        <f>IF(_xlfn.IFNA(VLOOKUP(B261,Data!B:G,3,FALSE),"")=0, "", _xlfn.IFNA(VLOOKUP(B261,Data!B:G,3,FALSE),""))</f>
        <v/>
      </c>
      <c r="F261" s="66" t="s">
        <v>569</v>
      </c>
      <c r="H261" s="66" t="str">
        <f>IF(_xlfn.IFNA(VLOOKUP(C261,Data!A:G,5,FALSE),"")=0, "Check course registration information", _xlfn.IFNA(VLOOKUP(C261,Data!A:G,5,FALSE),""))</f>
        <v>Introduction to SoCET 1</v>
      </c>
      <c r="I261" s="33" t="s">
        <v>1429</v>
      </c>
      <c r="J261" s="33" t="str">
        <f>IF(_xlfn.IFNA(VLOOKUP(C261,Data!A:G,6,FALSE),"")=0, "Check course registration information", _xlfn.IFNA(VLOOKUP(C261,Data!A:G,6,FALSE),""))</f>
        <v>The primary objective of the SoCET team is to provide students with a comprehensive System on Chip design, fabrication and test experience that is as similar to industry practice as possible.</v>
      </c>
      <c r="K261" s="33" t="str">
        <f>IF(_xlfn.IFNA(VLOOKUP(C261,Data!A:H,7,FALSE),"")=0, "", _xlfn.IFNA(HYPERLINK(VLOOKUP(C261,Data!A:H,7,FALSE),"Catalog Link"),""))</f>
        <v/>
      </c>
      <c r="L261" s="33" t="str">
        <f>IF(_xlfn.IFNA(VLOOKUP(C261,Data!A:I,8,FALSE),"")=0, "", _xlfn.IFNA(HYPERLINK(VLOOKUP(C261,Data!A:I,8,FALSE),"Additional Information"),""))</f>
        <v>Additional Information</v>
      </c>
      <c r="M261" s="34">
        <f t="shared" si="5"/>
        <v>21</v>
      </c>
      <c r="N261" s="42" t="s">
        <v>64</v>
      </c>
      <c r="O261" s="42" t="s">
        <v>64</v>
      </c>
      <c r="P261" s="42" t="s">
        <v>64</v>
      </c>
      <c r="Q261" s="42" t="s">
        <v>64</v>
      </c>
      <c r="R261" s="42" t="s">
        <v>64</v>
      </c>
      <c r="S261" s="42" t="s">
        <v>64</v>
      </c>
      <c r="T261" s="42" t="s">
        <v>64</v>
      </c>
      <c r="U261" s="42" t="s">
        <v>63</v>
      </c>
      <c r="V261" s="42"/>
      <c r="W261" s="42" t="s">
        <v>63</v>
      </c>
      <c r="X261" s="42" t="s">
        <v>64</v>
      </c>
      <c r="Y261" s="42" t="s">
        <v>64</v>
      </c>
      <c r="Z261" s="42" t="s">
        <v>64</v>
      </c>
      <c r="AA261" s="42" t="s">
        <v>64</v>
      </c>
      <c r="AB261" s="42" t="s">
        <v>63</v>
      </c>
      <c r="AC261" s="42"/>
      <c r="AD261" s="42" t="s">
        <v>64</v>
      </c>
      <c r="AE261" s="42" t="s">
        <v>64</v>
      </c>
      <c r="AF261" s="42" t="s">
        <v>64</v>
      </c>
      <c r="AG261" s="42" t="s">
        <v>63</v>
      </c>
      <c r="AH261" s="42" t="s">
        <v>63</v>
      </c>
      <c r="AI261" s="42"/>
      <c r="AJ261" s="42" t="s">
        <v>64</v>
      </c>
      <c r="AK261" s="42"/>
      <c r="AL261" s="42" t="s">
        <v>64</v>
      </c>
      <c r="AM261" s="42"/>
      <c r="AN261" s="42" t="s">
        <v>63</v>
      </c>
      <c r="AO261" s="42" t="s">
        <v>63</v>
      </c>
      <c r="AP261" s="42" t="s">
        <v>63</v>
      </c>
      <c r="AQ261" s="42" t="s">
        <v>64</v>
      </c>
      <c r="AR261" s="42"/>
      <c r="AS261" s="42" t="s">
        <v>63</v>
      </c>
      <c r="AT261" s="42" t="s">
        <v>63</v>
      </c>
      <c r="AU261" s="42"/>
      <c r="AV261" s="42"/>
      <c r="AW261" s="42" t="s">
        <v>63</v>
      </c>
      <c r="AX261" s="42" t="s">
        <v>63</v>
      </c>
      <c r="AY261" s="42" t="s">
        <v>63</v>
      </c>
      <c r="AZ261" s="42" t="s">
        <v>63</v>
      </c>
      <c r="BA261" s="42"/>
      <c r="BB261" s="42" t="s">
        <v>64</v>
      </c>
      <c r="BC261" s="42" t="s">
        <v>63</v>
      </c>
      <c r="BD261" s="42" t="s">
        <v>63</v>
      </c>
      <c r="BE261" s="42" t="s">
        <v>63</v>
      </c>
      <c r="BF261" s="42" t="s">
        <v>63</v>
      </c>
      <c r="BG261" s="42" t="s">
        <v>63</v>
      </c>
      <c r="BH261" s="42" t="s">
        <v>64</v>
      </c>
      <c r="BI261" s="42" t="s">
        <v>63</v>
      </c>
      <c r="BJ261" s="42" t="s">
        <v>64</v>
      </c>
      <c r="BK261" s="42" t="s">
        <v>63</v>
      </c>
      <c r="BL261" s="42" t="s">
        <v>64</v>
      </c>
    </row>
    <row r="262" spans="1:64">
      <c r="A262" s="33" t="s">
        <v>1176</v>
      </c>
      <c r="B262" s="34" t="s">
        <v>238</v>
      </c>
      <c r="C262" s="34" t="s">
        <v>1213</v>
      </c>
      <c r="D262" s="33" t="s">
        <v>570</v>
      </c>
      <c r="E262" s="34" t="str">
        <f>IF(_xlfn.IFNA(VLOOKUP(B262,Data!B:G,3,FALSE),"")=0, "", _xlfn.IFNA(VLOOKUP(B262,Data!B:G,3,FALSE),""))</f>
        <v/>
      </c>
      <c r="F262" s="66" t="s">
        <v>348</v>
      </c>
      <c r="H262" s="66" t="str">
        <f>IF(_xlfn.IFNA(VLOOKUP(C262,Data!A:G,5,FALSE),"")=0, "Check course registration information", _xlfn.IFNA(VLOOKUP(C262,Data!A:G,5,FALSE),""))</f>
        <v>Check course registration information</v>
      </c>
      <c r="J262" s="33" t="str">
        <f>IF(_xlfn.IFNA(VLOOKUP(C262,Data!A:G,6,FALSE),"")=0, "Check course registration information", _xlfn.IFNA(VLOOKUP(C262,Data!A:G,6,FALSE),""))</f>
        <v>Check course registration information</v>
      </c>
      <c r="K262" s="33" t="str">
        <f>IF(_xlfn.IFNA(VLOOKUP(C262,Data!A:H,7,FALSE),"")=0, "", _xlfn.IFNA(HYPERLINK(VLOOKUP(C262,Data!A:H,7,FALSE),"Catalog Link"),""))</f>
        <v/>
      </c>
      <c r="L262" s="33" t="str">
        <f>IF(_xlfn.IFNA(VLOOKUP(C262,Data!A:I,8,FALSE),"")=0, "", _xlfn.IFNA(HYPERLINK(VLOOKUP(C262,Data!A:I,8,FALSE),"Additional Information"),""))</f>
        <v/>
      </c>
      <c r="M262" s="34">
        <f t="shared" si="5"/>
        <v>2</v>
      </c>
      <c r="N262" s="42" t="s">
        <v>63</v>
      </c>
      <c r="O262" s="42" t="s">
        <v>63</v>
      </c>
      <c r="P262" s="42" t="s">
        <v>63</v>
      </c>
      <c r="Q262" s="42" t="s">
        <v>63</v>
      </c>
      <c r="R262" s="42" t="s">
        <v>63</v>
      </c>
      <c r="S262" s="42" t="s">
        <v>63</v>
      </c>
      <c r="T262" s="42" t="s">
        <v>63</v>
      </c>
      <c r="U262" s="42" t="s">
        <v>63</v>
      </c>
      <c r="V262" s="42" t="s">
        <v>63</v>
      </c>
      <c r="W262" s="42" t="s">
        <v>63</v>
      </c>
      <c r="X262" s="42" t="s">
        <v>63</v>
      </c>
      <c r="Y262" s="42" t="s">
        <v>63</v>
      </c>
      <c r="Z262" s="42" t="s">
        <v>63</v>
      </c>
      <c r="AA262" s="42" t="s">
        <v>63</v>
      </c>
      <c r="AB262" s="42" t="s">
        <v>64</v>
      </c>
      <c r="AC262" s="42"/>
      <c r="AD262" s="42" t="s">
        <v>63</v>
      </c>
      <c r="AE262" s="42" t="s">
        <v>63</v>
      </c>
      <c r="AF262" s="42" t="s">
        <v>63</v>
      </c>
      <c r="AG262" s="42" t="s">
        <v>63</v>
      </c>
      <c r="AH262" s="42" t="s">
        <v>64</v>
      </c>
      <c r="AI262" s="42"/>
      <c r="AJ262" s="42" t="s">
        <v>63</v>
      </c>
      <c r="AK262" s="42"/>
      <c r="AL262" s="42" t="s">
        <v>63</v>
      </c>
      <c r="AM262" s="42"/>
      <c r="AN262" s="42" t="s">
        <v>63</v>
      </c>
      <c r="AO262" s="42" t="s">
        <v>63</v>
      </c>
      <c r="AP262" s="42" t="s">
        <v>63</v>
      </c>
      <c r="AQ262" s="42" t="s">
        <v>63</v>
      </c>
      <c r="AR262" s="42"/>
      <c r="AS262" s="42" t="s">
        <v>63</v>
      </c>
      <c r="AT262" s="42" t="s">
        <v>63</v>
      </c>
      <c r="AU262" s="42"/>
      <c r="AV262" s="42"/>
      <c r="AW262" s="42" t="s">
        <v>63</v>
      </c>
      <c r="AX262" s="42" t="s">
        <v>63</v>
      </c>
      <c r="AY262" s="42" t="s">
        <v>63</v>
      </c>
      <c r="AZ262" s="42" t="s">
        <v>63</v>
      </c>
      <c r="BA262" s="42"/>
      <c r="BB262" s="42" t="s">
        <v>63</v>
      </c>
      <c r="BC262" s="42" t="s">
        <v>63</v>
      </c>
      <c r="BD262" s="42" t="s">
        <v>63</v>
      </c>
      <c r="BE262" s="42" t="s">
        <v>63</v>
      </c>
      <c r="BF262" s="42" t="s">
        <v>63</v>
      </c>
      <c r="BG262" s="42" t="s">
        <v>63</v>
      </c>
      <c r="BH262" s="42" t="s">
        <v>63</v>
      </c>
      <c r="BI262" s="42" t="s">
        <v>63</v>
      </c>
      <c r="BJ262" s="42" t="s">
        <v>63</v>
      </c>
      <c r="BK262" s="42" t="s">
        <v>63</v>
      </c>
      <c r="BL262" s="42" t="s">
        <v>63</v>
      </c>
    </row>
  </sheetData>
  <autoFilter ref="A2:BL262" xr:uid="{6641AD09-135F-4A26-947C-E1AB890CA3B6}">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hiddenButton="1" showButton="0"/>
    <filterColumn colId="29" showButton="0"/>
    <filterColumn colId="30" showButton="0"/>
    <filterColumn colId="31" showButton="0"/>
    <filterColumn colId="32" showButton="0"/>
    <filterColumn colId="33" showButton="0"/>
    <filterColumn colId="34" hiddenButton="1" showButton="0"/>
    <filterColumn colId="35" showButton="0"/>
    <filterColumn colId="36" hiddenButton="1" showButton="0"/>
    <filterColumn colId="37" showButton="0"/>
    <filterColumn colId="38" hiddenButton="1" showButton="0"/>
    <filterColumn colId="39" showButton="0"/>
    <filterColumn colId="40" showButton="0"/>
    <filterColumn colId="41" showButton="0"/>
    <filterColumn colId="42" showButton="0"/>
    <filterColumn colId="43" hiddenButton="1" showButton="0"/>
    <filterColumn colId="44" showButton="0"/>
    <filterColumn colId="45" showButton="0"/>
    <filterColumn colId="46" hiddenButton="1" showButton="0"/>
    <filterColumn colId="47" hiddenButton="1" showButton="0"/>
    <filterColumn colId="48" showButton="0"/>
    <filterColumn colId="49" showButton="0"/>
    <filterColumn colId="50" showButton="0"/>
    <filterColumn colId="51" showButton="0"/>
    <filterColumn colId="52" hiddenButton="1"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sortState xmlns:xlrd2="http://schemas.microsoft.com/office/spreadsheetml/2017/richdata2" ref="A3:BL262">
      <sortCondition ref="B2:B262"/>
    </sortState>
  </autoFilter>
  <sortState xmlns:xlrd2="http://schemas.microsoft.com/office/spreadsheetml/2017/richdata2" columnSort="1" ref="N1:BL258">
    <sortCondition ref="N1:BL1"/>
  </sortState>
  <conditionalFormatting sqref="A1:A1048576">
    <cfRule type="containsText" dxfId="16" priority="2" operator="containsText" text="Remove">
      <formula>NOT(ISERROR(SEARCH("Remove",A1)))</formula>
    </cfRule>
    <cfRule type="containsText" dxfId="15" priority="3" operator="containsText" text="ADD">
      <formula>NOT(ISERROR(SEARCH("ADD",A1)))</formula>
    </cfRule>
  </conditionalFormatting>
  <conditionalFormatting sqref="H1:K1048576">
    <cfRule type="containsText" dxfId="14" priority="5" operator="containsText" text="Check">
      <formula>NOT(ISERROR(SEARCH("Check",H1)))</formula>
    </cfRule>
  </conditionalFormatting>
  <conditionalFormatting sqref="M3:M299">
    <cfRule type="cellIs" dxfId="13" priority="4" operator="equal">
      <formula>0</formula>
    </cfRule>
  </conditionalFormatting>
  <conditionalFormatting sqref="N2:BL2">
    <cfRule type="colorScale" priority="24">
      <colorScale>
        <cfvo type="min"/>
        <cfvo type="percentile" val="50"/>
        <cfvo type="max"/>
        <color rgb="FFF8696B"/>
        <color rgb="FFFCFCFF"/>
        <color rgb="FF5A8AC6"/>
      </colorScale>
    </cfRule>
  </conditionalFormatting>
  <conditionalFormatting sqref="N3:BQ2571">
    <cfRule type="expression" dxfId="12" priority="7" stopIfTrue="1">
      <formula>EXACT(N3, "x")</formula>
    </cfRule>
    <cfRule type="expression" dxfId="11" priority="8">
      <formula>EXACT(N3, "?")</formula>
    </cfRule>
  </conditionalFormatting>
  <conditionalFormatting sqref="A1:XFD1048576">
    <cfRule type="expression" dxfId="0" priority="25">
      <formula>$A1="No"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80BB2B9-C5FD-4C15-B3FA-29B58660B1BF}">
          <x14:formula1>
            <xm:f>Categories!$A$1:$A$7</xm:f>
          </x14:formula1>
          <xm:sqref>F262:G1048576</xm:sqref>
        </x14:dataValidation>
        <x14:dataValidation type="list" allowBlank="1" showInputMessage="1" showErrorMessage="1" xr:uid="{5C07F61B-AC3E-4F52-B7E0-07935F9C0123}">
          <x14:formula1>
            <xm:f>Categories!$A$1:$A$8</xm:f>
          </x14:formula1>
          <xm:sqref>F3:G261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4778-C708-43AA-AE91-0C78F91B0CFA}">
  <dimension ref="A1:J67"/>
  <sheetViews>
    <sheetView topLeftCell="A28" workbookViewId="0">
      <selection activeCell="A68" sqref="A68"/>
    </sheetView>
  </sheetViews>
  <sheetFormatPr defaultRowHeight="15.75"/>
  <cols>
    <col min="1" max="1" width="11.375" bestFit="1" customWidth="1"/>
    <col min="2" max="2" width="78.5" customWidth="1"/>
  </cols>
  <sheetData>
    <row r="1" spans="1:10">
      <c r="A1" t="str">
        <f>LEFT(B1,FIND("-",B1)-2)</f>
        <v>ECE 30500</v>
      </c>
      <c r="B1" s="54" t="s">
        <v>1477</v>
      </c>
      <c r="C1" t="s">
        <v>241</v>
      </c>
      <c r="H1" t="str">
        <f>VLOOKUP(A1,Updated!B:D,3,FALSE)</f>
        <v>ECE 30500 Semiconductor Devices</v>
      </c>
      <c r="J1" t="s">
        <v>1544</v>
      </c>
    </row>
    <row r="2" spans="1:10">
      <c r="A2" t="str">
        <f t="shared" ref="A2:A53" si="0">LEFT(B2,FIND("-",B2)-2)</f>
        <v>ECE 45300</v>
      </c>
      <c r="B2" s="54" t="s">
        <v>1478</v>
      </c>
      <c r="C2" t="s">
        <v>241</v>
      </c>
      <c r="H2" t="str">
        <f>VLOOKUP(A2,Updated!B:D,3,FALSE)</f>
        <v>ECE 45300 Fundamentals Of Nanoelectronics</v>
      </c>
    </row>
    <row r="3" spans="1:10">
      <c r="A3" t="str">
        <f t="shared" si="0"/>
        <v>ECE 50616</v>
      </c>
      <c r="B3" s="54" t="s">
        <v>1479</v>
      </c>
      <c r="C3" t="s">
        <v>241</v>
      </c>
      <c r="H3" t="str">
        <f>VLOOKUP(A3,Updated!B:D,3,FALSE)</f>
        <v>ECE 50616 Physics And Manufacturing Of Solar Cells</v>
      </c>
    </row>
    <row r="4" spans="1:10">
      <c r="A4" t="str">
        <f t="shared" si="0"/>
        <v>ECE 50631</v>
      </c>
      <c r="B4" s="54" t="s">
        <v>1480</v>
      </c>
      <c r="C4" t="s">
        <v>241</v>
      </c>
      <c r="H4" t="str">
        <f>VLOOKUP(A4,Updated!B:D,3,FALSE)</f>
        <v>ECE 50631 Fundamentals Of Current Flow</v>
      </c>
    </row>
    <row r="5" spans="1:10">
      <c r="A5" t="str">
        <f t="shared" si="0"/>
        <v>ECE 50632</v>
      </c>
      <c r="B5" s="54" t="s">
        <v>1481</v>
      </c>
      <c r="C5" t="s">
        <v>241</v>
      </c>
      <c r="H5" t="str">
        <f>VLOOKUP(A5,Updated!B:D,3,FALSE)</f>
        <v>ECE 50632 Introduction to Quantum Transport</v>
      </c>
    </row>
    <row r="6" spans="1:10">
      <c r="A6" t="str">
        <f t="shared" si="0"/>
        <v>ECE 50633</v>
      </c>
      <c r="B6" s="54" t="s">
        <v>1482</v>
      </c>
      <c r="C6" t="s">
        <v>241</v>
      </c>
      <c r="H6" t="str">
        <f>VLOOKUP(A6,Updated!B:D,3,FALSE)</f>
        <v>ECE 50633 Boltzmann Law: Physics to Machine Learning</v>
      </c>
    </row>
    <row r="7" spans="1:10">
      <c r="A7" t="str">
        <f t="shared" si="0"/>
        <v>ECE 50641</v>
      </c>
      <c r="B7" s="54" t="s">
        <v>1483</v>
      </c>
      <c r="C7" t="s">
        <v>241</v>
      </c>
      <c r="H7" t="str">
        <f>VLOOKUP(A7,Updated!B:D,3,FALSE)</f>
        <v>ECE 50641 Semiconductor Fundamentals</v>
      </c>
    </row>
    <row r="8" spans="1:10">
      <c r="A8" t="str">
        <f t="shared" si="0"/>
        <v>ECE 50642</v>
      </c>
      <c r="B8" s="54" t="s">
        <v>1484</v>
      </c>
      <c r="C8" t="s">
        <v>241</v>
      </c>
      <c r="H8" t="str">
        <f>VLOOKUP(A8,Updated!B:D,3,FALSE)</f>
        <v>ECE 50642 Fundamentals of Transistors</v>
      </c>
    </row>
    <row r="9" spans="1:10">
      <c r="A9" t="str">
        <f t="shared" si="0"/>
        <v>PHYS 32200</v>
      </c>
      <c r="B9" s="54" t="s">
        <v>1485</v>
      </c>
      <c r="C9" t="s">
        <v>241</v>
      </c>
      <c r="H9" t="str">
        <f>VLOOKUP(A9,Updated!B:D,3,FALSE)</f>
        <v>PHYS 32200 Intermediate Optics</v>
      </c>
    </row>
    <row r="10" spans="1:10">
      <c r="A10" t="str">
        <f t="shared" si="0"/>
        <v>PHYS 34900</v>
      </c>
      <c r="B10" s="54" t="s">
        <v>1486</v>
      </c>
      <c r="C10" t="s">
        <v>241</v>
      </c>
      <c r="H10" t="str">
        <f>VLOOKUP(A10,Updated!B:D,3,FALSE)</f>
        <v>PHYS 349 Introduction to Quantum Computing</v>
      </c>
    </row>
    <row r="11" spans="1:10">
      <c r="A11" t="str">
        <f t="shared" si="0"/>
        <v>PHYS 45000</v>
      </c>
      <c r="B11" s="54" t="s">
        <v>1487</v>
      </c>
      <c r="C11" t="s">
        <v>241</v>
      </c>
      <c r="H11" t="str">
        <f>VLOOKUP(A11,Updated!B:D,3,FALSE)</f>
        <v>PHYS450: Optics Laboratory I</v>
      </c>
    </row>
    <row r="12" spans="1:10">
      <c r="A12" t="str">
        <f t="shared" si="0"/>
        <v>PHYS 52600</v>
      </c>
      <c r="B12" s="54" t="s">
        <v>1488</v>
      </c>
      <c r="C12" t="s">
        <v>241</v>
      </c>
      <c r="H12" t="str">
        <f>VLOOKUP(A12,Updated!B:D,3,FALSE)</f>
        <v>PHYS 526 Physics Of Quantum Computing And Quantum Information</v>
      </c>
    </row>
    <row r="13" spans="1:10">
      <c r="A13" t="str">
        <f t="shared" si="0"/>
        <v>PHYS 54500</v>
      </c>
      <c r="B13" s="54" t="s">
        <v>1489</v>
      </c>
      <c r="C13" t="s">
        <v>241</v>
      </c>
      <c r="H13" t="str">
        <f>VLOOKUP(A13,Updated!B:D,3,FALSE)</f>
        <v>PHYS 545 Solid State Physics</v>
      </c>
    </row>
    <row r="14" spans="1:10">
      <c r="A14" t="str">
        <f t="shared" si="0"/>
        <v>CHE 37800</v>
      </c>
      <c r="B14" s="54" t="s">
        <v>1490</v>
      </c>
      <c r="C14" t="s">
        <v>1543</v>
      </c>
      <c r="H14" t="str">
        <f>VLOOKUP(A14,Updated!B:D,3,FALSE)</f>
        <v>CHE 37800 Heat And Mass Transfer</v>
      </c>
    </row>
    <row r="15" spans="1:10">
      <c r="A15" t="str">
        <f t="shared" si="0"/>
        <v>CHE 42000</v>
      </c>
      <c r="B15" s="54" t="s">
        <v>1491</v>
      </c>
      <c r="C15" t="s">
        <v>1543</v>
      </c>
      <c r="H15" t="str">
        <f>VLOOKUP(A15,Updated!B:D,3,FALSE)</f>
        <v>CHE 42000 Process Safety Management And Analysis</v>
      </c>
    </row>
    <row r="16" spans="1:10">
      <c r="A16" t="str">
        <f t="shared" si="0"/>
        <v>CHE 45600</v>
      </c>
      <c r="B16" s="54" t="s">
        <v>1492</v>
      </c>
      <c r="C16" t="s">
        <v>1543</v>
      </c>
      <c r="H16" t="str">
        <f>VLOOKUP(A16,Updated!B:D,3,FALSE)</f>
        <v>CHE 45600 Process Dynamics And Control</v>
      </c>
    </row>
    <row r="17" spans="1:8">
      <c r="A17" t="str">
        <f t="shared" si="0"/>
        <v>CHE 54000</v>
      </c>
      <c r="B17" s="54" t="s">
        <v>1493</v>
      </c>
      <c r="C17" t="s">
        <v>1543</v>
      </c>
      <c r="H17" t="str">
        <f>VLOOKUP(A17,Updated!B:D,3,FALSE)</f>
        <v>CHE 54000 Transport Penomena</v>
      </c>
    </row>
    <row r="18" spans="1:8">
      <c r="A18" t="str">
        <f t="shared" si="0"/>
        <v>CHE 54400</v>
      </c>
      <c r="B18" s="54" t="s">
        <v>1494</v>
      </c>
      <c r="C18" t="s">
        <v>1543</v>
      </c>
      <c r="H18" t="str">
        <f>VLOOKUP(A18,Updated!B:D,3,FALSE)</f>
        <v>CHE 54400 Struct &amp; Behav of Polymer Sys</v>
      </c>
    </row>
    <row r="19" spans="1:8">
      <c r="A19" t="str">
        <f t="shared" si="0"/>
        <v>CHM 34200</v>
      </c>
      <c r="B19" s="54" t="s">
        <v>1495</v>
      </c>
      <c r="C19" t="s">
        <v>1543</v>
      </c>
      <c r="H19" t="str">
        <f>VLOOKUP(A19,Updated!B:D,3,FALSE)</f>
        <v>CHM 34200 Inorganic Chemistry</v>
      </c>
    </row>
    <row r="20" spans="1:8">
      <c r="A20" t="str">
        <f t="shared" si="0"/>
        <v>IE 37000</v>
      </c>
      <c r="B20" s="54" t="s">
        <v>1496</v>
      </c>
      <c r="C20" t="s">
        <v>1543</v>
      </c>
      <c r="H20" t="str">
        <f>VLOOKUP(A20,Updated!B:D,3,FALSE)</f>
        <v>IE 37000 Manufacturing Processes I</v>
      </c>
    </row>
    <row r="21" spans="1:8">
      <c r="A21" t="str">
        <f t="shared" si="0"/>
        <v>IE 38300</v>
      </c>
      <c r="B21" s="54" t="s">
        <v>1497</v>
      </c>
      <c r="C21" t="s">
        <v>1543</v>
      </c>
      <c r="H21" t="str">
        <f>VLOOKUP(A21,Updated!B:D,3,FALSE)</f>
        <v>IE 38300 Integrated Production Systems I</v>
      </c>
    </row>
    <row r="22" spans="1:8">
      <c r="A22" t="str">
        <f t="shared" si="0"/>
        <v>IE 47000</v>
      </c>
      <c r="B22" s="54" t="s">
        <v>1498</v>
      </c>
      <c r="C22" t="s">
        <v>1543</v>
      </c>
      <c r="H22" t="str">
        <f>VLOOKUP(A22,Updated!B:D,3,FALSE)</f>
        <v>IE 47000 Manufacturing Processes II</v>
      </c>
    </row>
    <row r="23" spans="1:8">
      <c r="A23" t="str">
        <f t="shared" si="0"/>
        <v>IE 57000</v>
      </c>
      <c r="B23" s="54" t="s">
        <v>1499</v>
      </c>
      <c r="C23" t="s">
        <v>1543</v>
      </c>
      <c r="H23" t="str">
        <f>VLOOKUP(A23,Updated!B:D,3,FALSE)</f>
        <v>IE 57000 Manufacturing Process Engineering</v>
      </c>
    </row>
    <row r="24" spans="1:8">
      <c r="A24" t="str">
        <f t="shared" si="0"/>
        <v>IE 57900</v>
      </c>
      <c r="B24" s="54" t="s">
        <v>1500</v>
      </c>
      <c r="C24" t="s">
        <v>1543</v>
      </c>
      <c r="H24" t="str">
        <f>VLOOKUP(A24,Updated!B:D,3,FALSE)</f>
        <v>IE 57900 Design And Control Of Production And Manufacturing Systems</v>
      </c>
    </row>
    <row r="25" spans="1:8">
      <c r="A25" t="str">
        <f t="shared" si="0"/>
        <v>IE 58300</v>
      </c>
      <c r="B25" s="54" t="s">
        <v>1501</v>
      </c>
      <c r="C25" t="s">
        <v>1543</v>
      </c>
      <c r="H25" t="str">
        <f>VLOOKUP(A25,Updated!B:D,3,FALSE)</f>
        <v>IE 58300 Design And Evaluation Of Material Handling Systems</v>
      </c>
    </row>
    <row r="26" spans="1:8">
      <c r="A26" t="str">
        <f t="shared" si="0"/>
        <v>ME 36300</v>
      </c>
      <c r="B26" s="54" t="s">
        <v>1502</v>
      </c>
      <c r="C26" t="s">
        <v>1543</v>
      </c>
      <c r="H26" t="str">
        <f>VLOOKUP(A26,Updated!B:D,3,FALSE)</f>
        <v>ME 363 Principles And Practices Of Manufacturing Processes</v>
      </c>
    </row>
    <row r="27" spans="1:8">
      <c r="A27" t="str">
        <f t="shared" si="0"/>
        <v>ME 55700</v>
      </c>
      <c r="B27" s="54" t="s">
        <v>1503</v>
      </c>
      <c r="C27" t="s">
        <v>1543</v>
      </c>
      <c r="H27" t="str">
        <f>VLOOKUP(A27,Updated!B:D,3,FALSE)</f>
        <v>ME 557 Design for Manufacturing</v>
      </c>
    </row>
    <row r="28" spans="1:8">
      <c r="A28" t="str">
        <f t="shared" si="0"/>
        <v>MSE 23000</v>
      </c>
      <c r="B28" s="54" t="s">
        <v>1504</v>
      </c>
      <c r="C28" t="s">
        <v>1543</v>
      </c>
      <c r="H28" t="str">
        <f>VLOOKUP(A28,Updated!B:D,3,FALSE)</f>
        <v>MSE 23000 Structure &amp; Properties of Materials</v>
      </c>
    </row>
    <row r="29" spans="1:8">
      <c r="A29" t="str">
        <f t="shared" si="0"/>
        <v>MSE 27000</v>
      </c>
      <c r="B29" s="54" t="s">
        <v>1505</v>
      </c>
      <c r="C29" t="s">
        <v>1543</v>
      </c>
      <c r="H29" t="str">
        <f>VLOOKUP(A29,Updated!B:D,3,FALSE)</f>
        <v>MSE 27000 Atomistic Materials Science</v>
      </c>
    </row>
    <row r="30" spans="1:8">
      <c r="A30" t="str">
        <f t="shared" si="0"/>
        <v>MSE 36700</v>
      </c>
      <c r="B30" s="54" t="s">
        <v>1506</v>
      </c>
      <c r="C30" t="s">
        <v>1543</v>
      </c>
      <c r="H30" t="str">
        <f>VLOOKUP(A30,Updated!B:D,3,FALSE)</f>
        <v>MSE 36700 Materials Processing Laboratory</v>
      </c>
    </row>
    <row r="31" spans="1:8">
      <c r="A31" t="str">
        <f t="shared" si="0"/>
        <v>MSE 37000</v>
      </c>
      <c r="B31" s="54" t="s">
        <v>1507</v>
      </c>
      <c r="C31" t="s">
        <v>1543</v>
      </c>
      <c r="H31" t="str">
        <f>VLOOKUP(A31,Updated!B:D,3,FALSE)</f>
        <v>MSE 37000 Electrical, Optical, And Magnetic Properties Of Materials</v>
      </c>
    </row>
    <row r="32" spans="1:8">
      <c r="A32" t="str">
        <f t="shared" si="0"/>
        <v>MSE 50200</v>
      </c>
      <c r="B32" s="54" t="s">
        <v>1508</v>
      </c>
      <c r="C32" t="s">
        <v>1543</v>
      </c>
      <c r="H32" t="str">
        <f>VLOOKUP(A32,Updated!B:D,3,FALSE)</f>
        <v>MSE 50200 Defects in Solids</v>
      </c>
    </row>
    <row r="33" spans="1:8">
      <c r="A33" t="str">
        <f t="shared" si="0"/>
        <v>MSE 51000</v>
      </c>
      <c r="B33" s="54" t="s">
        <v>1509</v>
      </c>
      <c r="C33" t="s">
        <v>1543</v>
      </c>
      <c r="H33" t="str">
        <f>VLOOKUP(A33,Updated!B:D,3,FALSE)</f>
        <v>MSE 51000 Microstructural Characterization Techniques</v>
      </c>
    </row>
    <row r="34" spans="1:8">
      <c r="A34" t="str">
        <f t="shared" si="0"/>
        <v>MSE 52300</v>
      </c>
      <c r="B34" s="54" t="s">
        <v>1510</v>
      </c>
      <c r="C34" t="s">
        <v>1543</v>
      </c>
      <c r="H34" t="str">
        <f>VLOOKUP(A34,Updated!B:D,3,FALSE)</f>
        <v>MSE 52300 Physical Ceramics</v>
      </c>
    </row>
    <row r="35" spans="1:8">
      <c r="A35" t="str">
        <f t="shared" si="0"/>
        <v>MSE 54700</v>
      </c>
      <c r="B35" s="54" t="s">
        <v>1511</v>
      </c>
      <c r="C35" t="s">
        <v>1543</v>
      </c>
      <c r="H35" t="str">
        <f>VLOOKUP(A35,Updated!B:D,3,FALSE)</f>
        <v>MSE 54700 Introduction To Surface Science</v>
      </c>
    </row>
    <row r="36" spans="1:8">
      <c r="A36" t="str">
        <f t="shared" si="0"/>
        <v>MSE 54800</v>
      </c>
      <c r="B36" s="54" t="s">
        <v>1512</v>
      </c>
      <c r="C36" t="s">
        <v>1543</v>
      </c>
      <c r="H36" t="str">
        <f>VLOOKUP(A36,Updated!B:D,3,FALSE)</f>
        <v>MSE 54800 Deposition Processing Of Thin Films And Coatings</v>
      </c>
    </row>
    <row r="37" spans="1:8">
      <c r="A37" t="str">
        <f t="shared" si="0"/>
        <v>NUCL 42001</v>
      </c>
      <c r="B37" s="54" t="s">
        <v>1513</v>
      </c>
      <c r="C37" t="s">
        <v>1543</v>
      </c>
      <c r="H37" t="str">
        <f>VLOOKUP(A37,Updated!B:D,3,FALSE)</f>
        <v>NUCL 42001 Radiation Interaction With Materials And Applications</v>
      </c>
    </row>
    <row r="38" spans="1:8">
      <c r="A38" t="str">
        <f t="shared" si="0"/>
        <v>NUCL 52000</v>
      </c>
      <c r="B38" s="54" t="s">
        <v>1514</v>
      </c>
      <c r="C38" t="s">
        <v>1543</v>
      </c>
      <c r="H38" t="str">
        <f>VLOOKUP(A38,Updated!B:D,3,FALSE)</f>
        <v>NUCL 52000 Radiation Effects And Reactor Materials</v>
      </c>
    </row>
    <row r="39" spans="1:8">
      <c r="A39" t="str">
        <f t="shared" si="0"/>
        <v>NUCL 55300</v>
      </c>
      <c r="B39" s="54" t="s">
        <v>1515</v>
      </c>
      <c r="C39" t="s">
        <v>1543</v>
      </c>
      <c r="H39" t="str">
        <f>VLOOKUP(A39,Updated!B:D,3,FALSE)</f>
        <v>NUCL 55300 Nano-Macro Scale Applications Of Nuclear Technology</v>
      </c>
    </row>
    <row r="40" spans="1:8">
      <c r="A40" t="str">
        <f t="shared" si="0"/>
        <v>ECE 33700</v>
      </c>
      <c r="B40" s="54" t="s">
        <v>1516</v>
      </c>
      <c r="C40" t="s">
        <v>116</v>
      </c>
      <c r="H40" t="str">
        <f>VLOOKUP(A40,Updated!B:D,3,FALSE)</f>
        <v>ECE 33700 ASIC Design Laboratory</v>
      </c>
    </row>
    <row r="41" spans="1:8">
      <c r="A41" t="str">
        <f t="shared" si="0"/>
        <v>ECE 36200</v>
      </c>
      <c r="B41" s="54" t="s">
        <v>1517</v>
      </c>
      <c r="C41" t="s">
        <v>116</v>
      </c>
      <c r="H41" t="str">
        <f>VLOOKUP(A41,Updated!B:D,3,FALSE)</f>
        <v>ECE 36200 Microprocessor Systems And Interfacing</v>
      </c>
    </row>
    <row r="42" spans="1:8">
      <c r="A42" t="str">
        <f t="shared" si="0"/>
        <v>ECE 40655</v>
      </c>
      <c r="B42" s="54" t="s">
        <v>1518</v>
      </c>
      <c r="C42" t="s">
        <v>116</v>
      </c>
      <c r="H42" t="str">
        <f>VLOOKUP(A42,Updated!B:D,3,FALSE)</f>
        <v>ECE 40655 Digital Integrated Circuit Analysis and Design</v>
      </c>
    </row>
    <row r="43" spans="1:8">
      <c r="A43" t="str">
        <f t="shared" si="0"/>
        <v>ECE 40656</v>
      </c>
      <c r="B43" s="54" t="s">
        <v>1519</v>
      </c>
      <c r="C43" t="s">
        <v>116</v>
      </c>
      <c r="H43" t="str">
        <f>VLOOKUP(A43,Updated!B:D,3,FALSE)</f>
        <v>ECE 40656 CMOS Analog and Mixed Signal Integrated Circuits</v>
      </c>
    </row>
    <row r="44" spans="1:8">
      <c r="A44" t="str">
        <f t="shared" si="0"/>
        <v>ECE 51214</v>
      </c>
      <c r="B44" s="54" t="s">
        <v>1520</v>
      </c>
      <c r="C44" t="s">
        <v>116</v>
      </c>
      <c r="H44" t="str">
        <f>VLOOKUP(A44,Updated!B:D,3,FALSE)</f>
        <v>ECE 51214 CMOS Analog IC Design</v>
      </c>
    </row>
    <row r="45" spans="1:8">
      <c r="A45" t="str">
        <f t="shared" si="0"/>
        <v>ECE 51220</v>
      </c>
      <c r="B45" s="54" t="s">
        <v>1521</v>
      </c>
      <c r="C45" t="s">
        <v>116</v>
      </c>
      <c r="H45" t="str">
        <f>VLOOKUP(A45,Updated!B:D,3,FALSE)</f>
        <v>ECE 51220 Applied Algorithms</v>
      </c>
    </row>
    <row r="46" spans="1:8">
      <c r="A46" t="str">
        <f t="shared" si="0"/>
        <v>ECE 55900</v>
      </c>
      <c r="B46" s="54" t="s">
        <v>1522</v>
      </c>
      <c r="C46" t="s">
        <v>116</v>
      </c>
      <c r="H46" t="str">
        <f>VLOOKUP(A46,Updated!B:D,3,FALSE)</f>
        <v>ECE 55900 MOS VLSI Design</v>
      </c>
    </row>
    <row r="47" spans="1:8">
      <c r="A47" t="str">
        <f t="shared" si="0"/>
        <v>ECE 56800</v>
      </c>
      <c r="B47" s="54" t="s">
        <v>1523</v>
      </c>
      <c r="C47" t="s">
        <v>116</v>
      </c>
      <c r="H47" t="str">
        <f>VLOOKUP(A47,Updated!B:D,3,FALSE)</f>
        <v>ECE 56800 Embedded Systems</v>
      </c>
    </row>
    <row r="48" spans="1:8">
      <c r="A48" t="str">
        <f t="shared" si="0"/>
        <v>CHE 32000</v>
      </c>
      <c r="B48" s="54" t="s">
        <v>1524</v>
      </c>
      <c r="C48" t="s">
        <v>69</v>
      </c>
      <c r="H48" t="str">
        <f>VLOOKUP(A48,Updated!B:D,3,FALSE)</f>
        <v>CHE 32000 Statistical Modeling And Quality Enhancement</v>
      </c>
    </row>
    <row r="49" spans="1:8">
      <c r="A49" t="str">
        <f t="shared" si="0"/>
        <v>ME 50300</v>
      </c>
      <c r="B49" s="54" t="s">
        <v>1525</v>
      </c>
      <c r="C49" t="s">
        <v>69</v>
      </c>
      <c r="H49" t="str">
        <f>VLOOKUP(A49,Updated!B:D,3,FALSE)</f>
        <v>ME 503 Micro-and-Nano Scale Energy Transfer Process</v>
      </c>
    </row>
    <row r="50" spans="1:8">
      <c r="A50" t="str">
        <f t="shared" si="0"/>
        <v>ME 51100</v>
      </c>
      <c r="B50" s="54" t="s">
        <v>1526</v>
      </c>
      <c r="C50" t="s">
        <v>69</v>
      </c>
      <c r="H50" t="str">
        <f>VLOOKUP(A50,Updated!B:D,3,FALSE)</f>
        <v>ME 511 Heat Transfer in Electronics Packaging</v>
      </c>
    </row>
    <row r="51" spans="1:8">
      <c r="A51" t="str">
        <f t="shared" si="0"/>
        <v>PHYS 53600</v>
      </c>
      <c r="B51" s="54" t="s">
        <v>1527</v>
      </c>
      <c r="C51" t="s">
        <v>69</v>
      </c>
      <c r="H51" t="str">
        <f>VLOOKUP(A51,Updated!B:D,3,FALSE)</f>
        <v>PHYS 536 Electronic Techniques for Research</v>
      </c>
    </row>
    <row r="52" spans="1:8">
      <c r="A52" t="str">
        <f t="shared" si="0"/>
        <v>CHE 32000</v>
      </c>
      <c r="B52" s="54" t="s">
        <v>1524</v>
      </c>
      <c r="C52" t="s">
        <v>348</v>
      </c>
      <c r="H52" t="str">
        <f>VLOOKUP(A52,Updated!B:D,3,FALSE)</f>
        <v>CHE 32000 Statistical Modeling And Quality Enhancement</v>
      </c>
    </row>
    <row r="53" spans="1:8">
      <c r="A53" t="str">
        <f t="shared" si="0"/>
        <v>IE 38600</v>
      </c>
      <c r="B53" s="54" t="s">
        <v>1528</v>
      </c>
      <c r="C53" t="s">
        <v>348</v>
      </c>
      <c r="H53" t="str">
        <f>VLOOKUP(A53,Updated!B:D,3,FALSE)</f>
        <v>IE 38600 Work Analysis And Design I</v>
      </c>
    </row>
    <row r="54" spans="1:8">
      <c r="A54" t="str">
        <f t="shared" ref="A54:A66" si="1">LEFT(B54,FIND("-",B54)-2)</f>
        <v>IE 48400</v>
      </c>
      <c r="B54" s="54" t="s">
        <v>1529</v>
      </c>
      <c r="C54" t="s">
        <v>348</v>
      </c>
      <c r="H54" t="str">
        <f>VLOOKUP(A54,Updated!B:D,3,FALSE)</f>
        <v>IE 48400 Integrated Production Systems II</v>
      </c>
    </row>
    <row r="55" spans="1:8">
      <c r="A55" t="str">
        <f t="shared" si="1"/>
        <v>IE 48600</v>
      </c>
      <c r="B55" s="54" t="s">
        <v>1530</v>
      </c>
      <c r="C55" t="s">
        <v>348</v>
      </c>
      <c r="H55" t="str">
        <f>VLOOKUP(A55,Updated!B:D,3,FALSE)</f>
        <v>IE 48600 Work Analysis And Design II</v>
      </c>
    </row>
    <row r="56" spans="1:8">
      <c r="A56" t="str">
        <f t="shared" si="1"/>
        <v>IE 53200</v>
      </c>
      <c r="B56" s="54" t="s">
        <v>1531</v>
      </c>
      <c r="C56" t="s">
        <v>348</v>
      </c>
      <c r="H56" t="str">
        <f>VLOOKUP(A56,Updated!B:D,3,FALSE)</f>
        <v>IE 53200 Reliability</v>
      </c>
    </row>
    <row r="57" spans="1:8">
      <c r="A57" t="str">
        <f t="shared" si="1"/>
        <v>IE 53300</v>
      </c>
      <c r="B57" s="54" t="s">
        <v>1532</v>
      </c>
      <c r="C57" t="s">
        <v>348</v>
      </c>
      <c r="H57" t="str">
        <f>VLOOKUP(A57,Updated!B:D,3,FALSE)</f>
        <v>IE 53300 Industrial Applications Of Statistics</v>
      </c>
    </row>
    <row r="58" spans="1:8">
      <c r="A58" t="str">
        <f t="shared" si="1"/>
        <v>IE 55800</v>
      </c>
      <c r="B58" s="54" t="s">
        <v>1533</v>
      </c>
      <c r="C58" t="s">
        <v>348</v>
      </c>
      <c r="H58" t="str">
        <f>VLOOKUP(A58,Updated!B:D,3,FALSE)</f>
        <v>IE 55800 Safety Engineering</v>
      </c>
    </row>
    <row r="59" spans="1:8">
      <c r="A59" t="str">
        <f t="shared" si="1"/>
        <v>IE 56600</v>
      </c>
      <c r="B59" s="54" t="s">
        <v>1534</v>
      </c>
      <c r="C59" t="s">
        <v>348</v>
      </c>
      <c r="H59" t="str">
        <f>VLOOKUP(A59,Updated!B:D,3,FALSE)</f>
        <v>IE 56600 Production Management Control</v>
      </c>
    </row>
    <row r="60" spans="1:8">
      <c r="A60" t="str">
        <f t="shared" si="1"/>
        <v>IE 58200</v>
      </c>
      <c r="B60" s="54" t="s">
        <v>1535</v>
      </c>
      <c r="C60" t="s">
        <v>348</v>
      </c>
      <c r="H60" t="str">
        <f>VLOOKUP(A60,Updated!B:D,3,FALSE)</f>
        <v>IE 58200 Advanced Facilities Design</v>
      </c>
    </row>
    <row r="61" spans="1:8">
      <c r="A61" t="str">
        <f t="shared" si="1"/>
        <v>MIS 47900</v>
      </c>
      <c r="B61" s="54" t="s">
        <v>1536</v>
      </c>
      <c r="C61" t="s">
        <v>348</v>
      </c>
      <c r="H61" t="str">
        <f>VLOOKUP(A61,Updated!B:D,3,FALSE)</f>
        <v>MIS 47900 Data Visualization</v>
      </c>
    </row>
    <row r="62" spans="1:8">
      <c r="A62" t="str">
        <f t="shared" si="1"/>
        <v>QM 40500</v>
      </c>
      <c r="B62" s="54" t="s">
        <v>1537</v>
      </c>
      <c r="C62" t="s">
        <v>348</v>
      </c>
      <c r="H62" t="str">
        <f>VLOOKUP(A62,Updated!B:D,3,FALSE)</f>
        <v>QM 40500 Six Sigma And Quality Analytics</v>
      </c>
    </row>
    <row r="63" spans="1:8">
      <c r="A63" t="str">
        <f t="shared" si="1"/>
        <v>QM 47300</v>
      </c>
      <c r="B63" s="54" t="s">
        <v>1538</v>
      </c>
      <c r="C63" t="s">
        <v>348</v>
      </c>
      <c r="H63" t="str">
        <f>VLOOKUP(A63,Updated!B:D,3,FALSE)</f>
        <v>QM 47300 Data Mining</v>
      </c>
    </row>
    <row r="64" spans="1:8">
      <c r="A64" t="str">
        <f t="shared" si="1"/>
        <v>QM 47400</v>
      </c>
      <c r="B64" s="54" t="s">
        <v>1539</v>
      </c>
      <c r="C64" t="s">
        <v>348</v>
      </c>
      <c r="H64" t="str">
        <f>VLOOKUP(A64,Updated!B:D,3,FALSE)</f>
        <v>QM 47400 Predictive Analytics</v>
      </c>
    </row>
    <row r="65" spans="1:8">
      <c r="A65" t="str">
        <f t="shared" si="1"/>
        <v>SCOM 26100</v>
      </c>
      <c r="B65" s="54" t="s">
        <v>1540</v>
      </c>
      <c r="C65" t="s">
        <v>348</v>
      </c>
      <c r="H65" t="str">
        <f>VLOOKUP(A65,Updated!B:D,3,FALSE)</f>
        <v>SCOM 26100 Introduction To Supply Chain Management</v>
      </c>
    </row>
    <row r="66" spans="1:8">
      <c r="A66" t="str">
        <f t="shared" si="1"/>
        <v>SCOM 46200</v>
      </c>
      <c r="B66" s="54" t="s">
        <v>1541</v>
      </c>
      <c r="C66" t="s">
        <v>348</v>
      </c>
      <c r="H66" t="str">
        <f>VLOOKUP(A66,Updated!B:D,3,FALSE)</f>
        <v>SCOM 46200 Advanced Manufacturing Planning And Control Systems</v>
      </c>
    </row>
    <row r="67" spans="1:8">
      <c r="A67" t="str">
        <f>LEFT(B67,FIND("-",B67)-2)</f>
        <v>SCOM 46300</v>
      </c>
      <c r="B67" s="54" t="s">
        <v>1542</v>
      </c>
      <c r="C67" t="s">
        <v>348</v>
      </c>
      <c r="H67" t="str">
        <f>VLOOKUP(A67,Updated!B:D,3,FALSE)</f>
        <v>SCOM 46300 Supply Chain Analytics</v>
      </c>
    </row>
  </sheetData>
  <hyperlinks>
    <hyperlink ref="B1" r:id="rId1" display="https://catalog.purdue.edu/preview_program.php?catoid=19&amp;poid=35832&amp;hl=%22semiconductor%22&amp;returnto=search" xr:uid="{12ECAF7A-593B-4503-9657-BAABD324FA9A}"/>
    <hyperlink ref="B2" r:id="rId2" display="https://catalog.purdue.edu/preview_program.php?catoid=19&amp;poid=35832&amp;hl=%22semiconductor%22&amp;returnto=search" xr:uid="{1ADD2BCB-2D0D-44B3-B0F1-A999DF6ADB55}"/>
    <hyperlink ref="B3" r:id="rId3" display="https://catalog.purdue.edu/preview_program.php?catoid=19&amp;poid=35832&amp;hl=%22semiconductor%22&amp;returnto=search" xr:uid="{1FE885CB-6FB9-417A-A3B2-9C44185EAE63}"/>
    <hyperlink ref="B4" r:id="rId4" display="https://catalog.purdue.edu/preview_program.php?catoid=19&amp;poid=35832&amp;hl=%22semiconductor%22&amp;returnto=search" xr:uid="{5E1CBCBA-10C3-464D-9BCF-1178B72E4B1A}"/>
    <hyperlink ref="B5" r:id="rId5" display="https://catalog.purdue.edu/preview_program.php?catoid=19&amp;poid=35832&amp;hl=%22semiconductor%22&amp;returnto=search" xr:uid="{25856407-0491-4E57-A363-A4604068FE4D}"/>
    <hyperlink ref="B6" r:id="rId6" display="https://catalog.purdue.edu/preview_program.php?catoid=19&amp;poid=35832&amp;hl=%22semiconductor%22&amp;returnto=search" xr:uid="{277A94F0-F9D0-4F01-BF8B-675D26ECC057}"/>
    <hyperlink ref="B7" r:id="rId7" display="https://catalog.purdue.edu/preview_program.php?catoid=19&amp;poid=35832&amp;hl=%22semiconductor%22&amp;returnto=search" xr:uid="{70EC2856-42B3-4724-ABD6-BD97A7BC3D61}"/>
    <hyperlink ref="B8" r:id="rId8" display="https://catalog.purdue.edu/preview_program.php?catoid=19&amp;poid=35832&amp;hl=%22semiconductor%22&amp;returnto=search" xr:uid="{1F69B792-26C3-4C05-B90F-C4AD316352C1}"/>
    <hyperlink ref="B9" r:id="rId9" display="https://catalog.purdue.edu/preview_program.php?catoid=19&amp;poid=35832&amp;hl=%22semiconductor%22&amp;returnto=search" xr:uid="{258463F8-4CF1-4739-A5FE-7DFFED6D6B08}"/>
    <hyperlink ref="B10" r:id="rId10" display="https://catalog.purdue.edu/preview_program.php?catoid=19&amp;poid=35832&amp;hl=%22semiconductor%22&amp;returnto=search" xr:uid="{762FF568-1B6B-4222-8C14-9640750934C9}"/>
    <hyperlink ref="B11" r:id="rId11" display="https://catalog.purdue.edu/preview_program.php?catoid=19&amp;poid=35832&amp;hl=%22semiconductor%22&amp;returnto=search" xr:uid="{3678AC71-4B5B-404F-9B46-5B2F18CD8EF6}"/>
    <hyperlink ref="B12" r:id="rId12" display="https://catalog.purdue.edu/preview_program.php?catoid=19&amp;poid=35832&amp;hl=%22semiconductor%22&amp;returnto=search" xr:uid="{14A87256-4D83-48BD-9077-329B882AD573}"/>
    <hyperlink ref="B13" r:id="rId13" display="https://catalog.purdue.edu/preview_program.php?catoid=19&amp;poid=35832&amp;hl=%22semiconductor%22&amp;returnto=search" xr:uid="{9D7EEE52-AED4-46CA-ABFD-1ADFA3937E84}"/>
    <hyperlink ref="B14" r:id="rId14" display="https://catalog.purdue.edu/preview_program.php?catoid=19&amp;poid=35832&amp;hl=%22semiconductor%22&amp;returnto=search" xr:uid="{85BA5476-258D-453B-AE61-A85E1B8F1C02}"/>
    <hyperlink ref="B15" r:id="rId15" display="https://catalog.purdue.edu/preview_program.php?catoid=19&amp;poid=35832&amp;hl=%22semiconductor%22&amp;returnto=search" xr:uid="{FED50D80-6AE8-4B86-B6A6-65F57E8A5C66}"/>
    <hyperlink ref="B16" r:id="rId16" display="https://catalog.purdue.edu/preview_program.php?catoid=19&amp;poid=35832&amp;hl=%22semiconductor%22&amp;returnto=search" xr:uid="{2DBBCFB6-1ACD-4954-87CB-8EB3E872ECBF}"/>
    <hyperlink ref="B17" r:id="rId17" display="https://catalog.purdue.edu/preview_program.php?catoid=19&amp;poid=35832&amp;hl=%22semiconductor%22&amp;returnto=search" xr:uid="{3B05F45E-EF16-485A-A7D9-CC3ED115B23E}"/>
    <hyperlink ref="B18" r:id="rId18" display="https://catalog.purdue.edu/preview_program.php?catoid=19&amp;poid=35832&amp;hl=%22semiconductor%22&amp;returnto=search" xr:uid="{32A26E9E-AEAA-454E-B2EC-F86B8878C813}"/>
    <hyperlink ref="B19" r:id="rId19" display="https://catalog.purdue.edu/preview_program.php?catoid=19&amp;poid=35832&amp;hl=%22semiconductor%22&amp;returnto=search" xr:uid="{B31CA67E-31DC-4DB1-94F9-FDA98E90CB5C}"/>
    <hyperlink ref="B20" r:id="rId20" display="https://catalog.purdue.edu/preview_program.php?catoid=19&amp;poid=35832&amp;hl=%22semiconductor%22&amp;returnto=search" xr:uid="{21ECA055-5743-4BC1-90D6-57C957E20507}"/>
    <hyperlink ref="B21" r:id="rId21" display="https://catalog.purdue.edu/preview_program.php?catoid=19&amp;poid=35832&amp;hl=%22semiconductor%22&amp;returnto=search" xr:uid="{F8FD0954-D7D0-41E0-8572-AE48F4DA89EA}"/>
    <hyperlink ref="B22" r:id="rId22" display="https://catalog.purdue.edu/preview_program.php?catoid=19&amp;poid=35832&amp;hl=%22semiconductor%22&amp;returnto=search" xr:uid="{080DA96D-9E54-431E-8EBE-7577F3B5F185}"/>
    <hyperlink ref="B23" r:id="rId23" display="https://catalog.purdue.edu/preview_program.php?catoid=19&amp;poid=35832&amp;hl=%22semiconductor%22&amp;returnto=search" xr:uid="{CEE76E51-B6DF-4579-9B87-974C3EF83EBC}"/>
    <hyperlink ref="B24" r:id="rId24" display="https://catalog.purdue.edu/preview_program.php?catoid=19&amp;poid=35832&amp;hl=%22semiconductor%22&amp;returnto=search" xr:uid="{41E1F2FB-AE6A-4B2F-90D6-4BEB7B0ADD88}"/>
    <hyperlink ref="B25" r:id="rId25" display="https://catalog.purdue.edu/preview_program.php?catoid=19&amp;poid=35832&amp;hl=%22semiconductor%22&amp;returnto=search" xr:uid="{185E2ADE-79A2-4963-BD78-9554DC559182}"/>
    <hyperlink ref="B26" r:id="rId26" display="https://catalog.purdue.edu/preview_program.php?catoid=19&amp;poid=35832&amp;hl=%22semiconductor%22&amp;returnto=search" xr:uid="{7C9BF496-1F2F-40AD-BFD0-C3578618A8F4}"/>
    <hyperlink ref="B27" r:id="rId27" display="https://catalog.purdue.edu/preview_program.php?catoid=19&amp;poid=35832&amp;hl=%22semiconductor%22&amp;returnto=search" xr:uid="{529F2876-F8B2-48C5-B35D-7BAD984C1014}"/>
    <hyperlink ref="B28" r:id="rId28" display="https://catalog.purdue.edu/preview_program.php?catoid=19&amp;poid=35832&amp;hl=%22semiconductor%22&amp;returnto=search" xr:uid="{2EA31A89-A4E3-4C8D-A997-8A8BC4F71B3F}"/>
    <hyperlink ref="B29" r:id="rId29" display="https://catalog.purdue.edu/preview_program.php?catoid=19&amp;poid=35832&amp;hl=%22semiconductor%22&amp;returnto=search" xr:uid="{7BB75562-34EC-4D45-B2D1-6556DDA7E21C}"/>
    <hyperlink ref="B30" r:id="rId30" display="https://catalog.purdue.edu/preview_program.php?catoid=19&amp;poid=35832&amp;hl=%22semiconductor%22&amp;returnto=search" xr:uid="{D6B28BA4-5977-4FF3-BCA6-81367F8141F4}"/>
    <hyperlink ref="B31" r:id="rId31" display="https://catalog.purdue.edu/preview_program.php?catoid=19&amp;poid=35832&amp;hl=%22semiconductor%22&amp;returnto=search" xr:uid="{0F081A90-39B9-4743-BF89-81EAFA34DA38}"/>
    <hyperlink ref="B32" r:id="rId32" display="https://catalog.purdue.edu/preview_program.php?catoid=19&amp;poid=35832&amp;hl=%22semiconductor%22&amp;returnto=search" xr:uid="{8A44C563-5F0D-462A-B51E-152D7ADF71F7}"/>
    <hyperlink ref="B33" r:id="rId33" display="https://catalog.purdue.edu/preview_program.php?catoid=19&amp;poid=35832&amp;hl=%22semiconductor%22&amp;returnto=search" xr:uid="{90A11CC1-FC2B-4A18-BD79-724077CD49E3}"/>
    <hyperlink ref="B34" r:id="rId34" display="https://catalog.purdue.edu/preview_program.php?catoid=19&amp;poid=35832&amp;hl=%22semiconductor%22&amp;returnto=search" xr:uid="{81C0D3BB-5C5C-4362-96F7-89DBB2E15679}"/>
    <hyperlink ref="B35" r:id="rId35" display="https://catalog.purdue.edu/preview_program.php?catoid=19&amp;poid=35832&amp;hl=%22semiconductor%22&amp;returnto=search" xr:uid="{1E082CC2-1D23-4013-BD80-3AD131D543E5}"/>
    <hyperlink ref="B36" r:id="rId36" display="https://catalog.purdue.edu/preview_program.php?catoid=19&amp;poid=35832&amp;hl=%22semiconductor%22&amp;returnto=search" xr:uid="{DBC097B5-2B0D-41DD-9D16-A6D0A1388F28}"/>
    <hyperlink ref="B37" r:id="rId37" display="https://catalog.purdue.edu/preview_program.php?catoid=19&amp;poid=35832&amp;hl=%22semiconductor%22&amp;returnto=search" xr:uid="{B9034A4C-7163-42FF-A5A3-077962489FDC}"/>
    <hyperlink ref="B38" r:id="rId38" display="https://catalog.purdue.edu/preview_program.php?catoid=19&amp;poid=35832&amp;hl=%22semiconductor%22&amp;returnto=search" xr:uid="{A8838DEF-0F64-441B-94B7-8C490ADC2EF7}"/>
    <hyperlink ref="B39" r:id="rId39" display="https://catalog.purdue.edu/preview_program.php?catoid=19&amp;poid=35832&amp;hl=%22semiconductor%22&amp;returnto=search" xr:uid="{413A3549-E041-4C01-AC4E-D3226010B17E}"/>
    <hyperlink ref="B40" r:id="rId40" display="https://catalog.purdue.edu/preview_program.php?catoid=19&amp;poid=35832&amp;hl=%22semiconductor%22&amp;returnto=search" xr:uid="{16A5F983-AABF-4C40-819F-88ED4C9D402B}"/>
    <hyperlink ref="B41" r:id="rId41" display="https://catalog.purdue.edu/preview_program.php?catoid=19&amp;poid=35832&amp;hl=%22semiconductor%22&amp;returnto=search" xr:uid="{C9D0C549-9939-4F4E-B1B5-754D3EA55CDA}"/>
    <hyperlink ref="B42" r:id="rId42" display="https://catalog.purdue.edu/preview_program.php?catoid=19&amp;poid=35832&amp;hl=%22semiconductor%22&amp;returnto=search" xr:uid="{33B3145A-FBDA-4451-BF3E-071A02A80E8D}"/>
    <hyperlink ref="B43" r:id="rId43" display="https://catalog.purdue.edu/preview_program.php?catoid=19&amp;poid=35832&amp;hl=%22semiconductor%22&amp;returnto=search" xr:uid="{863585CB-4891-4B46-9831-952574F17BF2}"/>
    <hyperlink ref="B44" r:id="rId44" display="https://catalog.purdue.edu/preview_program.php?catoid=19&amp;poid=35832&amp;hl=%22semiconductor%22&amp;returnto=search" xr:uid="{9D846B58-0FBC-4215-8E6B-B0C9D2CE0086}"/>
    <hyperlink ref="B45" r:id="rId45" display="https://catalog.purdue.edu/preview_program.php?catoid=19&amp;poid=35832&amp;hl=%22semiconductor%22&amp;returnto=search" xr:uid="{859A7419-F1C3-423F-81EA-E77A4E808821}"/>
    <hyperlink ref="B46" r:id="rId46" display="https://catalog.purdue.edu/preview_program.php?catoid=19&amp;poid=35832&amp;hl=%22semiconductor%22&amp;returnto=search" xr:uid="{1D23E097-9CF4-478D-961D-528530630954}"/>
    <hyperlink ref="B47" r:id="rId47" display="https://catalog.purdue.edu/preview_program.php?catoid=19&amp;poid=35832&amp;hl=%22semiconductor%22&amp;returnto=search" xr:uid="{1BAA428C-A23E-420E-953F-07896C8D6F9D}"/>
    <hyperlink ref="B48" r:id="rId48" display="https://catalog.purdue.edu/preview_program.php?catoid=19&amp;poid=35832&amp;hl=%22semiconductor%22&amp;returnto=search" xr:uid="{B945C62F-EAD9-43A0-9D51-C8460E85F4E8}"/>
    <hyperlink ref="B49" r:id="rId49" display="https://catalog.purdue.edu/preview_program.php?catoid=19&amp;poid=35832&amp;hl=%22semiconductor%22&amp;returnto=search" xr:uid="{F826049E-C4A9-480C-8879-C6E40977B5CD}"/>
    <hyperlink ref="B50" r:id="rId50" display="https://catalog.purdue.edu/preview_program.php?catoid=19&amp;poid=35832&amp;hl=%22semiconductor%22&amp;returnto=search" xr:uid="{ED69C1A5-5855-4A23-A83B-650944DF489F}"/>
    <hyperlink ref="B51" r:id="rId51" display="https://catalog.purdue.edu/preview_program.php?catoid=19&amp;poid=35832&amp;hl=%22semiconductor%22&amp;returnto=search" xr:uid="{0BB62F3F-1338-4E53-A7A8-C40F5C17B655}"/>
    <hyperlink ref="B52" r:id="rId52" display="https://catalog.purdue.edu/preview_program.php?catoid=19&amp;poid=35832&amp;hl=%22semiconductor%22&amp;returnto=search" xr:uid="{D92AD9A7-C5C8-4089-A465-3188CA41A592}"/>
    <hyperlink ref="B53" r:id="rId53" display="https://catalog.purdue.edu/preview_program.php?catoid=19&amp;poid=35832&amp;hl=%22semiconductor%22&amp;returnto=search" xr:uid="{4E19C785-57F2-4922-BB49-9922BC324313}"/>
    <hyperlink ref="B54" r:id="rId54" display="https://catalog.purdue.edu/preview_program.php?catoid=19&amp;poid=35832&amp;hl=%22semiconductor%22&amp;returnto=search" xr:uid="{FC4D7C8D-F3A8-46CE-852D-1FDA2847F4FE}"/>
    <hyperlink ref="B55" r:id="rId55" display="https://catalog.purdue.edu/preview_program.php?catoid=19&amp;poid=35832&amp;hl=%22semiconductor%22&amp;returnto=search" xr:uid="{362E309A-6E9F-4A02-BEFB-A1005EDA27ED}"/>
    <hyperlink ref="B56" r:id="rId56" display="https://catalog.purdue.edu/preview_program.php?catoid=19&amp;poid=35832&amp;hl=%22semiconductor%22&amp;returnto=search" xr:uid="{03DC71EB-D90D-46D6-A1F4-F47801C2A21A}"/>
    <hyperlink ref="B57" r:id="rId57" display="https://catalog.purdue.edu/preview_program.php?catoid=19&amp;poid=35832&amp;hl=%22semiconductor%22&amp;returnto=search" xr:uid="{A2798661-97FF-46CC-887C-2DF80DB358F5}"/>
    <hyperlink ref="B58" r:id="rId58" display="https://catalog.purdue.edu/preview_program.php?catoid=19&amp;poid=35832&amp;hl=%22semiconductor%22&amp;returnto=search" xr:uid="{6AC8329E-FF22-45C2-8273-CA58CC7D37B6}"/>
    <hyperlink ref="B59" r:id="rId59" display="https://catalog.purdue.edu/preview_program.php?catoid=19&amp;poid=35832&amp;hl=%22semiconductor%22&amp;returnto=search" xr:uid="{335DDFE0-4A5E-488A-8EF0-4F204014D788}"/>
    <hyperlink ref="B60" r:id="rId60" display="https://catalog.purdue.edu/preview_program.php?catoid=19&amp;poid=35832&amp;hl=%22semiconductor%22&amp;returnto=search" xr:uid="{0A040776-F8CA-47FF-BF22-EBC19FEC63ED}"/>
    <hyperlink ref="B61" r:id="rId61" display="https://catalog.purdue.edu/preview_program.php?catoid=19&amp;poid=35832&amp;hl=%22semiconductor%22&amp;returnto=search" xr:uid="{E33CE98B-11B8-4F17-B097-46A69C9DD418}"/>
    <hyperlink ref="B62" r:id="rId62" display="https://catalog.purdue.edu/preview_program.php?catoid=19&amp;poid=35832&amp;hl=%22semiconductor%22&amp;returnto=search" xr:uid="{C5625C9B-24D5-4B19-B376-68E76851E8D8}"/>
    <hyperlink ref="B63" r:id="rId63" display="https://catalog.purdue.edu/preview_program.php?catoid=19&amp;poid=35832&amp;hl=%22semiconductor%22&amp;returnto=search" xr:uid="{B59C3BA1-69D3-4A1E-B73B-559E9269DD75}"/>
    <hyperlink ref="B64" r:id="rId64" display="https://catalog.purdue.edu/preview_program.php?catoid=19&amp;poid=35832&amp;hl=%22semiconductor%22&amp;returnto=search" xr:uid="{2F162E66-B4AC-4C3B-B06E-904D0DEFD276}"/>
    <hyperlink ref="B65" r:id="rId65" display="https://catalog.purdue.edu/preview_program.php?catoid=19&amp;poid=35832&amp;hl=%22semiconductor%22&amp;returnto=search" xr:uid="{E7F35684-790B-420C-BE32-EF981DD67706}"/>
    <hyperlink ref="B66" r:id="rId66" display="https://catalog.purdue.edu/preview_program.php?catoid=19&amp;poid=35832&amp;hl=%22semiconductor%22&amp;returnto=search" xr:uid="{0B753A32-0664-4D06-83AA-1B337DD9CC25}"/>
    <hyperlink ref="B67" r:id="rId67" display="https://catalog.purdue.edu/preview_program.php?catoid=19&amp;poid=35832&amp;hl=%22semiconductor%22&amp;returnto=search" xr:uid="{5BEDB457-26B7-43FF-973C-BD941A0E83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3FF7-9340-400B-9FC3-7A2E06A6F033}">
  <dimension ref="A1:H261"/>
  <sheetViews>
    <sheetView tabSelected="1" zoomScale="115" zoomScaleNormal="115" workbookViewId="0">
      <pane xSplit="3" ySplit="1" topLeftCell="D180" activePane="bottomRight" state="frozen"/>
      <selection pane="topRight" activeCell="D1" sqref="D1"/>
      <selection pane="bottomLeft" activeCell="A2" sqref="A2"/>
      <selection pane="bottomRight" activeCell="C199" sqref="C199"/>
    </sheetView>
  </sheetViews>
  <sheetFormatPr defaultColWidth="10.875" defaultRowHeight="11.25"/>
  <cols>
    <col min="1" max="2" width="8.875" style="59" customWidth="1"/>
    <col min="3" max="3" width="45.125" style="59" customWidth="1"/>
    <col min="4" max="4" width="8" style="60" customWidth="1"/>
    <col min="5" max="5" width="43.625" style="59" customWidth="1"/>
    <col min="6" max="6" width="65.125" style="59" customWidth="1"/>
    <col min="7" max="7" width="14.875" style="59" customWidth="1"/>
    <col min="8" max="8" width="19.5" style="59" bestFit="1" customWidth="1"/>
    <col min="9" max="9" width="6.625" style="59" customWidth="1"/>
    <col min="10" max="16384" width="10.875" style="59"/>
  </cols>
  <sheetData>
    <row r="1" spans="1:8">
      <c r="A1" s="56" t="s">
        <v>1178</v>
      </c>
      <c r="B1" s="57" t="s">
        <v>53</v>
      </c>
      <c r="C1" s="57" t="s">
        <v>55</v>
      </c>
      <c r="D1" s="57" t="s">
        <v>56</v>
      </c>
      <c r="E1" s="57" t="s">
        <v>561</v>
      </c>
      <c r="F1" s="57" t="s">
        <v>560</v>
      </c>
      <c r="G1" s="57" t="s">
        <v>562</v>
      </c>
      <c r="H1" s="58" t="s">
        <v>1225</v>
      </c>
    </row>
    <row r="2" spans="1:8">
      <c r="A2" s="60" t="s">
        <v>60</v>
      </c>
      <c r="B2" s="61" t="s">
        <v>60</v>
      </c>
      <c r="C2" s="61" t="s">
        <v>62</v>
      </c>
      <c r="D2" s="62">
        <v>4</v>
      </c>
      <c r="E2" s="61" t="s">
        <v>1283</v>
      </c>
      <c r="F2" s="61" t="s">
        <v>973</v>
      </c>
      <c r="G2" s="61" t="s">
        <v>754</v>
      </c>
    </row>
    <row r="3" spans="1:8">
      <c r="A3" s="60" t="s">
        <v>65</v>
      </c>
      <c r="B3" s="61" t="s">
        <v>65</v>
      </c>
      <c r="C3" s="61" t="s">
        <v>66</v>
      </c>
      <c r="D3" s="62">
        <v>4</v>
      </c>
      <c r="E3" s="61" t="s">
        <v>1284</v>
      </c>
      <c r="F3" s="61" t="s">
        <v>974</v>
      </c>
      <c r="G3" s="61" t="s">
        <v>755</v>
      </c>
    </row>
    <row r="4" spans="1:8">
      <c r="A4" s="60" t="s">
        <v>67</v>
      </c>
      <c r="B4" s="61" t="s">
        <v>67</v>
      </c>
      <c r="C4" s="61" t="s">
        <v>68</v>
      </c>
      <c r="D4" s="62">
        <v>3</v>
      </c>
      <c r="E4" s="61" t="s">
        <v>1285</v>
      </c>
      <c r="F4" s="61" t="s">
        <v>975</v>
      </c>
      <c r="G4" s="61" t="s">
        <v>756</v>
      </c>
    </row>
    <row r="5" spans="1:8">
      <c r="A5" s="60" t="s">
        <v>349</v>
      </c>
      <c r="B5" s="61" t="s">
        <v>349</v>
      </c>
      <c r="C5" s="61" t="s">
        <v>351</v>
      </c>
      <c r="D5" s="62">
        <v>3</v>
      </c>
      <c r="E5" s="61" t="s">
        <v>1286</v>
      </c>
      <c r="F5" s="61" t="s">
        <v>976</v>
      </c>
      <c r="G5" s="61" t="s">
        <v>757</v>
      </c>
    </row>
    <row r="6" spans="1:8">
      <c r="A6" s="60" t="s">
        <v>72</v>
      </c>
      <c r="B6" s="61" t="s">
        <v>72</v>
      </c>
      <c r="C6" s="61" t="s">
        <v>73</v>
      </c>
      <c r="D6" s="62">
        <v>4</v>
      </c>
      <c r="E6" s="61" t="s">
        <v>1287</v>
      </c>
      <c r="F6" s="61" t="s">
        <v>977</v>
      </c>
      <c r="G6" s="61" t="s">
        <v>758</v>
      </c>
    </row>
    <row r="7" spans="1:8">
      <c r="A7" s="60" t="s">
        <v>74</v>
      </c>
      <c r="B7" s="61" t="s">
        <v>74</v>
      </c>
      <c r="C7" s="61" t="s">
        <v>75</v>
      </c>
      <c r="D7" s="62">
        <v>4</v>
      </c>
      <c r="E7" s="61" t="s">
        <v>1288</v>
      </c>
      <c r="F7" s="61" t="s">
        <v>978</v>
      </c>
      <c r="G7" s="61" t="s">
        <v>759</v>
      </c>
    </row>
    <row r="8" spans="1:8">
      <c r="A8" s="60" t="s">
        <v>445</v>
      </c>
      <c r="B8" s="61" t="s">
        <v>445</v>
      </c>
      <c r="C8" s="61" t="s">
        <v>446</v>
      </c>
      <c r="D8" s="62">
        <v>4</v>
      </c>
      <c r="E8" s="61" t="s">
        <v>1289</v>
      </c>
      <c r="F8" s="61" t="s">
        <v>979</v>
      </c>
      <c r="G8" s="61" t="s">
        <v>760</v>
      </c>
    </row>
    <row r="9" spans="1:8">
      <c r="A9" s="60" t="s">
        <v>447</v>
      </c>
      <c r="B9" s="61" t="s">
        <v>447</v>
      </c>
      <c r="C9" s="61" t="s">
        <v>448</v>
      </c>
      <c r="D9" s="62">
        <v>3</v>
      </c>
      <c r="E9" s="61" t="s">
        <v>1290</v>
      </c>
      <c r="F9" s="61" t="s">
        <v>980</v>
      </c>
      <c r="G9" s="61" t="s">
        <v>761</v>
      </c>
    </row>
    <row r="10" spans="1:8">
      <c r="A10" s="60" t="s">
        <v>81</v>
      </c>
      <c r="B10" s="61" t="s">
        <v>81</v>
      </c>
      <c r="C10" s="61" t="s">
        <v>82</v>
      </c>
      <c r="D10" s="62">
        <v>4</v>
      </c>
      <c r="E10" s="61" t="s">
        <v>1291</v>
      </c>
      <c r="F10" s="61" t="s">
        <v>981</v>
      </c>
      <c r="G10" s="61" t="s">
        <v>762</v>
      </c>
    </row>
    <row r="11" spans="1:8">
      <c r="A11" s="60" t="s">
        <v>83</v>
      </c>
      <c r="B11" s="61" t="s">
        <v>83</v>
      </c>
      <c r="C11" s="61" t="s">
        <v>84</v>
      </c>
      <c r="D11" s="62">
        <v>4</v>
      </c>
      <c r="E11" s="61" t="s">
        <v>1292</v>
      </c>
      <c r="F11" s="61" t="s">
        <v>982</v>
      </c>
      <c r="G11" s="61" t="s">
        <v>763</v>
      </c>
    </row>
    <row r="12" spans="1:8">
      <c r="A12" s="60" t="s">
        <v>449</v>
      </c>
      <c r="B12" s="61" t="s">
        <v>449</v>
      </c>
      <c r="C12" s="61" t="s">
        <v>450</v>
      </c>
      <c r="D12" s="62">
        <v>3</v>
      </c>
      <c r="E12" s="61" t="s">
        <v>1293</v>
      </c>
      <c r="F12" s="61" t="s">
        <v>983</v>
      </c>
      <c r="G12" s="61" t="s">
        <v>764</v>
      </c>
    </row>
    <row r="13" spans="1:8">
      <c r="A13" s="60" t="s">
        <v>87</v>
      </c>
      <c r="B13" s="61" t="s">
        <v>87</v>
      </c>
      <c r="C13" s="61" t="s">
        <v>88</v>
      </c>
      <c r="D13" s="62">
        <v>3</v>
      </c>
      <c r="E13" s="61" t="s">
        <v>74</v>
      </c>
      <c r="F13" s="61" t="s">
        <v>984</v>
      </c>
      <c r="G13" s="61" t="s">
        <v>765</v>
      </c>
    </row>
    <row r="14" spans="1:8">
      <c r="A14" s="60" t="s">
        <v>89</v>
      </c>
      <c r="B14" s="61" t="s">
        <v>89</v>
      </c>
      <c r="C14" s="61" t="s">
        <v>90</v>
      </c>
      <c r="D14" s="62">
        <v>3</v>
      </c>
      <c r="E14" s="61" t="s">
        <v>1294</v>
      </c>
      <c r="F14" s="61" t="s">
        <v>985</v>
      </c>
      <c r="G14" s="61" t="s">
        <v>766</v>
      </c>
    </row>
    <row r="15" spans="1:8">
      <c r="A15" s="60" t="s">
        <v>451</v>
      </c>
      <c r="B15" s="61" t="s">
        <v>451</v>
      </c>
      <c r="C15" s="61" t="s">
        <v>452</v>
      </c>
      <c r="D15" s="62">
        <v>3</v>
      </c>
      <c r="E15" s="61" t="s">
        <v>445</v>
      </c>
      <c r="F15" s="61" t="s">
        <v>986</v>
      </c>
      <c r="G15" s="61" t="s">
        <v>767</v>
      </c>
    </row>
    <row r="16" spans="1:8">
      <c r="A16" s="60" t="s">
        <v>93</v>
      </c>
      <c r="B16" s="61" t="s">
        <v>93</v>
      </c>
      <c r="C16" s="61" t="s">
        <v>94</v>
      </c>
      <c r="D16" s="62">
        <v>3</v>
      </c>
      <c r="E16" s="61" t="s">
        <v>72</v>
      </c>
      <c r="F16" s="61" t="s">
        <v>987</v>
      </c>
      <c r="G16" s="61" t="s">
        <v>768</v>
      </c>
    </row>
    <row r="17" spans="1:8">
      <c r="A17" s="60" t="s">
        <v>453</v>
      </c>
      <c r="B17" s="61" t="s">
        <v>453</v>
      </c>
      <c r="C17" s="61" t="s">
        <v>454</v>
      </c>
      <c r="D17" s="62">
        <v>3</v>
      </c>
      <c r="E17" s="61" t="s">
        <v>1295</v>
      </c>
      <c r="F17" s="61" t="s">
        <v>988</v>
      </c>
      <c r="G17" s="61" t="s">
        <v>769</v>
      </c>
    </row>
    <row r="18" spans="1:8">
      <c r="A18" s="60" t="s">
        <v>98</v>
      </c>
      <c r="B18" s="61" t="s">
        <v>98</v>
      </c>
      <c r="C18" s="61" t="s">
        <v>99</v>
      </c>
      <c r="D18" s="62">
        <v>3</v>
      </c>
      <c r="E18" s="61" t="s">
        <v>1448</v>
      </c>
      <c r="F18" s="61" t="s">
        <v>989</v>
      </c>
      <c r="G18" s="61" t="s">
        <v>770</v>
      </c>
    </row>
    <row r="19" spans="1:8">
      <c r="A19" s="60" t="s">
        <v>100</v>
      </c>
      <c r="B19" s="61" t="s">
        <v>100</v>
      </c>
      <c r="C19" s="61" t="s">
        <v>101</v>
      </c>
      <c r="D19" s="62">
        <v>3</v>
      </c>
      <c r="E19" s="61" t="s">
        <v>1448</v>
      </c>
      <c r="F19" s="61" t="s">
        <v>990</v>
      </c>
      <c r="G19" s="61" t="s">
        <v>771</v>
      </c>
    </row>
    <row r="20" spans="1:8">
      <c r="A20" s="60" t="s">
        <v>102</v>
      </c>
      <c r="B20" s="61" t="s">
        <v>102</v>
      </c>
      <c r="C20" s="61" t="s">
        <v>103</v>
      </c>
      <c r="D20" s="62">
        <v>3</v>
      </c>
      <c r="E20" s="61" t="s">
        <v>1448</v>
      </c>
      <c r="F20" s="61" t="s">
        <v>991</v>
      </c>
      <c r="G20" s="61" t="s">
        <v>772</v>
      </c>
    </row>
    <row r="21" spans="1:8">
      <c r="A21" s="60" t="s">
        <v>104</v>
      </c>
      <c r="B21" s="61" t="s">
        <v>104</v>
      </c>
      <c r="C21" s="61" t="s">
        <v>105</v>
      </c>
      <c r="D21" s="62">
        <v>3</v>
      </c>
      <c r="E21" s="61" t="s">
        <v>1296</v>
      </c>
      <c r="F21" s="61" t="s">
        <v>992</v>
      </c>
      <c r="G21" s="61" t="s">
        <v>773</v>
      </c>
    </row>
    <row r="22" spans="1:8">
      <c r="A22" s="60" t="s">
        <v>107</v>
      </c>
      <c r="B22" s="61" t="s">
        <v>107</v>
      </c>
      <c r="C22" s="61" t="s">
        <v>108</v>
      </c>
      <c r="D22" s="62">
        <v>3</v>
      </c>
      <c r="E22" s="61" t="s">
        <v>1297</v>
      </c>
      <c r="F22" s="61" t="s">
        <v>993</v>
      </c>
      <c r="G22" s="61" t="s">
        <v>774</v>
      </c>
    </row>
    <row r="23" spans="1:8">
      <c r="A23" s="60" t="s">
        <v>109</v>
      </c>
      <c r="B23" s="61" t="s">
        <v>109</v>
      </c>
      <c r="C23" s="61" t="s">
        <v>110</v>
      </c>
      <c r="D23" s="62"/>
      <c r="E23" s="61"/>
      <c r="F23" s="61"/>
      <c r="G23" s="61" t="s">
        <v>775</v>
      </c>
    </row>
    <row r="24" spans="1:8">
      <c r="A24" s="60" t="s">
        <v>1179</v>
      </c>
      <c r="B24" s="61" t="s">
        <v>109</v>
      </c>
      <c r="C24" s="61" t="s">
        <v>111</v>
      </c>
      <c r="D24" s="62"/>
      <c r="E24" s="61"/>
      <c r="F24" s="61"/>
      <c r="G24" s="61" t="s">
        <v>775</v>
      </c>
    </row>
    <row r="25" spans="1:8">
      <c r="A25" s="60" t="s">
        <v>1180</v>
      </c>
      <c r="B25" s="61" t="s">
        <v>109</v>
      </c>
      <c r="C25" s="61" t="s">
        <v>112</v>
      </c>
      <c r="D25" s="62"/>
      <c r="E25" s="61"/>
      <c r="F25" s="61"/>
      <c r="G25" s="61" t="s">
        <v>775</v>
      </c>
    </row>
    <row r="26" spans="1:8">
      <c r="A26" s="60" t="s">
        <v>1181</v>
      </c>
      <c r="B26" s="61" t="s">
        <v>109</v>
      </c>
      <c r="C26" s="61" t="s">
        <v>113</v>
      </c>
      <c r="D26" s="62"/>
      <c r="E26" s="61"/>
      <c r="F26" s="61"/>
      <c r="G26" s="61" t="s">
        <v>775</v>
      </c>
    </row>
    <row r="27" spans="1:8">
      <c r="A27" s="60" t="s">
        <v>1182</v>
      </c>
      <c r="B27" s="61" t="s">
        <v>109</v>
      </c>
      <c r="C27" s="61" t="s">
        <v>114</v>
      </c>
      <c r="D27" s="62"/>
      <c r="E27" s="61"/>
      <c r="F27" s="61"/>
      <c r="G27" s="61" t="s">
        <v>775</v>
      </c>
    </row>
    <row r="28" spans="1:8">
      <c r="A28" s="60" t="s">
        <v>1183</v>
      </c>
      <c r="B28" s="61" t="s">
        <v>109</v>
      </c>
      <c r="C28" s="61" t="s">
        <v>115</v>
      </c>
      <c r="D28" s="62"/>
      <c r="E28" s="61"/>
      <c r="F28" s="61"/>
      <c r="G28" s="61" t="s">
        <v>775</v>
      </c>
    </row>
    <row r="29" spans="1:8">
      <c r="A29" s="60" t="s">
        <v>1184</v>
      </c>
      <c r="B29" s="61" t="s">
        <v>109</v>
      </c>
      <c r="C29" s="61" t="s">
        <v>120</v>
      </c>
      <c r="D29" s="62"/>
      <c r="E29" s="61"/>
      <c r="F29" s="61"/>
      <c r="G29" s="61" t="s">
        <v>775</v>
      </c>
    </row>
    <row r="30" spans="1:8">
      <c r="A30" s="60" t="s">
        <v>1185</v>
      </c>
      <c r="B30" s="61" t="s">
        <v>109</v>
      </c>
      <c r="C30" s="61" t="s">
        <v>455</v>
      </c>
      <c r="D30" s="62"/>
      <c r="E30" s="61"/>
      <c r="F30" s="61"/>
      <c r="G30" s="61" t="s">
        <v>775</v>
      </c>
    </row>
    <row r="31" spans="1:8">
      <c r="A31" s="60" t="s">
        <v>121</v>
      </c>
      <c r="B31" s="61" t="s">
        <v>121</v>
      </c>
      <c r="C31" s="61" t="s">
        <v>1409</v>
      </c>
      <c r="D31" s="62">
        <v>3</v>
      </c>
      <c r="E31" s="61"/>
      <c r="F31" s="61" t="s">
        <v>1434</v>
      </c>
      <c r="G31" s="61" t="s">
        <v>776</v>
      </c>
      <c r="H31" s="59" t="s">
        <v>1433</v>
      </c>
    </row>
    <row r="32" spans="1:8">
      <c r="A32" s="60" t="s">
        <v>125</v>
      </c>
      <c r="B32" s="61" t="s">
        <v>125</v>
      </c>
      <c r="C32" s="61" t="s">
        <v>126</v>
      </c>
      <c r="D32" s="62">
        <v>3</v>
      </c>
      <c r="E32" s="61"/>
      <c r="F32" s="61" t="s">
        <v>1437</v>
      </c>
      <c r="G32" s="61" t="s">
        <v>778</v>
      </c>
    </row>
    <row r="33" spans="1:8">
      <c r="A33" s="60" t="s">
        <v>1435</v>
      </c>
      <c r="B33" s="60" t="s">
        <v>1435</v>
      </c>
      <c r="C33" s="61" t="s">
        <v>1436</v>
      </c>
      <c r="D33" s="62">
        <v>3</v>
      </c>
      <c r="E33" s="61" t="s">
        <v>1448</v>
      </c>
      <c r="F33" s="61" t="s">
        <v>1439</v>
      </c>
      <c r="G33" s="61" t="s">
        <v>1438</v>
      </c>
    </row>
    <row r="34" spans="1:8">
      <c r="A34" s="60" t="s">
        <v>127</v>
      </c>
      <c r="B34" s="61" t="s">
        <v>127</v>
      </c>
      <c r="C34" s="61" t="s">
        <v>128</v>
      </c>
      <c r="D34" s="62">
        <v>3</v>
      </c>
      <c r="E34" s="61"/>
      <c r="F34" s="61" t="s">
        <v>1434</v>
      </c>
      <c r="G34" s="61" t="s">
        <v>779</v>
      </c>
      <c r="H34" s="59" t="s">
        <v>1440</v>
      </c>
    </row>
    <row r="35" spans="1:8">
      <c r="A35" s="60" t="s">
        <v>129</v>
      </c>
      <c r="B35" s="61" t="s">
        <v>129</v>
      </c>
      <c r="C35" s="61" t="s">
        <v>130</v>
      </c>
      <c r="D35" s="62"/>
      <c r="E35" s="61"/>
      <c r="F35" s="61"/>
      <c r="G35" s="61" t="s">
        <v>780</v>
      </c>
    </row>
    <row r="36" spans="1:8">
      <c r="A36" s="60" t="s">
        <v>131</v>
      </c>
      <c r="B36" s="61" t="s">
        <v>131</v>
      </c>
      <c r="C36" s="61" t="s">
        <v>132</v>
      </c>
      <c r="D36" s="62"/>
      <c r="E36" s="61"/>
      <c r="F36" s="61"/>
      <c r="G36" s="61" t="s">
        <v>781</v>
      </c>
    </row>
    <row r="37" spans="1:8">
      <c r="A37" s="60" t="s">
        <v>456</v>
      </c>
      <c r="B37" s="61" t="s">
        <v>456</v>
      </c>
      <c r="C37" s="61" t="s">
        <v>457</v>
      </c>
      <c r="D37" s="62">
        <v>4</v>
      </c>
      <c r="E37" s="61" t="s">
        <v>1298</v>
      </c>
      <c r="F37" s="61" t="s">
        <v>994</v>
      </c>
      <c r="G37" s="61" t="s">
        <v>782</v>
      </c>
    </row>
    <row r="38" spans="1:8">
      <c r="A38" s="60" t="s">
        <v>476</v>
      </c>
      <c r="B38" s="61" t="s">
        <v>476</v>
      </c>
      <c r="C38" s="61" t="s">
        <v>477</v>
      </c>
      <c r="D38" s="62">
        <v>4</v>
      </c>
      <c r="E38" s="61" t="s">
        <v>1299</v>
      </c>
      <c r="F38" s="61" t="s">
        <v>995</v>
      </c>
      <c r="G38" s="61" t="s">
        <v>783</v>
      </c>
    </row>
    <row r="39" spans="1:8">
      <c r="A39" s="60" t="s">
        <v>138</v>
      </c>
      <c r="B39" s="61" t="s">
        <v>138</v>
      </c>
      <c r="C39" s="61" t="s">
        <v>140</v>
      </c>
      <c r="D39" s="62">
        <v>3</v>
      </c>
      <c r="E39" s="61" t="s">
        <v>1300</v>
      </c>
      <c r="F39" s="61" t="s">
        <v>996</v>
      </c>
      <c r="G39" s="61" t="s">
        <v>784</v>
      </c>
    </row>
    <row r="40" spans="1:8">
      <c r="A40" s="60" t="s">
        <v>141</v>
      </c>
      <c r="B40" s="61" t="s">
        <v>141</v>
      </c>
      <c r="C40" s="61" t="s">
        <v>142</v>
      </c>
      <c r="D40" s="62">
        <v>4</v>
      </c>
      <c r="E40" s="61" t="s">
        <v>1301</v>
      </c>
      <c r="F40" s="61" t="s">
        <v>997</v>
      </c>
      <c r="G40" s="61" t="s">
        <v>785</v>
      </c>
    </row>
    <row r="41" spans="1:8">
      <c r="A41" s="60" t="s">
        <v>143</v>
      </c>
      <c r="B41" s="61" t="s">
        <v>143</v>
      </c>
      <c r="C41" s="61" t="s">
        <v>144</v>
      </c>
      <c r="D41" s="62">
        <v>3</v>
      </c>
      <c r="E41" s="61" t="s">
        <v>1302</v>
      </c>
      <c r="F41" s="61" t="s">
        <v>998</v>
      </c>
      <c r="G41" s="61" t="s">
        <v>786</v>
      </c>
    </row>
    <row r="42" spans="1:8">
      <c r="A42" s="60" t="s">
        <v>145</v>
      </c>
      <c r="B42" s="61" t="s">
        <v>145</v>
      </c>
      <c r="C42" s="61" t="s">
        <v>146</v>
      </c>
      <c r="D42" s="62">
        <v>3</v>
      </c>
      <c r="E42" s="61" t="s">
        <v>1303</v>
      </c>
      <c r="F42" s="61" t="s">
        <v>999</v>
      </c>
      <c r="G42" s="61" t="s">
        <v>787</v>
      </c>
    </row>
    <row r="43" spans="1:8">
      <c r="A43" s="60" t="s">
        <v>147</v>
      </c>
      <c r="B43" s="61" t="s">
        <v>147</v>
      </c>
      <c r="C43" s="61" t="s">
        <v>148</v>
      </c>
      <c r="D43" s="62">
        <v>4</v>
      </c>
      <c r="E43" s="61" t="s">
        <v>1304</v>
      </c>
      <c r="F43" s="61" t="s">
        <v>1000</v>
      </c>
      <c r="G43" s="61" t="s">
        <v>788</v>
      </c>
    </row>
    <row r="44" spans="1:8">
      <c r="A44" s="60" t="s">
        <v>482</v>
      </c>
      <c r="B44" s="61" t="s">
        <v>482</v>
      </c>
      <c r="C44" s="61" t="s">
        <v>483</v>
      </c>
      <c r="D44" s="62">
        <v>3</v>
      </c>
      <c r="E44" s="61" t="s">
        <v>1305</v>
      </c>
      <c r="F44" s="61" t="s">
        <v>1001</v>
      </c>
      <c r="G44" s="61" t="s">
        <v>789</v>
      </c>
    </row>
    <row r="45" spans="1:8">
      <c r="A45" s="60" t="s">
        <v>151</v>
      </c>
      <c r="B45" s="61" t="s">
        <v>151</v>
      </c>
      <c r="C45" s="61" t="s">
        <v>152</v>
      </c>
      <c r="D45" s="62">
        <v>3</v>
      </c>
      <c r="E45" s="61" t="s">
        <v>1306</v>
      </c>
      <c r="F45" s="61" t="s">
        <v>1002</v>
      </c>
      <c r="G45" s="61" t="s">
        <v>790</v>
      </c>
    </row>
    <row r="46" spans="1:8">
      <c r="A46" s="60" t="s">
        <v>153</v>
      </c>
      <c r="B46" s="61" t="s">
        <v>153</v>
      </c>
      <c r="C46" s="61" t="s">
        <v>154</v>
      </c>
      <c r="D46" s="62">
        <v>1</v>
      </c>
      <c r="E46" s="61" t="s">
        <v>1307</v>
      </c>
      <c r="F46" s="61" t="s">
        <v>1003</v>
      </c>
      <c r="G46" s="61" t="s">
        <v>791</v>
      </c>
    </row>
    <row r="47" spans="1:8">
      <c r="A47" s="60" t="s">
        <v>155</v>
      </c>
      <c r="B47" s="61" t="s">
        <v>155</v>
      </c>
      <c r="C47" s="61" t="s">
        <v>156</v>
      </c>
      <c r="D47" s="62">
        <v>3</v>
      </c>
      <c r="E47" s="61" t="s">
        <v>151</v>
      </c>
      <c r="F47" s="61" t="s">
        <v>1004</v>
      </c>
      <c r="G47" s="61" t="s">
        <v>792</v>
      </c>
    </row>
    <row r="48" spans="1:8">
      <c r="A48" s="60" t="s">
        <v>157</v>
      </c>
      <c r="B48" s="61" t="s">
        <v>157</v>
      </c>
      <c r="C48" s="61" t="s">
        <v>158</v>
      </c>
      <c r="D48" s="62">
        <v>1</v>
      </c>
      <c r="E48" s="61" t="s">
        <v>1308</v>
      </c>
      <c r="F48" s="61" t="s">
        <v>1005</v>
      </c>
      <c r="G48" s="61" t="s">
        <v>793</v>
      </c>
    </row>
    <row r="49" spans="1:7">
      <c r="A49" s="60" t="s">
        <v>159</v>
      </c>
      <c r="B49" s="61" t="s">
        <v>159</v>
      </c>
      <c r="C49" s="61" t="s">
        <v>160</v>
      </c>
      <c r="D49" s="62">
        <v>4</v>
      </c>
      <c r="E49" s="61" t="s">
        <v>1309</v>
      </c>
      <c r="F49" s="61" t="s">
        <v>1006</v>
      </c>
      <c r="G49" s="61" t="s">
        <v>794</v>
      </c>
    </row>
    <row r="50" spans="1:7">
      <c r="A50" s="60" t="s">
        <v>161</v>
      </c>
      <c r="B50" s="61" t="s">
        <v>161</v>
      </c>
      <c r="C50" s="61" t="s">
        <v>162</v>
      </c>
      <c r="D50" s="62">
        <v>3</v>
      </c>
      <c r="E50" s="61" t="s">
        <v>1310</v>
      </c>
      <c r="F50" s="61" t="s">
        <v>1007</v>
      </c>
      <c r="G50" s="61" t="s">
        <v>795</v>
      </c>
    </row>
    <row r="51" spans="1:7">
      <c r="A51" s="60" t="s">
        <v>163</v>
      </c>
      <c r="B51" s="61" t="s">
        <v>163</v>
      </c>
      <c r="C51" s="61" t="s">
        <v>164</v>
      </c>
      <c r="D51" s="62">
        <v>3</v>
      </c>
      <c r="E51" s="61" t="s">
        <v>1311</v>
      </c>
      <c r="F51" s="61" t="s">
        <v>1008</v>
      </c>
      <c r="G51" s="61" t="s">
        <v>796</v>
      </c>
    </row>
    <row r="52" spans="1:7">
      <c r="A52" s="60" t="s">
        <v>165</v>
      </c>
      <c r="B52" s="61" t="s">
        <v>165</v>
      </c>
      <c r="C52" s="61" t="s">
        <v>166</v>
      </c>
      <c r="D52" s="62"/>
      <c r="E52" s="61" t="s">
        <v>1312</v>
      </c>
      <c r="F52" s="61" t="s">
        <v>1009</v>
      </c>
      <c r="G52" s="61" t="s">
        <v>797</v>
      </c>
    </row>
    <row r="53" spans="1:7">
      <c r="A53" s="60" t="s">
        <v>167</v>
      </c>
      <c r="B53" s="61" t="s">
        <v>167</v>
      </c>
      <c r="C53" s="61" t="s">
        <v>168</v>
      </c>
      <c r="D53" s="62">
        <v>3</v>
      </c>
      <c r="E53" s="61" t="s">
        <v>155</v>
      </c>
      <c r="F53" s="61" t="s">
        <v>1010</v>
      </c>
      <c r="G53" s="61" t="s">
        <v>798</v>
      </c>
    </row>
    <row r="54" spans="1:7">
      <c r="A54" s="60" t="s">
        <v>169</v>
      </c>
      <c r="B54" s="61" t="s">
        <v>169</v>
      </c>
      <c r="C54" s="61" t="s">
        <v>170</v>
      </c>
      <c r="D54" s="62">
        <v>3</v>
      </c>
      <c r="E54" s="61" t="s">
        <v>1313</v>
      </c>
      <c r="F54" s="61" t="s">
        <v>1011</v>
      </c>
      <c r="G54" s="61" t="s">
        <v>799</v>
      </c>
    </row>
    <row r="55" spans="1:7">
      <c r="A55" s="60" t="s">
        <v>171</v>
      </c>
      <c r="B55" s="61" t="s">
        <v>171</v>
      </c>
      <c r="C55" s="61" t="s">
        <v>172</v>
      </c>
      <c r="D55" s="62">
        <v>0</v>
      </c>
      <c r="E55" s="61"/>
      <c r="F55" s="61" t="s">
        <v>1012</v>
      </c>
      <c r="G55" s="61" t="s">
        <v>800</v>
      </c>
    </row>
    <row r="56" spans="1:7">
      <c r="A56" s="60" t="s">
        <v>173</v>
      </c>
      <c r="B56" s="61" t="s">
        <v>173</v>
      </c>
      <c r="C56" s="61" t="s">
        <v>174</v>
      </c>
      <c r="D56" s="62">
        <v>3</v>
      </c>
      <c r="E56" s="61"/>
      <c r="F56" s="61" t="s">
        <v>1013</v>
      </c>
      <c r="G56" s="61" t="s">
        <v>801</v>
      </c>
    </row>
    <row r="57" spans="1:7">
      <c r="A57" s="60" t="s">
        <v>175</v>
      </c>
      <c r="B57" s="61" t="s">
        <v>175</v>
      </c>
      <c r="C57" s="61" t="s">
        <v>176</v>
      </c>
      <c r="D57" s="62">
        <v>3</v>
      </c>
      <c r="E57" s="61"/>
      <c r="F57" s="61" t="s">
        <v>1014</v>
      </c>
      <c r="G57" s="61" t="s">
        <v>802</v>
      </c>
    </row>
    <row r="58" spans="1:7">
      <c r="A58" s="60" t="s">
        <v>177</v>
      </c>
      <c r="B58" s="61" t="s">
        <v>177</v>
      </c>
      <c r="C58" s="61" t="s">
        <v>178</v>
      </c>
      <c r="D58" s="62">
        <v>3</v>
      </c>
      <c r="E58" s="61"/>
      <c r="F58" s="61" t="s">
        <v>1015</v>
      </c>
      <c r="G58" s="61" t="s">
        <v>803</v>
      </c>
    </row>
    <row r="59" spans="1:7">
      <c r="A59" s="60" t="s">
        <v>179</v>
      </c>
      <c r="B59" s="61" t="s">
        <v>179</v>
      </c>
      <c r="C59" s="61" t="s">
        <v>180</v>
      </c>
      <c r="D59" s="62">
        <v>3</v>
      </c>
      <c r="E59" s="61"/>
      <c r="F59" s="61" t="s">
        <v>1016</v>
      </c>
      <c r="G59" s="61" t="s">
        <v>804</v>
      </c>
    </row>
    <row r="60" spans="1:7">
      <c r="A60" s="60" t="s">
        <v>486</v>
      </c>
      <c r="B60" s="61" t="s">
        <v>486</v>
      </c>
      <c r="C60" s="61" t="s">
        <v>487</v>
      </c>
      <c r="D60" s="62">
        <v>3</v>
      </c>
      <c r="E60" s="61"/>
      <c r="F60" s="61" t="s">
        <v>1017</v>
      </c>
      <c r="G60" s="61" t="s">
        <v>805</v>
      </c>
    </row>
    <row r="61" spans="1:7">
      <c r="A61" s="60" t="s">
        <v>184</v>
      </c>
      <c r="B61" s="61" t="s">
        <v>184</v>
      </c>
      <c r="C61" s="61" t="s">
        <v>185</v>
      </c>
      <c r="D61" s="62">
        <v>3</v>
      </c>
      <c r="E61" s="61"/>
      <c r="F61" s="61" t="s">
        <v>1018</v>
      </c>
      <c r="G61" s="61" t="s">
        <v>806</v>
      </c>
    </row>
    <row r="62" spans="1:7">
      <c r="A62" s="60" t="s">
        <v>186</v>
      </c>
      <c r="B62" s="61" t="s">
        <v>186</v>
      </c>
      <c r="C62" s="61" t="s">
        <v>187</v>
      </c>
      <c r="D62" s="62">
        <v>3</v>
      </c>
      <c r="E62" s="61"/>
      <c r="F62" s="61" t="s">
        <v>1019</v>
      </c>
      <c r="G62" s="61" t="s">
        <v>807</v>
      </c>
    </row>
    <row r="63" spans="1:7">
      <c r="A63" s="60" t="s">
        <v>188</v>
      </c>
      <c r="B63" s="61" t="s">
        <v>188</v>
      </c>
      <c r="C63" s="61" t="s">
        <v>189</v>
      </c>
      <c r="D63" s="62">
        <v>3</v>
      </c>
      <c r="E63" s="61"/>
      <c r="F63" s="61" t="s">
        <v>1020</v>
      </c>
      <c r="G63" s="61" t="s">
        <v>808</v>
      </c>
    </row>
    <row r="64" spans="1:7">
      <c r="A64" s="60" t="s">
        <v>190</v>
      </c>
      <c r="B64" s="61" t="s">
        <v>190</v>
      </c>
      <c r="C64" s="61" t="s">
        <v>191</v>
      </c>
      <c r="D64" s="62">
        <v>3</v>
      </c>
      <c r="E64" s="61"/>
      <c r="F64" s="61" t="s">
        <v>1021</v>
      </c>
      <c r="G64" s="61" t="s">
        <v>809</v>
      </c>
    </row>
    <row r="65" spans="1:8">
      <c r="A65" s="60" t="s">
        <v>193</v>
      </c>
      <c r="B65" s="61" t="s">
        <v>193</v>
      </c>
      <c r="C65" s="61" t="s">
        <v>194</v>
      </c>
      <c r="D65" s="62">
        <v>3</v>
      </c>
      <c r="E65" s="61"/>
      <c r="F65" s="61" t="s">
        <v>1022</v>
      </c>
      <c r="G65" s="61" t="s">
        <v>810</v>
      </c>
    </row>
    <row r="66" spans="1:8">
      <c r="A66" s="60" t="s">
        <v>195</v>
      </c>
      <c r="B66" s="61" t="s">
        <v>195</v>
      </c>
      <c r="C66" s="61" t="s">
        <v>196</v>
      </c>
      <c r="D66" s="62">
        <v>3</v>
      </c>
      <c r="E66" s="61"/>
      <c r="F66" s="61" t="s">
        <v>1023</v>
      </c>
      <c r="G66" s="61" t="s">
        <v>811</v>
      </c>
    </row>
    <row r="67" spans="1:8">
      <c r="A67" s="60" t="s">
        <v>197</v>
      </c>
      <c r="B67" s="61" t="s">
        <v>197</v>
      </c>
      <c r="C67" s="61" t="s">
        <v>198</v>
      </c>
      <c r="D67" s="62">
        <v>3</v>
      </c>
      <c r="E67" s="61"/>
      <c r="F67" s="61" t="s">
        <v>1024</v>
      </c>
      <c r="G67" s="61" t="s">
        <v>812</v>
      </c>
    </row>
    <row r="68" spans="1:8">
      <c r="A68" s="60" t="s">
        <v>199</v>
      </c>
      <c r="B68" s="61" t="s">
        <v>199</v>
      </c>
      <c r="C68" s="61" t="s">
        <v>200</v>
      </c>
      <c r="D68" s="62">
        <v>3</v>
      </c>
      <c r="E68" s="61" t="s">
        <v>193</v>
      </c>
      <c r="F68" s="61" t="s">
        <v>1025</v>
      </c>
      <c r="G68" s="61" t="s">
        <v>813</v>
      </c>
    </row>
    <row r="69" spans="1:8">
      <c r="A69" s="60" t="s">
        <v>201</v>
      </c>
      <c r="B69" s="61" t="s">
        <v>201</v>
      </c>
      <c r="C69" s="61" t="s">
        <v>202</v>
      </c>
      <c r="D69" s="62">
        <v>3</v>
      </c>
      <c r="E69" s="61"/>
      <c r="F69" s="61" t="s">
        <v>1026</v>
      </c>
      <c r="G69" s="61" t="s">
        <v>814</v>
      </c>
    </row>
    <row r="70" spans="1:8">
      <c r="A70" s="60" t="s">
        <v>203</v>
      </c>
      <c r="B70" s="61" t="s">
        <v>203</v>
      </c>
      <c r="C70" s="61" t="s">
        <v>204</v>
      </c>
      <c r="D70" s="62">
        <v>3</v>
      </c>
      <c r="E70" s="61"/>
      <c r="F70" s="61" t="s">
        <v>1027</v>
      </c>
      <c r="G70" s="61" t="s">
        <v>815</v>
      </c>
    </row>
    <row r="71" spans="1:8">
      <c r="A71" s="60" t="s">
        <v>205</v>
      </c>
      <c r="B71" s="61" t="s">
        <v>205</v>
      </c>
      <c r="C71" s="61" t="s">
        <v>1441</v>
      </c>
      <c r="D71" s="62"/>
      <c r="E71" s="61"/>
      <c r="F71" s="61"/>
      <c r="G71" s="61" t="s">
        <v>816</v>
      </c>
    </row>
    <row r="72" spans="1:8">
      <c r="A72" s="60" t="s">
        <v>1186</v>
      </c>
      <c r="B72" s="61" t="s">
        <v>205</v>
      </c>
      <c r="C72" s="61" t="s">
        <v>1442</v>
      </c>
      <c r="D72" s="62"/>
      <c r="E72" s="61"/>
      <c r="F72" s="61"/>
      <c r="G72" s="61" t="s">
        <v>816</v>
      </c>
    </row>
    <row r="73" spans="1:8">
      <c r="A73" s="60" t="s">
        <v>208</v>
      </c>
      <c r="B73" s="61" t="s">
        <v>208</v>
      </c>
      <c r="C73" s="61" t="s">
        <v>210</v>
      </c>
      <c r="D73" s="62">
        <v>3</v>
      </c>
      <c r="E73" s="61" t="s">
        <v>1314</v>
      </c>
      <c r="F73" s="61" t="s">
        <v>1028</v>
      </c>
      <c r="G73" s="61" t="s">
        <v>817</v>
      </c>
      <c r="H73" s="59" t="s">
        <v>1226</v>
      </c>
    </row>
    <row r="74" spans="1:8">
      <c r="A74" s="60" t="s">
        <v>211</v>
      </c>
      <c r="B74" s="61" t="s">
        <v>211</v>
      </c>
      <c r="C74" s="61" t="s">
        <v>212</v>
      </c>
      <c r="D74" s="62">
        <v>3</v>
      </c>
      <c r="E74" s="61" t="s">
        <v>1315</v>
      </c>
      <c r="F74" s="61" t="s">
        <v>1029</v>
      </c>
      <c r="G74" s="61" t="s">
        <v>818</v>
      </c>
      <c r="H74" s="59" t="s">
        <v>1227</v>
      </c>
    </row>
    <row r="75" spans="1:8">
      <c r="A75" s="60" t="s">
        <v>242</v>
      </c>
      <c r="B75" s="61" t="s">
        <v>242</v>
      </c>
      <c r="C75" s="61" t="s">
        <v>244</v>
      </c>
      <c r="D75" s="62">
        <v>3</v>
      </c>
      <c r="E75" s="61" t="s">
        <v>1316</v>
      </c>
      <c r="F75" s="61" t="s">
        <v>1030</v>
      </c>
      <c r="G75" s="61" t="s">
        <v>819</v>
      </c>
      <c r="H75" s="59" t="s">
        <v>1228</v>
      </c>
    </row>
    <row r="76" spans="1:8">
      <c r="A76" s="60" t="s">
        <v>215</v>
      </c>
      <c r="B76" s="61" t="s">
        <v>215</v>
      </c>
      <c r="C76" s="61" t="s">
        <v>216</v>
      </c>
      <c r="D76" s="62">
        <v>1</v>
      </c>
      <c r="E76" s="61" t="s">
        <v>1317</v>
      </c>
      <c r="F76" s="61" t="s">
        <v>1031</v>
      </c>
      <c r="G76" s="61" t="s">
        <v>820</v>
      </c>
      <c r="H76" s="59" t="s">
        <v>1229</v>
      </c>
    </row>
    <row r="77" spans="1:8">
      <c r="A77" s="60" t="s">
        <v>217</v>
      </c>
      <c r="B77" s="61" t="s">
        <v>217</v>
      </c>
      <c r="C77" s="61" t="s">
        <v>218</v>
      </c>
      <c r="D77" s="62">
        <v>3</v>
      </c>
      <c r="E77" s="61" t="s">
        <v>1318</v>
      </c>
      <c r="F77" s="61" t="s">
        <v>1032</v>
      </c>
      <c r="G77" s="61" t="s">
        <v>821</v>
      </c>
      <c r="H77" s="59" t="s">
        <v>1230</v>
      </c>
    </row>
    <row r="78" spans="1:8">
      <c r="A78" s="60" t="s">
        <v>219</v>
      </c>
      <c r="B78" s="61" t="s">
        <v>219</v>
      </c>
      <c r="C78" s="61" t="s">
        <v>220</v>
      </c>
      <c r="D78" s="62">
        <v>3</v>
      </c>
      <c r="E78" s="61" t="s">
        <v>1319</v>
      </c>
      <c r="F78" s="61" t="s">
        <v>1033</v>
      </c>
      <c r="G78" s="61" t="s">
        <v>822</v>
      </c>
      <c r="H78" s="59" t="s">
        <v>1231</v>
      </c>
    </row>
    <row r="79" spans="1:8">
      <c r="A79" s="60" t="s">
        <v>117</v>
      </c>
      <c r="B79" s="61" t="s">
        <v>117</v>
      </c>
      <c r="C79" s="61" t="s">
        <v>119</v>
      </c>
      <c r="D79" s="62">
        <v>2</v>
      </c>
      <c r="E79" s="61" t="s">
        <v>1320</v>
      </c>
      <c r="F79" s="61" t="s">
        <v>1034</v>
      </c>
      <c r="G79" s="61" t="s">
        <v>823</v>
      </c>
      <c r="H79" s="59" t="s">
        <v>1232</v>
      </c>
    </row>
    <row r="80" spans="1:8">
      <c r="A80" s="60" t="s">
        <v>133</v>
      </c>
      <c r="B80" s="61" t="s">
        <v>133</v>
      </c>
      <c r="C80" s="61" t="s">
        <v>135</v>
      </c>
      <c r="D80" s="62">
        <v>4</v>
      </c>
      <c r="E80" s="61" t="s">
        <v>1321</v>
      </c>
      <c r="F80" s="61" t="s">
        <v>1035</v>
      </c>
      <c r="G80" s="61" t="s">
        <v>824</v>
      </c>
      <c r="H80" s="59" t="s">
        <v>1233</v>
      </c>
    </row>
    <row r="81" spans="1:8">
      <c r="A81" s="60" t="s">
        <v>136</v>
      </c>
      <c r="B81" s="61" t="s">
        <v>136</v>
      </c>
      <c r="C81" s="61" t="s">
        <v>137</v>
      </c>
      <c r="D81" s="62">
        <v>3</v>
      </c>
      <c r="E81" s="61" t="s">
        <v>1322</v>
      </c>
      <c r="F81" s="61" t="s">
        <v>1036</v>
      </c>
      <c r="G81" s="61" t="s">
        <v>826</v>
      </c>
      <c r="H81" s="59" t="s">
        <v>1234</v>
      </c>
    </row>
    <row r="82" spans="1:8">
      <c r="A82" s="60" t="s">
        <v>149</v>
      </c>
      <c r="B82" s="61" t="s">
        <v>149</v>
      </c>
      <c r="C82" s="61" t="s">
        <v>150</v>
      </c>
      <c r="D82" s="62">
        <v>3</v>
      </c>
      <c r="E82" s="61" t="s">
        <v>211</v>
      </c>
      <c r="F82" s="61" t="s">
        <v>1037</v>
      </c>
      <c r="G82" s="61" t="s">
        <v>827</v>
      </c>
      <c r="H82" s="59" t="s">
        <v>1235</v>
      </c>
    </row>
    <row r="83" spans="1:8">
      <c r="A83" s="60" t="s">
        <v>228</v>
      </c>
      <c r="B83" s="61" t="s">
        <v>228</v>
      </c>
      <c r="C83" s="61" t="s">
        <v>229</v>
      </c>
      <c r="D83" s="62">
        <v>3</v>
      </c>
      <c r="E83" s="61" t="s">
        <v>1319</v>
      </c>
      <c r="F83" s="61" t="s">
        <v>1033</v>
      </c>
      <c r="G83" s="61" t="s">
        <v>828</v>
      </c>
      <c r="H83" s="59" t="s">
        <v>1236</v>
      </c>
    </row>
    <row r="84" spans="1:8">
      <c r="A84" s="60" t="s">
        <v>230</v>
      </c>
      <c r="B84" s="61" t="s">
        <v>230</v>
      </c>
      <c r="C84" s="61" t="s">
        <v>231</v>
      </c>
      <c r="D84" s="62">
        <v>4</v>
      </c>
      <c r="E84" s="61" t="s">
        <v>1323</v>
      </c>
      <c r="F84" s="61" t="s">
        <v>1038</v>
      </c>
      <c r="G84" s="61" t="s">
        <v>829</v>
      </c>
      <c r="H84" s="59" t="s">
        <v>1237</v>
      </c>
    </row>
    <row r="85" spans="1:8">
      <c r="A85" s="60" t="s">
        <v>245</v>
      </c>
      <c r="B85" s="61" t="s">
        <v>245</v>
      </c>
      <c r="C85" s="61" t="s">
        <v>246</v>
      </c>
      <c r="D85" s="62">
        <v>3</v>
      </c>
      <c r="E85" s="61" t="s">
        <v>1324</v>
      </c>
      <c r="F85" s="61" t="s">
        <v>1039</v>
      </c>
      <c r="G85" s="61" t="s">
        <v>830</v>
      </c>
      <c r="H85" s="59" t="s">
        <v>1238</v>
      </c>
    </row>
    <row r="86" spans="1:8">
      <c r="A86" s="60" t="s">
        <v>233</v>
      </c>
      <c r="B86" s="61" t="s">
        <v>233</v>
      </c>
      <c r="C86" s="61" t="s">
        <v>235</v>
      </c>
      <c r="D86" s="62">
        <v>3</v>
      </c>
      <c r="E86" s="61" t="s">
        <v>1325</v>
      </c>
      <c r="F86" s="61" t="s">
        <v>1040</v>
      </c>
      <c r="G86" s="61" t="s">
        <v>831</v>
      </c>
      <c r="H86" s="59" t="s">
        <v>1239</v>
      </c>
    </row>
    <row r="87" spans="1:8">
      <c r="A87" s="60" t="s">
        <v>236</v>
      </c>
      <c r="B87" s="61" t="s">
        <v>236</v>
      </c>
      <c r="C87" s="61" t="s">
        <v>237</v>
      </c>
      <c r="D87" s="62">
        <v>3</v>
      </c>
      <c r="E87" s="61" t="s">
        <v>1326</v>
      </c>
      <c r="F87" s="61" t="s">
        <v>1036</v>
      </c>
      <c r="G87" s="61" t="s">
        <v>832</v>
      </c>
      <c r="H87" s="59" t="s">
        <v>1240</v>
      </c>
    </row>
    <row r="88" spans="1:8">
      <c r="A88" s="60" t="s">
        <v>247</v>
      </c>
      <c r="B88" s="61" t="s">
        <v>247</v>
      </c>
      <c r="C88" s="61" t="s">
        <v>248</v>
      </c>
      <c r="D88" s="62">
        <v>3</v>
      </c>
      <c r="E88" s="61" t="s">
        <v>1327</v>
      </c>
      <c r="F88" s="61" t="s">
        <v>1041</v>
      </c>
      <c r="G88" s="61" t="s">
        <v>833</v>
      </c>
      <c r="H88" s="59" t="s">
        <v>1241</v>
      </c>
    </row>
    <row r="89" spans="1:8">
      <c r="A89" s="60" t="s">
        <v>249</v>
      </c>
      <c r="B89" s="61" t="s">
        <v>249</v>
      </c>
      <c r="C89" s="61" t="s">
        <v>250</v>
      </c>
      <c r="D89" s="62">
        <v>1</v>
      </c>
      <c r="E89" s="61" t="s">
        <v>1449</v>
      </c>
      <c r="F89" s="61" t="s">
        <v>1042</v>
      </c>
      <c r="G89" s="61" t="s">
        <v>834</v>
      </c>
      <c r="H89" s="59" t="s">
        <v>1242</v>
      </c>
    </row>
    <row r="90" spans="1:8">
      <c r="A90" s="60" t="s">
        <v>251</v>
      </c>
      <c r="B90" s="61" t="s">
        <v>251</v>
      </c>
      <c r="C90" s="61" t="s">
        <v>252</v>
      </c>
      <c r="D90" s="62">
        <v>1</v>
      </c>
      <c r="E90" s="61" t="s">
        <v>1449</v>
      </c>
      <c r="F90" s="61" t="s">
        <v>1043</v>
      </c>
      <c r="G90" s="61" t="s">
        <v>835</v>
      </c>
      <c r="H90" s="59" t="s">
        <v>1243</v>
      </c>
    </row>
    <row r="91" spans="1:8">
      <c r="A91" s="60" t="s">
        <v>253</v>
      </c>
      <c r="B91" s="61" t="s">
        <v>253</v>
      </c>
      <c r="C91" s="61" t="s">
        <v>254</v>
      </c>
      <c r="D91" s="62">
        <v>1</v>
      </c>
      <c r="E91" s="61" t="s">
        <v>1449</v>
      </c>
      <c r="F91" s="61" t="s">
        <v>1044</v>
      </c>
      <c r="G91" s="61" t="s">
        <v>836</v>
      </c>
      <c r="H91" s="59" t="s">
        <v>1244</v>
      </c>
    </row>
    <row r="92" spans="1:8">
      <c r="A92" s="60" t="s">
        <v>255</v>
      </c>
      <c r="B92" s="61" t="s">
        <v>255</v>
      </c>
      <c r="C92" s="61" t="s">
        <v>256</v>
      </c>
      <c r="D92" s="62">
        <v>1</v>
      </c>
      <c r="E92" s="61" t="s">
        <v>1328</v>
      </c>
      <c r="F92" s="61" t="s">
        <v>1045</v>
      </c>
      <c r="G92" s="61" t="s">
        <v>837</v>
      </c>
      <c r="H92" s="59" t="s">
        <v>1245</v>
      </c>
    </row>
    <row r="93" spans="1:8">
      <c r="A93" s="60" t="s">
        <v>263</v>
      </c>
      <c r="B93" s="61" t="s">
        <v>263</v>
      </c>
      <c r="C93" s="61" t="s">
        <v>264</v>
      </c>
      <c r="D93" s="62">
        <v>1</v>
      </c>
      <c r="E93" s="61" t="s">
        <v>1329</v>
      </c>
      <c r="F93" s="61" t="s">
        <v>1046</v>
      </c>
      <c r="G93" s="61" t="s">
        <v>838</v>
      </c>
      <c r="H93" s="59" t="s">
        <v>1246</v>
      </c>
    </row>
    <row r="94" spans="1:8">
      <c r="A94" s="60" t="s">
        <v>265</v>
      </c>
      <c r="B94" s="61" t="s">
        <v>265</v>
      </c>
      <c r="C94" s="61" t="s">
        <v>266</v>
      </c>
      <c r="D94" s="62">
        <v>3</v>
      </c>
      <c r="E94" s="61" t="s">
        <v>1330</v>
      </c>
      <c r="F94" s="61" t="s">
        <v>1047</v>
      </c>
      <c r="G94" s="61" t="s">
        <v>839</v>
      </c>
      <c r="H94" s="59" t="s">
        <v>1247</v>
      </c>
    </row>
    <row r="95" spans="1:8">
      <c r="A95" s="60" t="s">
        <v>181</v>
      </c>
      <c r="B95" s="61" t="s">
        <v>181</v>
      </c>
      <c r="C95" s="61" t="s">
        <v>183</v>
      </c>
      <c r="D95" s="62">
        <v>3</v>
      </c>
      <c r="E95" s="61" t="s">
        <v>1331</v>
      </c>
      <c r="F95" s="61" t="s">
        <v>1048</v>
      </c>
      <c r="G95" s="61" t="s">
        <v>840</v>
      </c>
      <c r="H95" s="59" t="s">
        <v>1248</v>
      </c>
    </row>
    <row r="96" spans="1:8">
      <c r="A96" s="60" t="s">
        <v>213</v>
      </c>
      <c r="B96" s="61" t="s">
        <v>213</v>
      </c>
      <c r="C96" s="61" t="s">
        <v>214</v>
      </c>
      <c r="D96" s="62">
        <v>3</v>
      </c>
      <c r="E96" s="61" t="s">
        <v>1332</v>
      </c>
      <c r="F96" s="61" t="s">
        <v>1049</v>
      </c>
      <c r="G96" s="61" t="s">
        <v>841</v>
      </c>
      <c r="H96" s="59" t="s">
        <v>1249</v>
      </c>
    </row>
    <row r="97" spans="1:8">
      <c r="A97" s="60" t="s">
        <v>257</v>
      </c>
      <c r="B97" s="61" t="s">
        <v>257</v>
      </c>
      <c r="C97" s="61" t="s">
        <v>258</v>
      </c>
      <c r="D97" s="62">
        <v>3</v>
      </c>
      <c r="E97" s="61" t="s">
        <v>1333</v>
      </c>
      <c r="F97" s="61" t="s">
        <v>1050</v>
      </c>
      <c r="G97" s="61" t="s">
        <v>842</v>
      </c>
      <c r="H97" s="59" t="s">
        <v>1250</v>
      </c>
    </row>
    <row r="98" spans="1:8">
      <c r="A98" s="60" t="s">
        <v>259</v>
      </c>
      <c r="B98" s="61" t="s">
        <v>259</v>
      </c>
      <c r="C98" s="61" t="s">
        <v>260</v>
      </c>
      <c r="D98" s="62">
        <v>3</v>
      </c>
      <c r="E98" s="61" t="s">
        <v>1448</v>
      </c>
      <c r="F98" s="61" t="s">
        <v>1051</v>
      </c>
      <c r="G98" s="61" t="s">
        <v>843</v>
      </c>
      <c r="H98" s="59" t="s">
        <v>1251</v>
      </c>
    </row>
    <row r="99" spans="1:8">
      <c r="A99" s="60" t="s">
        <v>261</v>
      </c>
      <c r="B99" s="61" t="s">
        <v>261</v>
      </c>
      <c r="C99" s="61" t="s">
        <v>262</v>
      </c>
      <c r="D99" s="62">
        <v>3</v>
      </c>
      <c r="E99" s="61" t="s">
        <v>242</v>
      </c>
      <c r="F99" s="61" t="s">
        <v>1052</v>
      </c>
      <c r="G99" s="61" t="s">
        <v>844</v>
      </c>
      <c r="H99" s="59" t="s">
        <v>1252</v>
      </c>
    </row>
    <row r="100" spans="1:8">
      <c r="A100" s="60" t="s">
        <v>221</v>
      </c>
      <c r="B100" s="61" t="s">
        <v>221</v>
      </c>
      <c r="C100" s="61" t="s">
        <v>222</v>
      </c>
      <c r="D100" s="62">
        <v>3</v>
      </c>
      <c r="E100" s="61" t="s">
        <v>1334</v>
      </c>
      <c r="F100" s="61" t="s">
        <v>1053</v>
      </c>
      <c r="G100" s="61" t="s">
        <v>845</v>
      </c>
      <c r="H100" s="59" t="s">
        <v>1253</v>
      </c>
    </row>
    <row r="101" spans="1:8">
      <c r="A101" s="60" t="s">
        <v>223</v>
      </c>
      <c r="B101" s="61" t="s">
        <v>223</v>
      </c>
      <c r="C101" s="61" t="s">
        <v>224</v>
      </c>
      <c r="D101" s="62">
        <v>3</v>
      </c>
      <c r="E101" s="61" t="s">
        <v>230</v>
      </c>
      <c r="F101" s="61" t="s">
        <v>1054</v>
      </c>
      <c r="G101" s="61" t="s">
        <v>846</v>
      </c>
      <c r="H101" s="59" t="s">
        <v>1254</v>
      </c>
    </row>
    <row r="102" spans="1:8">
      <c r="A102" s="60" t="s">
        <v>70</v>
      </c>
      <c r="B102" s="61" t="s">
        <v>70</v>
      </c>
      <c r="C102" s="61" t="s">
        <v>565</v>
      </c>
      <c r="D102" s="62">
        <v>3</v>
      </c>
      <c r="E102" s="61" t="s">
        <v>1476</v>
      </c>
      <c r="F102" s="61" t="s">
        <v>1171</v>
      </c>
      <c r="G102" s="61" t="s">
        <v>847</v>
      </c>
      <c r="H102" s="59" t="s">
        <v>1255</v>
      </c>
    </row>
    <row r="103" spans="1:8">
      <c r="A103" s="60" t="s">
        <v>1187</v>
      </c>
      <c r="B103" s="61" t="s">
        <v>70</v>
      </c>
      <c r="C103" s="61" t="s">
        <v>226</v>
      </c>
      <c r="D103" s="62">
        <v>1</v>
      </c>
      <c r="E103" s="61" t="s">
        <v>1472</v>
      </c>
      <c r="F103" s="61" t="s">
        <v>1471</v>
      </c>
      <c r="G103" s="61" t="s">
        <v>847</v>
      </c>
      <c r="H103" s="59" t="s">
        <v>1470</v>
      </c>
    </row>
    <row r="104" spans="1:8">
      <c r="A104" s="60" t="s">
        <v>1188</v>
      </c>
      <c r="B104" s="61" t="s">
        <v>70</v>
      </c>
      <c r="C104" s="61" t="s">
        <v>227</v>
      </c>
      <c r="D104" s="62">
        <v>3</v>
      </c>
      <c r="E104" s="61" t="s">
        <v>1220</v>
      </c>
      <c r="F104" s="61" t="s">
        <v>1219</v>
      </c>
      <c r="G104" s="61" t="s">
        <v>847</v>
      </c>
      <c r="H104" s="59" t="s">
        <v>1256</v>
      </c>
    </row>
    <row r="105" spans="1:8">
      <c r="A105" s="53" t="s">
        <v>1189</v>
      </c>
      <c r="B105" s="61" t="s">
        <v>70</v>
      </c>
      <c r="C105" s="61" t="s">
        <v>1468</v>
      </c>
      <c r="D105" s="62">
        <v>3</v>
      </c>
      <c r="E105" s="61" t="s">
        <v>1220</v>
      </c>
      <c r="F105" s="61" t="s">
        <v>1469</v>
      </c>
      <c r="G105" s="61" t="s">
        <v>847</v>
      </c>
      <c r="H105" s="59" t="s">
        <v>1473</v>
      </c>
    </row>
    <row r="106" spans="1:8">
      <c r="A106" s="60" t="s">
        <v>1190</v>
      </c>
      <c r="B106" s="61" t="s">
        <v>70</v>
      </c>
      <c r="C106" s="61" t="s">
        <v>267</v>
      </c>
      <c r="D106" s="62">
        <v>1</v>
      </c>
      <c r="E106" s="61" t="s">
        <v>1406</v>
      </c>
      <c r="F106" s="61" t="s">
        <v>1455</v>
      </c>
      <c r="G106" s="61" t="s">
        <v>847</v>
      </c>
      <c r="H106" s="59" t="s">
        <v>1454</v>
      </c>
    </row>
    <row r="107" spans="1:8">
      <c r="A107" s="60" t="s">
        <v>1191</v>
      </c>
      <c r="B107" s="61" t="s">
        <v>70</v>
      </c>
      <c r="C107" s="61" t="s">
        <v>269</v>
      </c>
      <c r="D107" s="62">
        <v>1</v>
      </c>
      <c r="E107" s="61" t="s">
        <v>1457</v>
      </c>
      <c r="F107" s="61" t="s">
        <v>1458</v>
      </c>
      <c r="G107" s="61" t="s">
        <v>847</v>
      </c>
      <c r="H107" s="59" t="s">
        <v>1456</v>
      </c>
    </row>
    <row r="108" spans="1:8">
      <c r="A108" s="60" t="s">
        <v>1192</v>
      </c>
      <c r="B108" s="61" t="s">
        <v>70</v>
      </c>
      <c r="C108" s="61" t="s">
        <v>270</v>
      </c>
      <c r="D108" s="62">
        <v>3</v>
      </c>
      <c r="E108" s="61" t="s">
        <v>1460</v>
      </c>
      <c r="F108" s="61" t="s">
        <v>1461</v>
      </c>
      <c r="G108" s="61" t="s">
        <v>847</v>
      </c>
      <c r="H108" s="59" t="s">
        <v>1459</v>
      </c>
    </row>
    <row r="109" spans="1:8">
      <c r="A109" s="60" t="s">
        <v>1193</v>
      </c>
      <c r="B109" s="61" t="s">
        <v>70</v>
      </c>
      <c r="C109" s="61" t="s">
        <v>271</v>
      </c>
      <c r="D109" s="62">
        <v>1</v>
      </c>
      <c r="E109" s="61" t="s">
        <v>1463</v>
      </c>
      <c r="F109" s="61" t="s">
        <v>1464</v>
      </c>
      <c r="G109" s="61" t="s">
        <v>847</v>
      </c>
      <c r="H109" s="59" t="s">
        <v>1462</v>
      </c>
    </row>
    <row r="110" spans="1:8">
      <c r="A110" s="60" t="s">
        <v>1194</v>
      </c>
      <c r="B110" s="61" t="s">
        <v>70</v>
      </c>
      <c r="C110" s="61" t="s">
        <v>272</v>
      </c>
      <c r="D110" s="62">
        <v>1</v>
      </c>
      <c r="E110" s="61" t="s">
        <v>1274</v>
      </c>
      <c r="F110" s="61" t="s">
        <v>1260</v>
      </c>
      <c r="G110" s="61" t="s">
        <v>847</v>
      </c>
      <c r="H110" s="59" t="s">
        <v>1261</v>
      </c>
    </row>
    <row r="111" spans="1:8">
      <c r="A111" s="60" t="s">
        <v>1195</v>
      </c>
      <c r="B111" s="61" t="s">
        <v>70</v>
      </c>
      <c r="C111" s="61" t="s">
        <v>273</v>
      </c>
      <c r="D111" s="62">
        <v>1</v>
      </c>
      <c r="E111" s="61" t="s">
        <v>1465</v>
      </c>
      <c r="F111" s="61" t="s">
        <v>1258</v>
      </c>
      <c r="G111" s="61" t="s">
        <v>847</v>
      </c>
      <c r="H111" s="59" t="s">
        <v>1259</v>
      </c>
    </row>
    <row r="112" spans="1:8">
      <c r="A112" s="60" t="s">
        <v>1196</v>
      </c>
      <c r="B112" s="61" t="s">
        <v>70</v>
      </c>
      <c r="C112" s="61" t="s">
        <v>274</v>
      </c>
      <c r="D112" s="62">
        <v>1</v>
      </c>
      <c r="E112" s="61" t="s">
        <v>1466</v>
      </c>
      <c r="F112" s="61" t="s">
        <v>1257</v>
      </c>
      <c r="G112" s="61" t="s">
        <v>847</v>
      </c>
      <c r="H112" s="59" t="s">
        <v>1256</v>
      </c>
    </row>
    <row r="113" spans="1:8">
      <c r="A113" s="60" t="s">
        <v>1197</v>
      </c>
      <c r="B113" s="61" t="s">
        <v>70</v>
      </c>
      <c r="C113" s="61" t="s">
        <v>275</v>
      </c>
      <c r="D113" s="62">
        <v>1</v>
      </c>
      <c r="E113" s="61" t="s">
        <v>1467</v>
      </c>
      <c r="F113" s="61" t="s">
        <v>1262</v>
      </c>
      <c r="G113" s="61" t="s">
        <v>847</v>
      </c>
      <c r="H113" s="59" t="s">
        <v>1263</v>
      </c>
    </row>
    <row r="114" spans="1:8">
      <c r="A114" s="60" t="s">
        <v>1198</v>
      </c>
      <c r="B114" s="61" t="s">
        <v>70</v>
      </c>
      <c r="C114" s="61" t="s">
        <v>276</v>
      </c>
      <c r="D114" s="62">
        <v>1</v>
      </c>
      <c r="E114" s="61" t="s">
        <v>1175</v>
      </c>
      <c r="F114" s="61" t="s">
        <v>1395</v>
      </c>
      <c r="G114" s="61" t="s">
        <v>847</v>
      </c>
    </row>
    <row r="115" spans="1:8">
      <c r="A115" s="60" t="s">
        <v>1199</v>
      </c>
      <c r="B115" s="61" t="s">
        <v>70</v>
      </c>
      <c r="C115" s="61" t="s">
        <v>277</v>
      </c>
      <c r="D115" s="62">
        <v>1</v>
      </c>
      <c r="E115" s="61" t="s">
        <v>1175</v>
      </c>
      <c r="F115" s="61" t="s">
        <v>1396</v>
      </c>
      <c r="G115" s="61" t="s">
        <v>847</v>
      </c>
    </row>
    <row r="116" spans="1:8">
      <c r="A116" s="60" t="s">
        <v>1200</v>
      </c>
      <c r="B116" s="61" t="s">
        <v>70</v>
      </c>
      <c r="C116" s="61" t="s">
        <v>278</v>
      </c>
      <c r="D116" s="62">
        <v>1</v>
      </c>
      <c r="E116" s="61" t="s">
        <v>1405</v>
      </c>
      <c r="F116" s="61" t="s">
        <v>1397</v>
      </c>
      <c r="G116" s="61" t="s">
        <v>847</v>
      </c>
      <c r="H116" s="59" t="s">
        <v>1398</v>
      </c>
    </row>
    <row r="117" spans="1:8">
      <c r="A117" s="60" t="s">
        <v>1201</v>
      </c>
      <c r="B117" s="61" t="s">
        <v>70</v>
      </c>
      <c r="C117" s="61" t="s">
        <v>279</v>
      </c>
      <c r="D117" s="62">
        <v>1</v>
      </c>
      <c r="E117" s="61" t="s">
        <v>1404</v>
      </c>
      <c r="F117" s="61" t="s">
        <v>1403</v>
      </c>
      <c r="G117" s="61" t="s">
        <v>847</v>
      </c>
      <c r="H117" s="59" t="s">
        <v>1399</v>
      </c>
    </row>
    <row r="118" spans="1:8">
      <c r="A118" s="60" t="s">
        <v>1202</v>
      </c>
      <c r="B118" s="61" t="s">
        <v>70</v>
      </c>
      <c r="C118" s="61" t="s">
        <v>280</v>
      </c>
      <c r="D118" s="62"/>
      <c r="E118" s="61"/>
      <c r="F118" s="61"/>
      <c r="G118" s="61" t="s">
        <v>847</v>
      </c>
    </row>
    <row r="119" spans="1:8">
      <c r="A119" s="60" t="s">
        <v>1203</v>
      </c>
      <c r="B119" s="61" t="s">
        <v>70</v>
      </c>
      <c r="C119" s="61" t="s">
        <v>281</v>
      </c>
      <c r="D119" s="62">
        <v>1</v>
      </c>
      <c r="E119" s="61" t="s">
        <v>1406</v>
      </c>
      <c r="F119" s="61" t="s">
        <v>1407</v>
      </c>
      <c r="G119" s="61" t="s">
        <v>847</v>
      </c>
      <c r="H119" s="59" t="s">
        <v>1400</v>
      </c>
    </row>
    <row r="120" spans="1:8">
      <c r="A120" s="60" t="s">
        <v>1204</v>
      </c>
      <c r="B120" s="61" t="s">
        <v>70</v>
      </c>
      <c r="C120" s="61" t="s">
        <v>282</v>
      </c>
      <c r="D120" s="62">
        <v>1</v>
      </c>
      <c r="E120" s="61" t="s">
        <v>1408</v>
      </c>
      <c r="F120" s="61" t="s">
        <v>1402</v>
      </c>
      <c r="G120" s="61" t="s">
        <v>847</v>
      </c>
      <c r="H120" s="59" t="s">
        <v>1401</v>
      </c>
    </row>
    <row r="121" spans="1:8">
      <c r="A121" s="60" t="s">
        <v>1221</v>
      </c>
      <c r="B121" s="61" t="s">
        <v>283</v>
      </c>
      <c r="C121" s="61" t="s">
        <v>284</v>
      </c>
      <c r="D121" s="62">
        <v>3</v>
      </c>
      <c r="E121" s="61" t="s">
        <v>242</v>
      </c>
      <c r="F121" s="61" t="s">
        <v>1223</v>
      </c>
      <c r="G121" s="61" t="s">
        <v>848</v>
      </c>
      <c r="H121" s="59" t="s">
        <v>1264</v>
      </c>
    </row>
    <row r="122" spans="1:8">
      <c r="A122" s="60" t="s">
        <v>294</v>
      </c>
      <c r="B122" s="61" t="s">
        <v>294</v>
      </c>
      <c r="C122" s="61" t="s">
        <v>295</v>
      </c>
      <c r="D122" s="62">
        <v>3</v>
      </c>
      <c r="E122" s="61"/>
      <c r="F122" s="61" t="s">
        <v>1055</v>
      </c>
      <c r="G122" s="61" t="s">
        <v>849</v>
      </c>
      <c r="H122" s="59" t="s">
        <v>1265</v>
      </c>
    </row>
    <row r="123" spans="1:8">
      <c r="A123" s="60" t="s">
        <v>296</v>
      </c>
      <c r="B123" s="61" t="s">
        <v>296</v>
      </c>
      <c r="C123" s="61" t="s">
        <v>297</v>
      </c>
      <c r="D123" s="62">
        <v>3</v>
      </c>
      <c r="E123" s="61"/>
      <c r="F123" s="61" t="s">
        <v>1056</v>
      </c>
      <c r="G123" s="61" t="s">
        <v>850</v>
      </c>
      <c r="H123" s="59" t="s">
        <v>1266</v>
      </c>
    </row>
    <row r="124" spans="1:8">
      <c r="A124" s="60" t="s">
        <v>298</v>
      </c>
      <c r="B124" s="61" t="s">
        <v>298</v>
      </c>
      <c r="C124" s="61" t="s">
        <v>300</v>
      </c>
      <c r="D124" s="62">
        <v>1</v>
      </c>
      <c r="E124" s="61"/>
      <c r="F124" s="61" t="s">
        <v>1057</v>
      </c>
      <c r="G124" s="61" t="s">
        <v>851</v>
      </c>
      <c r="H124" s="59" t="s">
        <v>1267</v>
      </c>
    </row>
    <row r="125" spans="1:8">
      <c r="A125" s="60" t="s">
        <v>301</v>
      </c>
      <c r="B125" s="61" t="s">
        <v>301</v>
      </c>
      <c r="C125" s="61" t="s">
        <v>302</v>
      </c>
      <c r="D125" s="62">
        <v>1</v>
      </c>
      <c r="E125" s="61"/>
      <c r="F125" s="61" t="s">
        <v>1058</v>
      </c>
      <c r="G125" s="61" t="s">
        <v>852</v>
      </c>
      <c r="H125" s="59" t="s">
        <v>1268</v>
      </c>
    </row>
    <row r="126" spans="1:8">
      <c r="A126" s="60" t="s">
        <v>303</v>
      </c>
      <c r="B126" s="61" t="s">
        <v>303</v>
      </c>
      <c r="C126" s="61" t="s">
        <v>304</v>
      </c>
      <c r="D126" s="62">
        <v>1</v>
      </c>
      <c r="E126" s="61"/>
      <c r="F126" s="61" t="s">
        <v>1059</v>
      </c>
      <c r="G126" s="61" t="s">
        <v>853</v>
      </c>
      <c r="H126" s="59" t="s">
        <v>1269</v>
      </c>
    </row>
    <row r="127" spans="1:8">
      <c r="A127" s="60" t="s">
        <v>305</v>
      </c>
      <c r="B127" s="61" t="s">
        <v>305</v>
      </c>
      <c r="C127" s="61" t="s">
        <v>306</v>
      </c>
      <c r="D127" s="62">
        <v>3</v>
      </c>
      <c r="E127" s="61"/>
      <c r="F127" s="61" t="s">
        <v>854</v>
      </c>
      <c r="G127" s="61" t="s">
        <v>855</v>
      </c>
      <c r="H127" s="59" t="s">
        <v>1270</v>
      </c>
    </row>
    <row r="128" spans="1:8">
      <c r="A128" s="60" t="s">
        <v>307</v>
      </c>
      <c r="B128" s="61" t="s">
        <v>307</v>
      </c>
      <c r="C128" s="61" t="s">
        <v>308</v>
      </c>
      <c r="D128" s="62">
        <v>3</v>
      </c>
      <c r="E128" s="61" t="s">
        <v>1335</v>
      </c>
      <c r="F128" s="61" t="s">
        <v>1060</v>
      </c>
      <c r="G128" s="61" t="s">
        <v>856</v>
      </c>
      <c r="H128" s="59" t="s">
        <v>1271</v>
      </c>
    </row>
    <row r="129" spans="1:8">
      <c r="A129" s="60" t="s">
        <v>309</v>
      </c>
      <c r="B129" s="61" t="s">
        <v>309</v>
      </c>
      <c r="C129" s="61" t="s">
        <v>310</v>
      </c>
      <c r="D129" s="62">
        <v>3</v>
      </c>
      <c r="E129" s="61"/>
      <c r="F129" s="61" t="s">
        <v>1061</v>
      </c>
      <c r="G129" s="61" t="s">
        <v>857</v>
      </c>
      <c r="H129" s="59" t="s">
        <v>1272</v>
      </c>
    </row>
    <row r="130" spans="1:8">
      <c r="A130" s="60" t="s">
        <v>311</v>
      </c>
      <c r="B130" s="61" t="s">
        <v>311</v>
      </c>
      <c r="C130" s="61" t="s">
        <v>1410</v>
      </c>
      <c r="D130" s="62">
        <v>3</v>
      </c>
      <c r="E130" s="61" t="s">
        <v>1411</v>
      </c>
      <c r="F130" s="61" t="s">
        <v>1412</v>
      </c>
      <c r="G130" s="61" t="s">
        <v>858</v>
      </c>
      <c r="H130" s="59" t="s">
        <v>1413</v>
      </c>
    </row>
    <row r="131" spans="1:8">
      <c r="A131" s="60" t="s">
        <v>313</v>
      </c>
      <c r="B131" s="61" t="s">
        <v>313</v>
      </c>
      <c r="C131" s="61" t="s">
        <v>315</v>
      </c>
      <c r="D131" s="62">
        <v>3</v>
      </c>
      <c r="E131" s="61" t="s">
        <v>1336</v>
      </c>
      <c r="F131" s="61" t="s">
        <v>1062</v>
      </c>
      <c r="G131" s="61" t="s">
        <v>859</v>
      </c>
    </row>
    <row r="132" spans="1:8">
      <c r="A132" s="60" t="s">
        <v>316</v>
      </c>
      <c r="B132" s="61" t="s">
        <v>316</v>
      </c>
      <c r="C132" s="61" t="s">
        <v>317</v>
      </c>
      <c r="D132" s="62">
        <v>3</v>
      </c>
      <c r="E132" s="61" t="s">
        <v>1337</v>
      </c>
      <c r="F132" s="61" t="s">
        <v>1063</v>
      </c>
      <c r="G132" s="61" t="s">
        <v>860</v>
      </c>
    </row>
    <row r="133" spans="1:8">
      <c r="A133" s="60" t="s">
        <v>316</v>
      </c>
      <c r="B133" s="61" t="s">
        <v>316</v>
      </c>
      <c r="C133" s="61" t="s">
        <v>317</v>
      </c>
      <c r="D133" s="62">
        <v>3</v>
      </c>
      <c r="E133" s="61" t="s">
        <v>1337</v>
      </c>
      <c r="F133" s="61" t="s">
        <v>1063</v>
      </c>
      <c r="G133" s="61" t="s">
        <v>860</v>
      </c>
    </row>
    <row r="134" spans="1:8">
      <c r="A134" s="60" t="s">
        <v>318</v>
      </c>
      <c r="B134" s="61" t="s">
        <v>318</v>
      </c>
      <c r="C134" s="61" t="s">
        <v>319</v>
      </c>
      <c r="D134" s="62">
        <v>3</v>
      </c>
      <c r="E134" s="61" t="s">
        <v>1338</v>
      </c>
      <c r="F134" s="61" t="s">
        <v>1064</v>
      </c>
      <c r="G134" s="61" t="s">
        <v>861</v>
      </c>
    </row>
    <row r="135" spans="1:8">
      <c r="A135" s="60" t="s">
        <v>320</v>
      </c>
      <c r="B135" s="61" t="s">
        <v>320</v>
      </c>
      <c r="C135" s="61" t="s">
        <v>321</v>
      </c>
      <c r="D135" s="62">
        <v>3</v>
      </c>
      <c r="E135" s="61" t="s">
        <v>1339</v>
      </c>
      <c r="F135" s="61" t="s">
        <v>1065</v>
      </c>
      <c r="G135" s="61" t="s">
        <v>862</v>
      </c>
    </row>
    <row r="136" spans="1:8">
      <c r="A136" s="60" t="s">
        <v>1205</v>
      </c>
      <c r="B136" s="61" t="s">
        <v>320</v>
      </c>
      <c r="C136" s="61" t="s">
        <v>322</v>
      </c>
      <c r="D136" s="62">
        <v>3</v>
      </c>
      <c r="E136" s="61" t="s">
        <v>1339</v>
      </c>
      <c r="F136" s="61" t="s">
        <v>1065</v>
      </c>
      <c r="G136" s="61" t="s">
        <v>862</v>
      </c>
    </row>
    <row r="137" spans="1:8">
      <c r="A137" s="60" t="s">
        <v>323</v>
      </c>
      <c r="B137" s="61" t="s">
        <v>323</v>
      </c>
      <c r="C137" s="61" t="s">
        <v>324</v>
      </c>
      <c r="D137" s="62">
        <v>3</v>
      </c>
      <c r="E137" s="61" t="s">
        <v>1340</v>
      </c>
      <c r="F137" s="61" t="s">
        <v>1066</v>
      </c>
      <c r="G137" s="61" t="s">
        <v>863</v>
      </c>
    </row>
    <row r="138" spans="1:8">
      <c r="A138" s="60" t="s">
        <v>325</v>
      </c>
      <c r="B138" s="61" t="s">
        <v>325</v>
      </c>
      <c r="C138" s="61" t="s">
        <v>326</v>
      </c>
      <c r="D138" s="62">
        <v>3</v>
      </c>
      <c r="E138" s="61" t="s">
        <v>1341</v>
      </c>
      <c r="F138" s="61" t="s">
        <v>1067</v>
      </c>
      <c r="G138" s="61" t="s">
        <v>864</v>
      </c>
    </row>
    <row r="139" spans="1:8">
      <c r="A139" s="60" t="s">
        <v>327</v>
      </c>
      <c r="B139" s="61" t="s">
        <v>327</v>
      </c>
      <c r="C139" s="61" t="s">
        <v>328</v>
      </c>
      <c r="D139" s="62">
        <v>3</v>
      </c>
      <c r="E139" s="61" t="s">
        <v>1342</v>
      </c>
      <c r="F139" s="61" t="s">
        <v>1068</v>
      </c>
      <c r="G139" s="61" t="s">
        <v>865</v>
      </c>
    </row>
    <row r="140" spans="1:8">
      <c r="A140" s="60" t="s">
        <v>329</v>
      </c>
      <c r="B140" s="61" t="s">
        <v>329</v>
      </c>
      <c r="C140" s="61" t="s">
        <v>330</v>
      </c>
      <c r="D140" s="62">
        <v>3</v>
      </c>
      <c r="E140" s="61" t="s">
        <v>1343</v>
      </c>
      <c r="F140" s="61" t="s">
        <v>1069</v>
      </c>
      <c r="G140" s="61" t="s">
        <v>866</v>
      </c>
    </row>
    <row r="141" spans="1:8">
      <c r="A141" s="60" t="s">
        <v>331</v>
      </c>
      <c r="B141" s="61" t="s">
        <v>331</v>
      </c>
      <c r="C141" s="61" t="s">
        <v>332</v>
      </c>
      <c r="D141" s="62">
        <v>3</v>
      </c>
      <c r="E141" s="61" t="s">
        <v>1344</v>
      </c>
      <c r="F141" s="61" t="s">
        <v>1070</v>
      </c>
      <c r="G141" s="61" t="s">
        <v>867</v>
      </c>
    </row>
    <row r="142" spans="1:8">
      <c r="A142" s="60" t="s">
        <v>1206</v>
      </c>
      <c r="B142" s="61" t="s">
        <v>331</v>
      </c>
      <c r="C142" s="61" t="s">
        <v>333</v>
      </c>
      <c r="D142" s="62">
        <v>3</v>
      </c>
      <c r="E142" s="61" t="s">
        <v>1344</v>
      </c>
      <c r="F142" s="61" t="s">
        <v>1070</v>
      </c>
      <c r="G142" s="61" t="s">
        <v>867</v>
      </c>
    </row>
    <row r="143" spans="1:8">
      <c r="A143" s="60" t="s">
        <v>334</v>
      </c>
      <c r="B143" s="61" t="s">
        <v>334</v>
      </c>
      <c r="C143" s="61" t="s">
        <v>335</v>
      </c>
      <c r="D143" s="62">
        <v>3</v>
      </c>
      <c r="E143" s="61" t="s">
        <v>1345</v>
      </c>
      <c r="F143" s="61" t="s">
        <v>1071</v>
      </c>
      <c r="G143" s="61" t="s">
        <v>868</v>
      </c>
    </row>
    <row r="144" spans="1:8">
      <c r="A144" s="60" t="s">
        <v>336</v>
      </c>
      <c r="B144" s="61" t="s">
        <v>336</v>
      </c>
      <c r="C144" s="61" t="s">
        <v>337</v>
      </c>
      <c r="D144" s="62"/>
      <c r="E144" s="61"/>
      <c r="F144" s="61"/>
      <c r="G144" s="61" t="s">
        <v>869</v>
      </c>
    </row>
    <row r="145" spans="1:7">
      <c r="A145" s="60" t="s">
        <v>488</v>
      </c>
      <c r="B145" s="61" t="s">
        <v>488</v>
      </c>
      <c r="C145" s="61" t="s">
        <v>489</v>
      </c>
      <c r="D145" s="62">
        <v>3</v>
      </c>
      <c r="E145" s="61" t="s">
        <v>1346</v>
      </c>
      <c r="F145" s="61" t="s">
        <v>1072</v>
      </c>
      <c r="G145" s="61" t="s">
        <v>870</v>
      </c>
    </row>
    <row r="146" spans="1:7">
      <c r="A146" s="60" t="s">
        <v>490</v>
      </c>
      <c r="B146" s="61" t="s">
        <v>490</v>
      </c>
      <c r="C146" s="61" t="s">
        <v>491</v>
      </c>
      <c r="D146" s="62">
        <v>3</v>
      </c>
      <c r="E146" s="61" t="s">
        <v>1347</v>
      </c>
      <c r="F146" s="61" t="s">
        <v>1073</v>
      </c>
      <c r="G146" s="61" t="s">
        <v>871</v>
      </c>
    </row>
    <row r="147" spans="1:7">
      <c r="A147" s="60" t="s">
        <v>352</v>
      </c>
      <c r="B147" s="61" t="s">
        <v>352</v>
      </c>
      <c r="C147" s="61" t="s">
        <v>354</v>
      </c>
      <c r="D147" s="62">
        <v>3</v>
      </c>
      <c r="E147" s="61" t="s">
        <v>1348</v>
      </c>
      <c r="F147" s="61" t="s">
        <v>1074</v>
      </c>
      <c r="G147" s="61" t="s">
        <v>872</v>
      </c>
    </row>
    <row r="148" spans="1:7">
      <c r="A148" s="60" t="s">
        <v>492</v>
      </c>
      <c r="B148" s="61" t="s">
        <v>492</v>
      </c>
      <c r="C148" s="61" t="s">
        <v>493</v>
      </c>
      <c r="D148" s="62">
        <v>3</v>
      </c>
      <c r="E148" s="61" t="s">
        <v>488</v>
      </c>
      <c r="F148" s="61" t="s">
        <v>1075</v>
      </c>
      <c r="G148" s="61" t="s">
        <v>873</v>
      </c>
    </row>
    <row r="149" spans="1:7">
      <c r="A149" s="60" t="s">
        <v>345</v>
      </c>
      <c r="B149" s="61" t="s">
        <v>345</v>
      </c>
      <c r="C149" s="61" t="s">
        <v>347</v>
      </c>
      <c r="D149" s="62">
        <v>3</v>
      </c>
      <c r="E149" s="61" t="s">
        <v>490</v>
      </c>
      <c r="F149" s="61" t="s">
        <v>1076</v>
      </c>
      <c r="G149" s="61" t="s">
        <v>874</v>
      </c>
    </row>
    <row r="150" spans="1:7">
      <c r="A150" s="60" t="s">
        <v>355</v>
      </c>
      <c r="B150" s="61" t="s">
        <v>355</v>
      </c>
      <c r="C150" s="61" t="s">
        <v>356</v>
      </c>
      <c r="D150" s="62">
        <v>3</v>
      </c>
      <c r="E150" s="61" t="s">
        <v>352</v>
      </c>
      <c r="F150" s="61" t="s">
        <v>1077</v>
      </c>
      <c r="G150" s="61" t="s">
        <v>875</v>
      </c>
    </row>
    <row r="151" spans="1:7">
      <c r="A151" s="60" t="s">
        <v>357</v>
      </c>
      <c r="B151" s="61" t="s">
        <v>357</v>
      </c>
      <c r="C151" s="61" t="s">
        <v>1275</v>
      </c>
      <c r="D151" s="62"/>
      <c r="E151" s="61"/>
      <c r="F151" s="61"/>
      <c r="G151" s="61" t="s">
        <v>876</v>
      </c>
    </row>
    <row r="152" spans="1:7">
      <c r="A152" s="60" t="s">
        <v>1207</v>
      </c>
      <c r="B152" s="61" t="s">
        <v>357</v>
      </c>
      <c r="C152" s="61" t="s">
        <v>1276</v>
      </c>
      <c r="D152" s="62"/>
      <c r="E152" s="61"/>
      <c r="F152" s="61"/>
      <c r="G152" s="61" t="s">
        <v>876</v>
      </c>
    </row>
    <row r="153" spans="1:7">
      <c r="A153" s="60" t="s">
        <v>360</v>
      </c>
      <c r="B153" s="61" t="s">
        <v>360</v>
      </c>
      <c r="C153" s="61" t="s">
        <v>361</v>
      </c>
      <c r="D153" s="62">
        <v>3</v>
      </c>
      <c r="E153" s="61" t="s">
        <v>1349</v>
      </c>
      <c r="F153" s="61" t="s">
        <v>1078</v>
      </c>
      <c r="G153" s="61" t="s">
        <v>877</v>
      </c>
    </row>
    <row r="154" spans="1:7">
      <c r="A154" s="60" t="s">
        <v>362</v>
      </c>
      <c r="B154" s="61" t="s">
        <v>362</v>
      </c>
      <c r="C154" s="61" t="s">
        <v>363</v>
      </c>
      <c r="D154" s="62">
        <v>3</v>
      </c>
      <c r="E154" s="61" t="s">
        <v>1350</v>
      </c>
      <c r="F154" s="61" t="s">
        <v>1079</v>
      </c>
      <c r="G154" s="61" t="s">
        <v>878</v>
      </c>
    </row>
    <row r="155" spans="1:7">
      <c r="A155" s="60" t="s">
        <v>364</v>
      </c>
      <c r="B155" s="61" t="s">
        <v>364</v>
      </c>
      <c r="C155" s="61" t="s">
        <v>365</v>
      </c>
      <c r="D155" s="62">
        <v>3</v>
      </c>
      <c r="E155" s="61" t="s">
        <v>352</v>
      </c>
      <c r="F155" s="61" t="s">
        <v>1080</v>
      </c>
      <c r="G155" s="61" t="s">
        <v>879</v>
      </c>
    </row>
    <row r="156" spans="1:7">
      <c r="A156" s="60" t="s">
        <v>366</v>
      </c>
      <c r="B156" s="61" t="s">
        <v>366</v>
      </c>
      <c r="C156" s="61" t="s">
        <v>367</v>
      </c>
      <c r="D156" s="62">
        <v>3</v>
      </c>
      <c r="E156" s="61" t="s">
        <v>490</v>
      </c>
      <c r="F156" s="61" t="s">
        <v>1081</v>
      </c>
      <c r="G156" s="61" t="s">
        <v>880</v>
      </c>
    </row>
    <row r="157" spans="1:7">
      <c r="A157" s="60" t="s">
        <v>494</v>
      </c>
      <c r="B157" s="61" t="s">
        <v>494</v>
      </c>
      <c r="C157" s="61" t="s">
        <v>495</v>
      </c>
      <c r="D157" s="62">
        <v>3</v>
      </c>
      <c r="E157" s="61" t="s">
        <v>488</v>
      </c>
      <c r="F157" s="61" t="s">
        <v>1082</v>
      </c>
      <c r="G157" s="61" t="s">
        <v>881</v>
      </c>
    </row>
    <row r="158" spans="1:7">
      <c r="A158" s="60" t="s">
        <v>498</v>
      </c>
      <c r="B158" s="61" t="s">
        <v>498</v>
      </c>
      <c r="C158" s="61" t="s">
        <v>499</v>
      </c>
      <c r="D158" s="62">
        <v>3</v>
      </c>
      <c r="E158" s="61" t="s">
        <v>490</v>
      </c>
      <c r="F158" s="61" t="s">
        <v>1083</v>
      </c>
      <c r="G158" s="61" t="s">
        <v>882</v>
      </c>
    </row>
    <row r="159" spans="1:7">
      <c r="A159" s="60" t="s">
        <v>368</v>
      </c>
      <c r="B159" s="61" t="s">
        <v>368</v>
      </c>
      <c r="C159" s="61" t="s">
        <v>369</v>
      </c>
      <c r="D159" s="62">
        <v>3</v>
      </c>
      <c r="E159" s="61" t="s">
        <v>345</v>
      </c>
      <c r="F159" s="61" t="s">
        <v>1084</v>
      </c>
      <c r="G159" s="61" t="s">
        <v>883</v>
      </c>
    </row>
    <row r="160" spans="1:7">
      <c r="A160" s="60" t="s">
        <v>502</v>
      </c>
      <c r="B160" s="61" t="s">
        <v>502</v>
      </c>
      <c r="C160" s="61" t="s">
        <v>503</v>
      </c>
      <c r="D160" s="62">
        <v>3</v>
      </c>
      <c r="E160" s="61" t="s">
        <v>345</v>
      </c>
      <c r="F160" s="61" t="s">
        <v>1085</v>
      </c>
      <c r="G160" s="61" t="s">
        <v>884</v>
      </c>
    </row>
    <row r="161" spans="1:7">
      <c r="A161" s="60" t="s">
        <v>372</v>
      </c>
      <c r="B161" s="61" t="s">
        <v>372</v>
      </c>
      <c r="C161" s="61" t="s">
        <v>373</v>
      </c>
      <c r="D161" s="62">
        <v>3</v>
      </c>
      <c r="E161" s="61"/>
      <c r="F161" s="61" t="s">
        <v>1086</v>
      </c>
      <c r="G161" s="61" t="s">
        <v>885</v>
      </c>
    </row>
    <row r="162" spans="1:7">
      <c r="A162" s="60" t="s">
        <v>657</v>
      </c>
      <c r="B162" s="61" t="s">
        <v>657</v>
      </c>
      <c r="C162" s="61" t="s">
        <v>505</v>
      </c>
      <c r="D162" s="62">
        <v>3</v>
      </c>
      <c r="E162" s="61" t="s">
        <v>1449</v>
      </c>
      <c r="F162" s="61" t="s">
        <v>1087</v>
      </c>
      <c r="G162" s="61" t="s">
        <v>886</v>
      </c>
    </row>
    <row r="163" spans="1:7">
      <c r="A163" s="60" t="s">
        <v>659</v>
      </c>
      <c r="B163" s="61" t="s">
        <v>659</v>
      </c>
      <c r="C163" s="61" t="s">
        <v>377</v>
      </c>
      <c r="D163" s="62">
        <v>3</v>
      </c>
      <c r="E163" s="61" t="s">
        <v>1351</v>
      </c>
      <c r="F163" s="61" t="s">
        <v>1088</v>
      </c>
      <c r="G163" s="61" t="s">
        <v>887</v>
      </c>
    </row>
    <row r="164" spans="1:7">
      <c r="A164" s="60" t="s">
        <v>661</v>
      </c>
      <c r="B164" s="61" t="s">
        <v>661</v>
      </c>
      <c r="C164" s="61" t="s">
        <v>379</v>
      </c>
      <c r="D164" s="62">
        <v>3</v>
      </c>
      <c r="E164" s="61" t="s">
        <v>1449</v>
      </c>
      <c r="F164" s="61" t="s">
        <v>1089</v>
      </c>
      <c r="G164" s="61" t="s">
        <v>888</v>
      </c>
    </row>
    <row r="165" spans="1:7">
      <c r="A165" s="60" t="s">
        <v>663</v>
      </c>
      <c r="B165" s="61" t="s">
        <v>663</v>
      </c>
      <c r="C165" s="61" t="s">
        <v>381</v>
      </c>
      <c r="D165" s="62">
        <v>3</v>
      </c>
      <c r="E165" s="61" t="s">
        <v>1352</v>
      </c>
      <c r="F165" s="61" t="s">
        <v>1090</v>
      </c>
      <c r="G165" s="61" t="s">
        <v>889</v>
      </c>
    </row>
    <row r="166" spans="1:7">
      <c r="A166" s="60" t="s">
        <v>665</v>
      </c>
      <c r="B166" s="61" t="s">
        <v>665</v>
      </c>
      <c r="C166" s="61" t="s">
        <v>383</v>
      </c>
      <c r="D166" s="62">
        <v>3</v>
      </c>
      <c r="E166" s="61" t="s">
        <v>1353</v>
      </c>
      <c r="F166" s="61" t="s">
        <v>1091</v>
      </c>
      <c r="G166" s="61" t="s">
        <v>890</v>
      </c>
    </row>
    <row r="167" spans="1:7">
      <c r="A167" s="60" t="s">
        <v>76</v>
      </c>
      <c r="B167" s="61" t="s">
        <v>76</v>
      </c>
      <c r="C167" s="61" t="s">
        <v>78</v>
      </c>
      <c r="D167" s="62">
        <v>3</v>
      </c>
      <c r="E167" s="61" t="s">
        <v>1354</v>
      </c>
      <c r="F167" s="61" t="s">
        <v>1092</v>
      </c>
      <c r="G167" s="61" t="s">
        <v>891</v>
      </c>
    </row>
    <row r="168" spans="1:7">
      <c r="A168" s="60" t="s">
        <v>668</v>
      </c>
      <c r="B168" s="61" t="s">
        <v>668</v>
      </c>
      <c r="C168" s="61" t="s">
        <v>387</v>
      </c>
      <c r="D168" s="62">
        <v>3</v>
      </c>
      <c r="E168" s="61" t="s">
        <v>1354</v>
      </c>
      <c r="F168" s="61" t="s">
        <v>1093</v>
      </c>
      <c r="G168" s="61" t="s">
        <v>892</v>
      </c>
    </row>
    <row r="169" spans="1:7">
      <c r="A169" s="60" t="s">
        <v>79</v>
      </c>
      <c r="B169" s="61" t="s">
        <v>79</v>
      </c>
      <c r="C169" s="61" t="s">
        <v>80</v>
      </c>
      <c r="D169" s="62">
        <v>3</v>
      </c>
      <c r="E169" s="61" t="s">
        <v>1354</v>
      </c>
      <c r="F169" s="61" t="s">
        <v>1094</v>
      </c>
      <c r="G169" s="61" t="s">
        <v>893</v>
      </c>
    </row>
    <row r="170" spans="1:7">
      <c r="A170" s="60" t="s">
        <v>670</v>
      </c>
      <c r="B170" s="61" t="s">
        <v>670</v>
      </c>
      <c r="C170" s="61" t="s">
        <v>391</v>
      </c>
      <c r="D170" s="62">
        <v>3</v>
      </c>
      <c r="E170" s="61" t="s">
        <v>1355</v>
      </c>
      <c r="F170" s="61" t="s">
        <v>1095</v>
      </c>
      <c r="G170" s="61" t="s">
        <v>894</v>
      </c>
    </row>
    <row r="171" spans="1:7">
      <c r="A171" s="60" t="s">
        <v>672</v>
      </c>
      <c r="B171" s="61" t="s">
        <v>672</v>
      </c>
      <c r="C171" s="61" t="s">
        <v>393</v>
      </c>
      <c r="D171" s="62">
        <v>3</v>
      </c>
      <c r="E171" s="61" t="s">
        <v>1354</v>
      </c>
      <c r="F171" s="61" t="s">
        <v>1096</v>
      </c>
      <c r="G171" s="61" t="s">
        <v>895</v>
      </c>
    </row>
    <row r="172" spans="1:7">
      <c r="A172" s="60" t="s">
        <v>674</v>
      </c>
      <c r="B172" s="61" t="s">
        <v>674</v>
      </c>
      <c r="C172" s="61" t="s">
        <v>395</v>
      </c>
      <c r="D172" s="62">
        <v>3</v>
      </c>
      <c r="E172" s="61" t="s">
        <v>1449</v>
      </c>
      <c r="F172" s="61" t="s">
        <v>1097</v>
      </c>
      <c r="G172" s="61" t="s">
        <v>896</v>
      </c>
    </row>
    <row r="173" spans="1:7">
      <c r="A173" s="60" t="s">
        <v>676</v>
      </c>
      <c r="B173" s="61" t="s">
        <v>676</v>
      </c>
      <c r="C173" s="61" t="s">
        <v>397</v>
      </c>
      <c r="D173" s="62">
        <v>3</v>
      </c>
      <c r="E173" s="61" t="s">
        <v>1449</v>
      </c>
      <c r="F173" s="61" t="s">
        <v>1098</v>
      </c>
      <c r="G173" s="61" t="s">
        <v>897</v>
      </c>
    </row>
    <row r="174" spans="1:7">
      <c r="A174" s="60" t="s">
        <v>678</v>
      </c>
      <c r="B174" s="61" t="s">
        <v>678</v>
      </c>
      <c r="C174" s="61" t="s">
        <v>399</v>
      </c>
      <c r="D174" s="62">
        <v>3</v>
      </c>
      <c r="E174" s="61" t="s">
        <v>1449</v>
      </c>
      <c r="F174" s="61" t="s">
        <v>1099</v>
      </c>
      <c r="G174" s="61" t="s">
        <v>898</v>
      </c>
    </row>
    <row r="175" spans="1:7">
      <c r="A175" s="60" t="s">
        <v>680</v>
      </c>
      <c r="B175" s="61" t="s">
        <v>680</v>
      </c>
      <c r="C175" s="61" t="s">
        <v>509</v>
      </c>
      <c r="D175" s="62">
        <v>3</v>
      </c>
      <c r="E175" s="61" t="s">
        <v>1449</v>
      </c>
      <c r="F175" s="61" t="s">
        <v>1100</v>
      </c>
      <c r="G175" s="61" t="s">
        <v>899</v>
      </c>
    </row>
    <row r="176" spans="1:7">
      <c r="A176" s="60" t="s">
        <v>682</v>
      </c>
      <c r="B176" s="61" t="s">
        <v>682</v>
      </c>
      <c r="C176" s="61" t="s">
        <v>403</v>
      </c>
      <c r="D176" s="62">
        <v>3</v>
      </c>
      <c r="E176" s="61" t="s">
        <v>1353</v>
      </c>
      <c r="F176" s="61" t="s">
        <v>1101</v>
      </c>
      <c r="G176" s="61" t="s">
        <v>900</v>
      </c>
    </row>
    <row r="177" spans="1:8">
      <c r="A177" s="60" t="s">
        <v>684</v>
      </c>
      <c r="B177" s="61" t="s">
        <v>684</v>
      </c>
      <c r="C177" s="61" t="s">
        <v>405</v>
      </c>
      <c r="D177" s="62">
        <v>3</v>
      </c>
      <c r="E177" s="61" t="s">
        <v>1356</v>
      </c>
      <c r="F177" s="61" t="s">
        <v>1102</v>
      </c>
      <c r="G177" s="61" t="s">
        <v>901</v>
      </c>
    </row>
    <row r="178" spans="1:8">
      <c r="A178" s="60" t="s">
        <v>685</v>
      </c>
      <c r="B178" s="61" t="s">
        <v>685</v>
      </c>
      <c r="C178" s="61" t="s">
        <v>407</v>
      </c>
      <c r="D178" s="62">
        <v>3</v>
      </c>
      <c r="E178" s="61" t="s">
        <v>1357</v>
      </c>
      <c r="F178" s="61" t="s">
        <v>1103</v>
      </c>
      <c r="G178" s="61" t="s">
        <v>902</v>
      </c>
    </row>
    <row r="179" spans="1:8">
      <c r="A179" s="60" t="s">
        <v>687</v>
      </c>
      <c r="B179" s="61" t="s">
        <v>687</v>
      </c>
      <c r="C179" s="61" t="s">
        <v>409</v>
      </c>
      <c r="D179" s="62">
        <v>3</v>
      </c>
      <c r="E179" s="61" t="s">
        <v>1352</v>
      </c>
      <c r="F179" s="61" t="s">
        <v>1104</v>
      </c>
      <c r="G179" s="61" t="s">
        <v>903</v>
      </c>
    </row>
    <row r="180" spans="1:8">
      <c r="A180" s="60" t="s">
        <v>689</v>
      </c>
      <c r="B180" s="61" t="s">
        <v>689</v>
      </c>
      <c r="C180" s="61" t="s">
        <v>411</v>
      </c>
      <c r="D180" s="62">
        <v>3</v>
      </c>
      <c r="E180" s="61" t="s">
        <v>663</v>
      </c>
      <c r="F180" s="61" t="s">
        <v>1105</v>
      </c>
      <c r="G180" s="61" t="s">
        <v>904</v>
      </c>
    </row>
    <row r="181" spans="1:8">
      <c r="A181" s="60" t="s">
        <v>691</v>
      </c>
      <c r="B181" s="61" t="s">
        <v>691</v>
      </c>
      <c r="C181" s="61" t="s">
        <v>413</v>
      </c>
      <c r="D181" s="62">
        <v>3</v>
      </c>
      <c r="E181" s="61" t="s">
        <v>1352</v>
      </c>
      <c r="F181" s="61" t="s">
        <v>1106</v>
      </c>
      <c r="G181" s="61" t="s">
        <v>905</v>
      </c>
    </row>
    <row r="182" spans="1:8">
      <c r="A182" s="60" t="s">
        <v>693</v>
      </c>
      <c r="B182" s="61" t="s">
        <v>693</v>
      </c>
      <c r="C182" s="61" t="s">
        <v>415</v>
      </c>
      <c r="D182" s="62">
        <v>3</v>
      </c>
      <c r="E182" s="61" t="s">
        <v>1358</v>
      </c>
      <c r="F182" s="61" t="s">
        <v>1107</v>
      </c>
      <c r="G182" s="61" t="s">
        <v>906</v>
      </c>
    </row>
    <row r="183" spans="1:8">
      <c r="A183" s="60" t="s">
        <v>694</v>
      </c>
      <c r="B183" s="61" t="s">
        <v>694</v>
      </c>
      <c r="C183" s="61" t="s">
        <v>417</v>
      </c>
      <c r="D183" s="62">
        <v>3</v>
      </c>
      <c r="E183" s="61" t="s">
        <v>1352</v>
      </c>
      <c r="F183" s="61" t="s">
        <v>1108</v>
      </c>
      <c r="G183" s="61" t="s">
        <v>907</v>
      </c>
    </row>
    <row r="184" spans="1:8">
      <c r="A184" s="60" t="s">
        <v>696</v>
      </c>
      <c r="B184" s="61" t="s">
        <v>696</v>
      </c>
      <c r="C184" s="61" t="s">
        <v>419</v>
      </c>
      <c r="D184" s="62">
        <v>3</v>
      </c>
      <c r="E184" s="61" t="s">
        <v>1449</v>
      </c>
      <c r="F184" s="61" t="s">
        <v>1109</v>
      </c>
      <c r="G184" s="61" t="s">
        <v>908</v>
      </c>
    </row>
    <row r="185" spans="1:8">
      <c r="A185" s="60" t="s">
        <v>698</v>
      </c>
      <c r="B185" s="61" t="s">
        <v>698</v>
      </c>
      <c r="C185" s="61" t="s">
        <v>421</v>
      </c>
      <c r="D185" s="62">
        <v>3</v>
      </c>
      <c r="E185" s="61" t="s">
        <v>1352</v>
      </c>
      <c r="F185" s="61" t="s">
        <v>1110</v>
      </c>
      <c r="G185" s="61" t="s">
        <v>909</v>
      </c>
    </row>
    <row r="186" spans="1:8">
      <c r="A186" s="60" t="s">
        <v>91</v>
      </c>
      <c r="B186" s="61" t="s">
        <v>91</v>
      </c>
      <c r="C186" s="61" t="s">
        <v>564</v>
      </c>
      <c r="D186" s="62">
        <v>3</v>
      </c>
      <c r="E186" s="61" t="s">
        <v>1476</v>
      </c>
      <c r="F186" s="61" t="s">
        <v>1171</v>
      </c>
      <c r="G186" s="61" t="s">
        <v>910</v>
      </c>
    </row>
    <row r="187" spans="1:8">
      <c r="A187" s="60" t="s">
        <v>1172</v>
      </c>
      <c r="B187" s="61" t="s">
        <v>91</v>
      </c>
      <c r="C187" s="61" t="s">
        <v>422</v>
      </c>
      <c r="D187" s="62">
        <v>3</v>
      </c>
      <c r="E187" s="61"/>
      <c r="F187" s="61" t="s">
        <v>1414</v>
      </c>
      <c r="G187" s="61" t="s">
        <v>910</v>
      </c>
      <c r="H187" s="59" t="s">
        <v>1415</v>
      </c>
    </row>
    <row r="188" spans="1:8">
      <c r="A188" s="60" t="s">
        <v>1218</v>
      </c>
      <c r="B188" s="61" t="s">
        <v>91</v>
      </c>
      <c r="C188" s="61" t="s">
        <v>1174</v>
      </c>
      <c r="D188" s="62">
        <v>3</v>
      </c>
      <c r="E188" s="61"/>
      <c r="F188" s="61"/>
      <c r="G188" s="61" t="s">
        <v>910</v>
      </c>
    </row>
    <row r="189" spans="1:8">
      <c r="A189" s="60" t="s">
        <v>427</v>
      </c>
      <c r="B189" s="61" t="s">
        <v>427</v>
      </c>
      <c r="C189" s="61" t="s">
        <v>428</v>
      </c>
      <c r="D189" s="62">
        <v>3</v>
      </c>
      <c r="E189" s="61"/>
      <c r="F189" s="61" t="s">
        <v>1111</v>
      </c>
      <c r="G189" s="61" t="s">
        <v>911</v>
      </c>
    </row>
    <row r="190" spans="1:8">
      <c r="A190" s="60" t="s">
        <v>429</v>
      </c>
      <c r="B190" s="61" t="s">
        <v>429</v>
      </c>
      <c r="C190" s="61" t="s">
        <v>430</v>
      </c>
      <c r="D190" s="62">
        <v>3</v>
      </c>
      <c r="E190" s="61" t="s">
        <v>1359</v>
      </c>
      <c r="F190" s="61" t="s">
        <v>1112</v>
      </c>
      <c r="G190" s="61" t="s">
        <v>912</v>
      </c>
    </row>
    <row r="191" spans="1:8">
      <c r="A191" s="60" t="s">
        <v>431</v>
      </c>
      <c r="B191" s="61" t="s">
        <v>431</v>
      </c>
      <c r="C191" s="61" t="s">
        <v>432</v>
      </c>
      <c r="D191" s="62">
        <v>3</v>
      </c>
      <c r="E191" s="61" t="s">
        <v>1360</v>
      </c>
      <c r="F191" s="61" t="s">
        <v>1113</v>
      </c>
      <c r="G191" s="61" t="s">
        <v>913</v>
      </c>
    </row>
    <row r="192" spans="1:8">
      <c r="A192" s="60" t="s">
        <v>433</v>
      </c>
      <c r="B192" s="61" t="s">
        <v>433</v>
      </c>
      <c r="C192" s="61" t="s">
        <v>434</v>
      </c>
      <c r="D192" s="62">
        <v>3</v>
      </c>
      <c r="E192" s="61" t="s">
        <v>1361</v>
      </c>
      <c r="F192" s="61" t="s">
        <v>1114</v>
      </c>
      <c r="G192" s="61" t="s">
        <v>914</v>
      </c>
    </row>
    <row r="193" spans="1:7">
      <c r="A193" s="60" t="s">
        <v>435</v>
      </c>
      <c r="B193" s="61" t="s">
        <v>435</v>
      </c>
      <c r="C193" s="61" t="s">
        <v>436</v>
      </c>
      <c r="D193" s="62">
        <v>3</v>
      </c>
      <c r="E193" s="61" t="s">
        <v>1362</v>
      </c>
      <c r="F193" s="61" t="s">
        <v>1115</v>
      </c>
      <c r="G193" s="61" t="s">
        <v>915</v>
      </c>
    </row>
    <row r="194" spans="1:7">
      <c r="A194" s="60" t="s">
        <v>437</v>
      </c>
      <c r="B194" s="61" t="s">
        <v>437</v>
      </c>
      <c r="C194" s="61" t="s">
        <v>438</v>
      </c>
      <c r="D194" s="62">
        <v>3</v>
      </c>
      <c r="E194" s="61" t="s">
        <v>1363</v>
      </c>
      <c r="F194" s="61" t="s">
        <v>1116</v>
      </c>
      <c r="G194" s="61" t="s">
        <v>916</v>
      </c>
    </row>
    <row r="195" spans="1:7">
      <c r="A195" s="60" t="s">
        <v>439</v>
      </c>
      <c r="B195" s="61" t="s">
        <v>439</v>
      </c>
      <c r="C195" s="61" t="s">
        <v>440</v>
      </c>
      <c r="D195" s="62">
        <v>3</v>
      </c>
      <c r="E195" s="61" t="s">
        <v>1364</v>
      </c>
      <c r="F195" s="61" t="s">
        <v>1117</v>
      </c>
      <c r="G195" s="61" t="s">
        <v>917</v>
      </c>
    </row>
    <row r="196" spans="1:7">
      <c r="A196" s="60" t="s">
        <v>441</v>
      </c>
      <c r="B196" s="61" t="s">
        <v>441</v>
      </c>
      <c r="C196" s="61" t="s">
        <v>442</v>
      </c>
      <c r="D196" s="62">
        <v>3</v>
      </c>
      <c r="E196" s="61" t="s">
        <v>1365</v>
      </c>
      <c r="F196" s="61" t="s">
        <v>1118</v>
      </c>
      <c r="G196" s="61" t="s">
        <v>918</v>
      </c>
    </row>
    <row r="197" spans="1:7">
      <c r="A197" s="60" t="s">
        <v>443</v>
      </c>
      <c r="B197" s="61" t="s">
        <v>443</v>
      </c>
      <c r="C197" s="61" t="s">
        <v>444</v>
      </c>
      <c r="D197" s="62">
        <v>3</v>
      </c>
      <c r="E197" s="61" t="s">
        <v>1360</v>
      </c>
      <c r="F197" s="61" t="s">
        <v>1119</v>
      </c>
      <c r="G197" s="61" t="s">
        <v>919</v>
      </c>
    </row>
    <row r="198" spans="1:7">
      <c r="A198" s="60" t="s">
        <v>1553</v>
      </c>
      <c r="B198" s="60" t="s">
        <v>1553</v>
      </c>
      <c r="C198" s="61" t="s">
        <v>1554</v>
      </c>
      <c r="D198" s="62">
        <v>3</v>
      </c>
      <c r="E198" s="61" t="s">
        <v>1449</v>
      </c>
      <c r="F198" s="61" t="s">
        <v>1120</v>
      </c>
      <c r="G198" s="61" t="s">
        <v>920</v>
      </c>
    </row>
    <row r="199" spans="1:7">
      <c r="A199" s="60" t="s">
        <v>1555</v>
      </c>
      <c r="B199" s="61" t="s">
        <v>1555</v>
      </c>
      <c r="C199" s="61" t="s">
        <v>1557</v>
      </c>
      <c r="D199" s="62">
        <v>3</v>
      </c>
      <c r="E199" s="61" t="s">
        <v>1366</v>
      </c>
      <c r="F199" s="61" t="s">
        <v>1121</v>
      </c>
      <c r="G199" s="61" t="s">
        <v>921</v>
      </c>
    </row>
    <row r="200" spans="1:7">
      <c r="A200" s="61" t="s">
        <v>1556</v>
      </c>
      <c r="B200" s="61" t="s">
        <v>1556</v>
      </c>
      <c r="C200" s="61" t="s">
        <v>1558</v>
      </c>
      <c r="D200" s="62">
        <v>3</v>
      </c>
      <c r="E200" s="61" t="s">
        <v>1367</v>
      </c>
      <c r="F200" s="61" t="s">
        <v>1122</v>
      </c>
      <c r="G200" s="61" t="s">
        <v>922</v>
      </c>
    </row>
    <row r="201" spans="1:7">
      <c r="A201" s="60" t="s">
        <v>1559</v>
      </c>
      <c r="B201" s="60" t="s">
        <v>1559</v>
      </c>
      <c r="C201" s="61" t="s">
        <v>1560</v>
      </c>
      <c r="D201" s="62">
        <v>3</v>
      </c>
      <c r="E201" s="61" t="s">
        <v>1368</v>
      </c>
      <c r="F201" s="61" t="s">
        <v>1123</v>
      </c>
      <c r="G201" s="61" t="s">
        <v>923</v>
      </c>
    </row>
    <row r="202" spans="1:7">
      <c r="A202" s="60" t="s">
        <v>1548</v>
      </c>
      <c r="B202" s="61" t="s">
        <v>1548</v>
      </c>
      <c r="C202" s="61" t="s">
        <v>1549</v>
      </c>
      <c r="D202" s="62">
        <v>3</v>
      </c>
      <c r="E202" s="61" t="s">
        <v>1369</v>
      </c>
      <c r="F202" s="61" t="s">
        <v>1124</v>
      </c>
      <c r="G202" s="61" t="s">
        <v>924</v>
      </c>
    </row>
    <row r="203" spans="1:7">
      <c r="A203" s="60" t="s">
        <v>1550</v>
      </c>
      <c r="B203" s="61" t="s">
        <v>1550</v>
      </c>
      <c r="C203" s="61" t="s">
        <v>1551</v>
      </c>
      <c r="D203" s="62">
        <v>3</v>
      </c>
      <c r="E203" s="61" t="s">
        <v>1370</v>
      </c>
      <c r="F203" s="61" t="s">
        <v>1125</v>
      </c>
      <c r="G203" s="61" t="s">
        <v>925</v>
      </c>
    </row>
    <row r="204" spans="1:7">
      <c r="A204" s="60" t="s">
        <v>1552</v>
      </c>
      <c r="B204" s="60" t="s">
        <v>1552</v>
      </c>
      <c r="C204" s="61" t="s">
        <v>1561</v>
      </c>
      <c r="D204" s="62" t="s">
        <v>1163</v>
      </c>
      <c r="E204" s="61" t="s">
        <v>1371</v>
      </c>
      <c r="F204" s="61" t="s">
        <v>1162</v>
      </c>
      <c r="G204" s="61" t="s">
        <v>926</v>
      </c>
    </row>
    <row r="205" spans="1:7">
      <c r="A205" s="60" t="s">
        <v>458</v>
      </c>
      <c r="B205" s="61" t="s">
        <v>458</v>
      </c>
      <c r="C205" s="61" t="s">
        <v>459</v>
      </c>
      <c r="D205" s="62" t="s">
        <v>927</v>
      </c>
      <c r="E205" s="61" t="s">
        <v>1372</v>
      </c>
      <c r="F205" s="61" t="s">
        <v>1126</v>
      </c>
      <c r="G205" s="61" t="s">
        <v>928</v>
      </c>
    </row>
    <row r="206" spans="1:7">
      <c r="A206" s="60" t="s">
        <v>460</v>
      </c>
      <c r="B206" s="61" t="s">
        <v>460</v>
      </c>
      <c r="C206" s="61" t="s">
        <v>461</v>
      </c>
      <c r="D206" s="62">
        <v>2</v>
      </c>
      <c r="E206" s="61" t="s">
        <v>1373</v>
      </c>
      <c r="F206" s="61" t="s">
        <v>1127</v>
      </c>
      <c r="G206" s="61" t="s">
        <v>929</v>
      </c>
    </row>
    <row r="207" spans="1:7">
      <c r="A207" s="60" t="s">
        <v>462</v>
      </c>
      <c r="B207" s="61" t="s">
        <v>462</v>
      </c>
      <c r="C207" s="61" t="s">
        <v>463</v>
      </c>
      <c r="D207" s="62">
        <v>2</v>
      </c>
      <c r="E207" s="61" t="s">
        <v>1374</v>
      </c>
      <c r="F207" s="61" t="s">
        <v>1128</v>
      </c>
      <c r="G207" s="61" t="s">
        <v>930</v>
      </c>
    </row>
    <row r="208" spans="1:7">
      <c r="A208" s="60" t="s">
        <v>464</v>
      </c>
      <c r="B208" s="61" t="s">
        <v>464</v>
      </c>
      <c r="C208" s="61" t="s">
        <v>465</v>
      </c>
      <c r="D208" s="62">
        <v>2</v>
      </c>
      <c r="E208" s="61" t="s">
        <v>1375</v>
      </c>
      <c r="F208" s="61" t="s">
        <v>1129</v>
      </c>
      <c r="G208" s="61" t="s">
        <v>931</v>
      </c>
    </row>
    <row r="209" spans="1:7">
      <c r="A209" s="60" t="s">
        <v>466</v>
      </c>
      <c r="B209" s="61" t="s">
        <v>466</v>
      </c>
      <c r="C209" s="61" t="s">
        <v>467</v>
      </c>
      <c r="D209" s="62" t="s">
        <v>1163</v>
      </c>
      <c r="E209" s="61" t="s">
        <v>470</v>
      </c>
      <c r="F209" s="61" t="s">
        <v>1164</v>
      </c>
      <c r="G209" s="61" t="s">
        <v>932</v>
      </c>
    </row>
    <row r="210" spans="1:7">
      <c r="A210" s="60" t="s">
        <v>468</v>
      </c>
      <c r="B210" s="61" t="s">
        <v>468</v>
      </c>
      <c r="C210" s="61" t="s">
        <v>469</v>
      </c>
      <c r="D210" s="62">
        <v>4</v>
      </c>
      <c r="E210" s="61"/>
      <c r="F210" s="61" t="s">
        <v>1165</v>
      </c>
      <c r="G210" s="63" t="s">
        <v>933</v>
      </c>
    </row>
    <row r="211" spans="1:7">
      <c r="A211" s="60" t="s">
        <v>470</v>
      </c>
      <c r="B211" s="61" t="s">
        <v>470</v>
      </c>
      <c r="C211" s="61" t="s">
        <v>471</v>
      </c>
      <c r="D211" s="62" t="s">
        <v>927</v>
      </c>
      <c r="E211" s="61"/>
      <c r="F211" s="61" t="s">
        <v>1130</v>
      </c>
      <c r="G211" s="61" t="s">
        <v>934</v>
      </c>
    </row>
    <row r="212" spans="1:7">
      <c r="A212" s="60" t="s">
        <v>472</v>
      </c>
      <c r="B212" s="61" t="s">
        <v>472</v>
      </c>
      <c r="C212" s="61" t="s">
        <v>473</v>
      </c>
      <c r="D212" s="62" t="s">
        <v>927</v>
      </c>
      <c r="E212" s="61"/>
      <c r="F212" s="61" t="s">
        <v>1131</v>
      </c>
      <c r="G212" s="61" t="s">
        <v>935</v>
      </c>
    </row>
    <row r="213" spans="1:7">
      <c r="A213" s="60" t="s">
        <v>474</v>
      </c>
      <c r="B213" s="61" t="s">
        <v>474</v>
      </c>
      <c r="C213" s="61" t="s">
        <v>475</v>
      </c>
      <c r="D213" s="62" t="s">
        <v>927</v>
      </c>
      <c r="E213" s="61"/>
      <c r="F213" s="61" t="s">
        <v>1132</v>
      </c>
      <c r="G213" s="61" t="s">
        <v>936</v>
      </c>
    </row>
    <row r="214" spans="1:7">
      <c r="A214" s="60" t="s">
        <v>510</v>
      </c>
      <c r="B214" s="61" t="s">
        <v>510</v>
      </c>
      <c r="C214" s="61" t="s">
        <v>511</v>
      </c>
      <c r="D214" s="62">
        <v>3</v>
      </c>
      <c r="E214" s="61" t="s">
        <v>1376</v>
      </c>
      <c r="F214" s="61" t="s">
        <v>1133</v>
      </c>
      <c r="G214" s="61" t="s">
        <v>937</v>
      </c>
    </row>
    <row r="215" spans="1:7">
      <c r="A215" s="60" t="s">
        <v>478</v>
      </c>
      <c r="B215" s="61" t="s">
        <v>478</v>
      </c>
      <c r="C215" s="61" t="s">
        <v>479</v>
      </c>
      <c r="D215" s="62">
        <v>3</v>
      </c>
      <c r="E215" s="61" t="s">
        <v>1377</v>
      </c>
      <c r="F215" s="61" t="s">
        <v>1134</v>
      </c>
      <c r="G215" s="61" t="s">
        <v>938</v>
      </c>
    </row>
    <row r="216" spans="1:7">
      <c r="A216" s="60" t="s">
        <v>480</v>
      </c>
      <c r="B216" s="61" t="s">
        <v>480</v>
      </c>
      <c r="C216" s="61" t="s">
        <v>481</v>
      </c>
      <c r="D216" s="62">
        <v>3</v>
      </c>
      <c r="E216" s="61" t="s">
        <v>1378</v>
      </c>
      <c r="F216" s="61" t="s">
        <v>1135</v>
      </c>
      <c r="G216" s="61" t="s">
        <v>939</v>
      </c>
    </row>
    <row r="217" spans="1:7">
      <c r="A217" s="60" t="s">
        <v>512</v>
      </c>
      <c r="B217" s="61" t="s">
        <v>512</v>
      </c>
      <c r="C217" s="61" t="s">
        <v>513</v>
      </c>
      <c r="D217" s="62">
        <v>3</v>
      </c>
      <c r="E217" s="61" t="s">
        <v>510</v>
      </c>
      <c r="F217" s="61" t="s">
        <v>1136</v>
      </c>
      <c r="G217" s="61" t="s">
        <v>940</v>
      </c>
    </row>
    <row r="218" spans="1:7">
      <c r="A218" s="60" t="s">
        <v>484</v>
      </c>
      <c r="B218" s="61" t="s">
        <v>484</v>
      </c>
      <c r="C218" s="61" t="s">
        <v>485</v>
      </c>
      <c r="D218" s="62">
        <v>3</v>
      </c>
      <c r="E218" s="61" t="s">
        <v>1379</v>
      </c>
      <c r="F218" s="61" t="s">
        <v>1137</v>
      </c>
      <c r="G218" s="61" t="s">
        <v>941</v>
      </c>
    </row>
    <row r="219" spans="1:7">
      <c r="A219" s="60" t="s">
        <v>516</v>
      </c>
      <c r="B219" s="61" t="s">
        <v>516</v>
      </c>
      <c r="C219" s="61" t="s">
        <v>517</v>
      </c>
      <c r="D219" s="62">
        <v>3</v>
      </c>
      <c r="E219" s="61" t="s">
        <v>1380</v>
      </c>
      <c r="F219" s="61" t="s">
        <v>1138</v>
      </c>
      <c r="G219" s="61" t="s">
        <v>942</v>
      </c>
    </row>
    <row r="220" spans="1:7">
      <c r="A220" s="60" t="s">
        <v>518</v>
      </c>
      <c r="B220" s="61" t="s">
        <v>518</v>
      </c>
      <c r="C220" s="61" t="s">
        <v>519</v>
      </c>
      <c r="D220" s="62">
        <v>3</v>
      </c>
      <c r="E220" s="61" t="s">
        <v>1381</v>
      </c>
      <c r="F220" s="61" t="s">
        <v>1139</v>
      </c>
      <c r="G220" s="61" t="s">
        <v>943</v>
      </c>
    </row>
    <row r="221" spans="1:7">
      <c r="A221" s="60" t="s">
        <v>520</v>
      </c>
      <c r="B221" s="61" t="s">
        <v>520</v>
      </c>
      <c r="C221" s="61" t="s">
        <v>566</v>
      </c>
      <c r="D221" s="62">
        <v>3</v>
      </c>
      <c r="E221" s="61"/>
      <c r="F221" s="61" t="s">
        <v>1171</v>
      </c>
      <c r="G221" s="61" t="s">
        <v>944</v>
      </c>
    </row>
    <row r="222" spans="1:7">
      <c r="A222" s="60" t="s">
        <v>522</v>
      </c>
      <c r="B222" s="61" t="s">
        <v>522</v>
      </c>
      <c r="C222" s="61" t="s">
        <v>523</v>
      </c>
      <c r="D222" s="62">
        <v>3</v>
      </c>
      <c r="E222" s="61" t="s">
        <v>1448</v>
      </c>
      <c r="F222" s="61" t="s">
        <v>1140</v>
      </c>
      <c r="G222" s="61" t="s">
        <v>945</v>
      </c>
    </row>
    <row r="223" spans="1:7">
      <c r="A223" s="60" t="s">
        <v>526</v>
      </c>
      <c r="B223" s="61" t="s">
        <v>526</v>
      </c>
      <c r="C223" s="61" t="s">
        <v>527</v>
      </c>
      <c r="D223" s="62">
        <v>3</v>
      </c>
      <c r="E223" s="61" t="s">
        <v>1448</v>
      </c>
      <c r="F223" s="61" t="s">
        <v>1141</v>
      </c>
      <c r="G223" s="61" t="s">
        <v>946</v>
      </c>
    </row>
    <row r="224" spans="1:7">
      <c r="A224" s="60" t="s">
        <v>496</v>
      </c>
      <c r="B224" s="61" t="s">
        <v>496</v>
      </c>
      <c r="C224" s="61" t="s">
        <v>497</v>
      </c>
      <c r="D224" s="62">
        <v>3</v>
      </c>
      <c r="E224" s="61" t="s">
        <v>1382</v>
      </c>
      <c r="F224" s="61" t="s">
        <v>1142</v>
      </c>
      <c r="G224" s="61" t="s">
        <v>947</v>
      </c>
    </row>
    <row r="225" spans="1:8">
      <c r="A225" s="60" t="s">
        <v>528</v>
      </c>
      <c r="B225" s="61" t="s">
        <v>528</v>
      </c>
      <c r="C225" s="61" t="s">
        <v>529</v>
      </c>
      <c r="D225" s="62">
        <v>3</v>
      </c>
      <c r="E225" s="61" t="s">
        <v>1448</v>
      </c>
      <c r="F225" s="61" t="s">
        <v>1143</v>
      </c>
      <c r="G225" s="61" t="s">
        <v>948</v>
      </c>
    </row>
    <row r="226" spans="1:8">
      <c r="A226" s="60" t="s">
        <v>500</v>
      </c>
      <c r="B226" s="61" t="s">
        <v>500</v>
      </c>
      <c r="C226" s="61" t="s">
        <v>501</v>
      </c>
      <c r="D226" s="62">
        <v>3</v>
      </c>
      <c r="E226" s="61" t="s">
        <v>1448</v>
      </c>
      <c r="F226" s="61" t="s">
        <v>1144</v>
      </c>
      <c r="G226" s="61" t="s">
        <v>949</v>
      </c>
    </row>
    <row r="227" spans="1:8">
      <c r="A227" s="60" t="s">
        <v>530</v>
      </c>
      <c r="B227" s="61" t="s">
        <v>530</v>
      </c>
      <c r="C227" s="61" t="s">
        <v>531</v>
      </c>
      <c r="D227" s="62">
        <v>3</v>
      </c>
      <c r="E227" s="61" t="s">
        <v>1448</v>
      </c>
      <c r="F227" s="61" t="s">
        <v>1145</v>
      </c>
      <c r="G227" s="61" t="s">
        <v>950</v>
      </c>
    </row>
    <row r="228" spans="1:8">
      <c r="A228" s="60" t="s">
        <v>532</v>
      </c>
      <c r="B228" s="61" t="s">
        <v>532</v>
      </c>
      <c r="C228" s="61" t="s">
        <v>533</v>
      </c>
      <c r="D228" s="62">
        <v>3</v>
      </c>
      <c r="E228" s="61" t="s">
        <v>512</v>
      </c>
      <c r="F228" s="61" t="s">
        <v>1146</v>
      </c>
      <c r="G228" s="61" t="s">
        <v>951</v>
      </c>
    </row>
    <row r="229" spans="1:8">
      <c r="A229" s="60" t="s">
        <v>506</v>
      </c>
      <c r="B229" s="61" t="s">
        <v>506</v>
      </c>
      <c r="C229" s="61" t="s">
        <v>507</v>
      </c>
      <c r="D229" s="62">
        <v>3</v>
      </c>
      <c r="E229" s="61"/>
      <c r="F229" s="61" t="s">
        <v>1147</v>
      </c>
      <c r="G229" s="61" t="s">
        <v>952</v>
      </c>
    </row>
    <row r="230" spans="1:8">
      <c r="A230" s="60" t="s">
        <v>534</v>
      </c>
      <c r="B230" s="61" t="s">
        <v>534</v>
      </c>
      <c r="C230" s="61" t="s">
        <v>535</v>
      </c>
      <c r="D230" s="62">
        <v>3</v>
      </c>
      <c r="E230" s="61"/>
      <c r="F230" s="64" t="s">
        <v>1278</v>
      </c>
      <c r="G230" s="61" t="s">
        <v>953</v>
      </c>
    </row>
    <row r="231" spans="1:8">
      <c r="A231" s="60" t="s">
        <v>1208</v>
      </c>
      <c r="B231" s="61" t="s">
        <v>534</v>
      </c>
      <c r="C231" s="61" t="s">
        <v>536</v>
      </c>
      <c r="D231" s="62">
        <v>3</v>
      </c>
      <c r="E231" s="61"/>
      <c r="F231" s="61" t="s">
        <v>1417</v>
      </c>
      <c r="G231" s="61" t="s">
        <v>953</v>
      </c>
      <c r="H231" s="65" t="s">
        <v>1416</v>
      </c>
    </row>
    <row r="232" spans="1:8">
      <c r="A232" s="60" t="s">
        <v>1209</v>
      </c>
      <c r="B232" s="61" t="s">
        <v>534</v>
      </c>
      <c r="C232" s="61" t="s">
        <v>537</v>
      </c>
      <c r="D232" s="62"/>
      <c r="E232" s="61"/>
      <c r="F232" s="61"/>
      <c r="G232" s="61" t="s">
        <v>953</v>
      </c>
    </row>
    <row r="233" spans="1:8">
      <c r="A233" s="60" t="s">
        <v>514</v>
      </c>
      <c r="B233" s="61" t="s">
        <v>514</v>
      </c>
      <c r="C233" s="61" t="s">
        <v>515</v>
      </c>
      <c r="D233" s="62">
        <v>3</v>
      </c>
      <c r="E233" s="61"/>
      <c r="F233" s="61" t="s">
        <v>1148</v>
      </c>
      <c r="G233" s="61" t="s">
        <v>954</v>
      </c>
    </row>
    <row r="234" spans="1:8">
      <c r="A234" s="60" t="s">
        <v>542</v>
      </c>
      <c r="B234" s="61" t="s">
        <v>542</v>
      </c>
      <c r="C234" s="61" t="s">
        <v>543</v>
      </c>
      <c r="D234" s="62">
        <v>3</v>
      </c>
      <c r="E234" s="61" t="s">
        <v>1383</v>
      </c>
      <c r="F234" s="61" t="s">
        <v>1149</v>
      </c>
      <c r="G234" s="61" t="s">
        <v>955</v>
      </c>
    </row>
    <row r="235" spans="1:8">
      <c r="A235" s="60" t="s">
        <v>548</v>
      </c>
      <c r="B235" s="61" t="s">
        <v>548</v>
      </c>
      <c r="C235" s="61" t="s">
        <v>549</v>
      </c>
      <c r="D235" s="62">
        <v>3</v>
      </c>
      <c r="E235" s="61" t="s">
        <v>1449</v>
      </c>
      <c r="F235" s="61" t="s">
        <v>1150</v>
      </c>
      <c r="G235" s="61" t="s">
        <v>956</v>
      </c>
    </row>
    <row r="236" spans="1:8">
      <c r="A236" s="60" t="s">
        <v>550</v>
      </c>
      <c r="B236" s="61" t="s">
        <v>550</v>
      </c>
      <c r="C236" s="61" t="s">
        <v>551</v>
      </c>
      <c r="D236" s="62">
        <v>3</v>
      </c>
      <c r="E236" s="61" t="s">
        <v>1448</v>
      </c>
      <c r="F236" s="61" t="s">
        <v>1151</v>
      </c>
      <c r="G236" s="61" t="s">
        <v>957</v>
      </c>
    </row>
    <row r="237" spans="1:8">
      <c r="A237" s="60" t="s">
        <v>734</v>
      </c>
      <c r="B237" s="61" t="s">
        <v>734</v>
      </c>
      <c r="C237" s="61" t="s">
        <v>287</v>
      </c>
      <c r="D237" s="62">
        <v>3</v>
      </c>
      <c r="E237" s="61" t="s">
        <v>1384</v>
      </c>
      <c r="F237" s="61" t="s">
        <v>1152</v>
      </c>
      <c r="G237" s="61" t="s">
        <v>958</v>
      </c>
    </row>
    <row r="238" spans="1:8">
      <c r="A238" s="60" t="s">
        <v>736</v>
      </c>
      <c r="B238" s="61" t="s">
        <v>736</v>
      </c>
      <c r="C238" s="61" t="s">
        <v>525</v>
      </c>
      <c r="D238" s="62">
        <v>3</v>
      </c>
      <c r="E238" s="61"/>
      <c r="F238" s="61" t="s">
        <v>1153</v>
      </c>
      <c r="G238" s="61" t="s">
        <v>959</v>
      </c>
    </row>
    <row r="239" spans="1:8">
      <c r="A239" s="60" t="s">
        <v>738</v>
      </c>
      <c r="B239" s="61" t="s">
        <v>738</v>
      </c>
      <c r="C239" s="61" t="s">
        <v>289</v>
      </c>
      <c r="D239" s="62">
        <v>3</v>
      </c>
      <c r="E239" s="61" t="s">
        <v>1385</v>
      </c>
      <c r="F239" s="61" t="s">
        <v>1154</v>
      </c>
      <c r="G239" s="61" t="s">
        <v>960</v>
      </c>
    </row>
    <row r="240" spans="1:8">
      <c r="A240" s="60" t="s">
        <v>739</v>
      </c>
      <c r="B240" s="61" t="s">
        <v>739</v>
      </c>
      <c r="C240" s="61" t="s">
        <v>291</v>
      </c>
      <c r="D240" s="62">
        <v>3</v>
      </c>
      <c r="E240" s="61" t="s">
        <v>1386</v>
      </c>
      <c r="F240" s="61" t="s">
        <v>1155</v>
      </c>
      <c r="G240" s="61" t="s">
        <v>961</v>
      </c>
    </row>
    <row r="241" spans="1:8">
      <c r="A241" s="60" t="s">
        <v>740</v>
      </c>
      <c r="B241" s="61" t="s">
        <v>740</v>
      </c>
      <c r="C241" s="61" t="s">
        <v>339</v>
      </c>
      <c r="D241" s="62">
        <v>3</v>
      </c>
      <c r="E241" s="61" t="s">
        <v>1387</v>
      </c>
      <c r="F241" s="61" t="s">
        <v>1156</v>
      </c>
      <c r="G241" s="61" t="s">
        <v>962</v>
      </c>
    </row>
    <row r="242" spans="1:8">
      <c r="A242" s="60" t="s">
        <v>742</v>
      </c>
      <c r="B242" s="61" t="s">
        <v>742</v>
      </c>
      <c r="C242" s="61" t="s">
        <v>293</v>
      </c>
      <c r="D242" s="62">
        <v>2</v>
      </c>
      <c r="E242" s="61" t="s">
        <v>1388</v>
      </c>
      <c r="F242" s="61" t="s">
        <v>1157</v>
      </c>
      <c r="G242" s="61" t="s">
        <v>963</v>
      </c>
    </row>
    <row r="243" spans="1:8">
      <c r="A243" s="60" t="s">
        <v>743</v>
      </c>
      <c r="B243" s="61" t="s">
        <v>743</v>
      </c>
      <c r="C243" s="61" t="s">
        <v>341</v>
      </c>
      <c r="D243" s="62">
        <v>3</v>
      </c>
      <c r="E243" s="61" t="s">
        <v>1389</v>
      </c>
      <c r="F243" s="61" t="s">
        <v>1158</v>
      </c>
      <c r="G243" s="61" t="s">
        <v>964</v>
      </c>
    </row>
    <row r="244" spans="1:8">
      <c r="A244" s="60" t="s">
        <v>745</v>
      </c>
      <c r="B244" s="61" t="s">
        <v>745</v>
      </c>
      <c r="C244" s="61" t="s">
        <v>97</v>
      </c>
      <c r="D244" s="62">
        <v>4</v>
      </c>
      <c r="E244" s="61" t="s">
        <v>1390</v>
      </c>
      <c r="F244" s="61" t="s">
        <v>1159</v>
      </c>
      <c r="G244" s="61" t="s">
        <v>965</v>
      </c>
    </row>
    <row r="245" spans="1:8">
      <c r="A245" s="60" t="s">
        <v>747</v>
      </c>
      <c r="B245" s="61" t="s">
        <v>747</v>
      </c>
      <c r="C245" s="61" t="s">
        <v>343</v>
      </c>
      <c r="D245" s="62">
        <v>3</v>
      </c>
      <c r="E245" s="61" t="s">
        <v>1391</v>
      </c>
      <c r="F245" s="61" t="s">
        <v>1160</v>
      </c>
      <c r="G245" s="61" t="s">
        <v>966</v>
      </c>
    </row>
    <row r="246" spans="1:8">
      <c r="A246" s="60" t="s">
        <v>538</v>
      </c>
      <c r="B246" s="61" t="s">
        <v>538</v>
      </c>
      <c r="C246" s="61" t="s">
        <v>539</v>
      </c>
      <c r="D246" s="62">
        <v>3</v>
      </c>
      <c r="E246" s="61"/>
      <c r="F246" s="61"/>
      <c r="G246" s="61" t="s">
        <v>967</v>
      </c>
      <c r="H246" s="59" t="s">
        <v>1418</v>
      </c>
    </row>
    <row r="247" spans="1:8">
      <c r="A247" s="60" t="s">
        <v>540</v>
      </c>
      <c r="B247" s="61" t="s">
        <v>540</v>
      </c>
      <c r="C247" s="61" t="s">
        <v>541</v>
      </c>
      <c r="D247" s="62">
        <v>3</v>
      </c>
      <c r="E247" s="61"/>
      <c r="F247" s="61" t="s">
        <v>1420</v>
      </c>
      <c r="G247" s="61" t="s">
        <v>968</v>
      </c>
      <c r="H247" s="59" t="s">
        <v>1419</v>
      </c>
    </row>
    <row r="248" spans="1:8">
      <c r="A248" s="60" t="s">
        <v>552</v>
      </c>
      <c r="B248" s="61" t="s">
        <v>552</v>
      </c>
      <c r="C248" s="61" t="s">
        <v>553</v>
      </c>
      <c r="D248" s="62">
        <v>3</v>
      </c>
      <c r="E248" s="61" t="s">
        <v>1450</v>
      </c>
      <c r="F248" s="61" t="s">
        <v>753</v>
      </c>
      <c r="G248" s="61" t="s">
        <v>969</v>
      </c>
      <c r="H248" s="59" t="s">
        <v>1451</v>
      </c>
    </row>
    <row r="249" spans="1:8">
      <c r="A249" s="60" t="s">
        <v>544</v>
      </c>
      <c r="B249" s="61" t="s">
        <v>544</v>
      </c>
      <c r="C249" s="61" t="s">
        <v>545</v>
      </c>
      <c r="D249" s="62">
        <v>3</v>
      </c>
      <c r="E249" s="61" t="s">
        <v>1453</v>
      </c>
      <c r="F249" s="61" t="s">
        <v>970</v>
      </c>
      <c r="G249" s="61" t="s">
        <v>971</v>
      </c>
      <c r="H249" s="59" t="s">
        <v>1452</v>
      </c>
    </row>
    <row r="250" spans="1:8">
      <c r="A250" s="60" t="s">
        <v>546</v>
      </c>
      <c r="B250" s="61" t="s">
        <v>546</v>
      </c>
      <c r="C250" s="61" t="s">
        <v>547</v>
      </c>
      <c r="D250" s="62">
        <v>3</v>
      </c>
      <c r="E250" s="61" t="s">
        <v>1392</v>
      </c>
      <c r="F250" s="61" t="s">
        <v>1161</v>
      </c>
      <c r="G250" s="61" t="s">
        <v>972</v>
      </c>
    </row>
    <row r="251" spans="1:8">
      <c r="A251" s="60" t="s">
        <v>238</v>
      </c>
      <c r="B251" s="61" t="s">
        <v>238</v>
      </c>
      <c r="C251" s="61" t="s">
        <v>1166</v>
      </c>
      <c r="D251" s="62"/>
      <c r="E251" s="61"/>
      <c r="F251" s="61"/>
      <c r="G251" s="61"/>
    </row>
    <row r="252" spans="1:8">
      <c r="A252" s="60" t="s">
        <v>1210</v>
      </c>
      <c r="B252" s="61" t="s">
        <v>238</v>
      </c>
      <c r="C252" s="61" t="s">
        <v>1167</v>
      </c>
      <c r="D252" s="62"/>
      <c r="E252" s="61"/>
      <c r="F252" s="61"/>
      <c r="G252" s="61"/>
    </row>
    <row r="253" spans="1:8">
      <c r="A253" s="60" t="s">
        <v>1211</v>
      </c>
      <c r="B253" s="61" t="s">
        <v>238</v>
      </c>
      <c r="C253" s="61" t="s">
        <v>1423</v>
      </c>
      <c r="D253" s="62"/>
      <c r="E253" s="61"/>
      <c r="F253" s="61" t="s">
        <v>1422</v>
      </c>
      <c r="G253" s="61"/>
      <c r="H253" s="59" t="s">
        <v>1426</v>
      </c>
    </row>
    <row r="254" spans="1:8">
      <c r="A254" s="60" t="s">
        <v>1212</v>
      </c>
      <c r="B254" s="61" t="s">
        <v>238</v>
      </c>
      <c r="C254" s="61" t="s">
        <v>1424</v>
      </c>
      <c r="D254" s="62"/>
      <c r="E254" s="61" t="s">
        <v>1423</v>
      </c>
      <c r="F254" s="61" t="s">
        <v>1425</v>
      </c>
      <c r="G254" s="61"/>
      <c r="H254" s="59" t="s">
        <v>1426</v>
      </c>
    </row>
    <row r="255" spans="1:8">
      <c r="A255" s="60" t="s">
        <v>1213</v>
      </c>
      <c r="B255" s="61" t="s">
        <v>238</v>
      </c>
      <c r="C255" s="61" t="s">
        <v>570</v>
      </c>
      <c r="D255" s="62"/>
      <c r="E255" s="61"/>
      <c r="F255" s="61"/>
      <c r="G255" s="61"/>
    </row>
    <row r="256" spans="1:8">
      <c r="A256" s="60" t="s">
        <v>1214</v>
      </c>
      <c r="B256" s="61" t="s">
        <v>225</v>
      </c>
      <c r="C256" s="61" t="s">
        <v>572</v>
      </c>
      <c r="D256" s="62">
        <v>1</v>
      </c>
      <c r="E256" s="61">
        <v>0</v>
      </c>
      <c r="F256" s="61" t="s">
        <v>574</v>
      </c>
      <c r="G256" s="61" t="s">
        <v>825</v>
      </c>
    </row>
    <row r="257" spans="1:8">
      <c r="A257" s="60" t="s">
        <v>1215</v>
      </c>
      <c r="B257" s="61" t="s">
        <v>225</v>
      </c>
      <c r="C257" s="61" t="s">
        <v>571</v>
      </c>
      <c r="D257" s="62">
        <v>1</v>
      </c>
      <c r="E257" s="61" t="s">
        <v>572</v>
      </c>
      <c r="F257" s="61" t="s">
        <v>575</v>
      </c>
      <c r="G257" s="61" t="s">
        <v>825</v>
      </c>
    </row>
    <row r="258" spans="1:8">
      <c r="A258" s="60" t="s">
        <v>1216</v>
      </c>
      <c r="B258" s="61" t="s">
        <v>225</v>
      </c>
      <c r="C258" s="61" t="s">
        <v>573</v>
      </c>
      <c r="D258" s="62">
        <v>1</v>
      </c>
      <c r="E258" s="61" t="s">
        <v>571</v>
      </c>
      <c r="F258" s="61" t="s">
        <v>576</v>
      </c>
      <c r="G258" s="61" t="s">
        <v>825</v>
      </c>
    </row>
    <row r="259" spans="1:8">
      <c r="A259" s="59" t="s">
        <v>1277</v>
      </c>
      <c r="B259" s="59" t="s">
        <v>1277</v>
      </c>
      <c r="C259" s="59" t="s">
        <v>1279</v>
      </c>
      <c r="D259" s="60">
        <v>3</v>
      </c>
      <c r="E259" s="59" t="s">
        <v>1282</v>
      </c>
      <c r="F259" s="59" t="s">
        <v>1280</v>
      </c>
      <c r="G259" s="65" t="s">
        <v>1281</v>
      </c>
    </row>
    <row r="260" spans="1:8">
      <c r="A260" s="59" t="s">
        <v>1430</v>
      </c>
      <c r="B260" s="59" t="s">
        <v>1430</v>
      </c>
      <c r="C260" s="59" t="s">
        <v>1431</v>
      </c>
      <c r="F260" s="59" t="s">
        <v>1432</v>
      </c>
    </row>
    <row r="261" spans="1:8">
      <c r="A261" s="59" t="s">
        <v>1443</v>
      </c>
      <c r="B261" s="59" t="s">
        <v>534</v>
      </c>
      <c r="C261" s="59" t="s">
        <v>1444</v>
      </c>
      <c r="D261" s="60">
        <v>3</v>
      </c>
      <c r="F261" s="59" t="s">
        <v>1446</v>
      </c>
      <c r="H261" s="59" t="s">
        <v>1447</v>
      </c>
    </row>
  </sheetData>
  <autoFilter ref="B1:G260" xr:uid="{00000000-0009-0000-0000-000000000000}"/>
  <conditionalFormatting sqref="A1">
    <cfRule type="expression" dxfId="10" priority="3">
      <formula>$F1="N/A"</formula>
    </cfRule>
  </conditionalFormatting>
  <conditionalFormatting sqref="A105">
    <cfRule type="expression" dxfId="9" priority="1">
      <formula>$F105="N/A"</formula>
    </cfRule>
  </conditionalFormatting>
  <conditionalFormatting sqref="F230">
    <cfRule type="expression" dxfId="8" priority="2">
      <formula>$F230="N/A"</formula>
    </cfRule>
  </conditionalFormatting>
  <conditionalFormatting sqref="H2:J2568">
    <cfRule type="expression" dxfId="7" priority="4">
      <formula>EXACT(H2, "x")</formula>
    </cfRule>
    <cfRule type="expression" dxfId="6" priority="5">
      <formula>EXACT(H2, "?")</formula>
    </cfRule>
  </conditionalFormatting>
  <hyperlinks>
    <hyperlink ref="G210" r:id="rId1" xr:uid="{372F3EAF-ACC1-4F3E-9F52-38906D2F0409}"/>
    <hyperlink ref="G259" r:id="rId2" xr:uid="{D9D48C2C-4588-4F59-B77B-518096AB45F1}"/>
    <hyperlink ref="H231" r:id="rId3" xr:uid="{05CD3A81-FAC1-40FB-A757-F81F3E6CE5D7}"/>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89A2-C89D-4984-8DDE-DFEDC2710CEF}">
  <dimension ref="A1:A8"/>
  <sheetViews>
    <sheetView workbookViewId="0">
      <selection activeCell="A9" sqref="A9"/>
    </sheetView>
  </sheetViews>
  <sheetFormatPr defaultRowHeight="15.75"/>
  <sheetData>
    <row r="1" spans="1:1">
      <c r="A1" t="s">
        <v>69</v>
      </c>
    </row>
    <row r="2" spans="1:1">
      <c r="A2" t="s">
        <v>116</v>
      </c>
    </row>
    <row r="3" spans="1:1">
      <c r="A3" t="s">
        <v>241</v>
      </c>
    </row>
    <row r="4" spans="1:1">
      <c r="A4" t="s">
        <v>348</v>
      </c>
    </row>
    <row r="5" spans="1:1">
      <c r="A5" t="s">
        <v>106</v>
      </c>
    </row>
    <row r="6" spans="1:1">
      <c r="A6" t="s">
        <v>569</v>
      </c>
    </row>
    <row r="7" spans="1:1">
      <c r="A7" t="s">
        <v>59</v>
      </c>
    </row>
    <row r="8" spans="1:1">
      <c r="A8" t="s">
        <v>1175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CA7C4-E9A3-421A-9711-2A4DA0D76FB9}">
  <dimension ref="A1:H258"/>
  <sheetViews>
    <sheetView workbookViewId="0">
      <selection activeCell="E2" sqref="E2"/>
    </sheetView>
  </sheetViews>
  <sheetFormatPr defaultColWidth="10.875" defaultRowHeight="13.5"/>
  <cols>
    <col min="1" max="2" width="8.875" style="45" customWidth="1"/>
    <col min="3" max="3" width="27.125" style="45" customWidth="1"/>
    <col min="4" max="4" width="8" style="46" customWidth="1"/>
    <col min="5" max="5" width="43.625" style="45" customWidth="1"/>
    <col min="6" max="7" width="65.125" style="45" customWidth="1"/>
    <col min="8" max="8" width="19.5" style="45" bestFit="1" customWidth="1"/>
    <col min="9" max="9" width="6.625" style="45" customWidth="1"/>
    <col min="10" max="16384" width="10.875" style="45"/>
  </cols>
  <sheetData>
    <row r="1" spans="1:8">
      <c r="A1" s="51" t="s">
        <v>1178</v>
      </c>
      <c r="B1" s="50" t="s">
        <v>53</v>
      </c>
      <c r="C1" s="50" t="s">
        <v>55</v>
      </c>
      <c r="D1" s="50" t="s">
        <v>56</v>
      </c>
      <c r="E1" s="50" t="s">
        <v>561</v>
      </c>
      <c r="F1" s="50" t="s">
        <v>560</v>
      </c>
      <c r="G1" s="50" t="s">
        <v>562</v>
      </c>
      <c r="H1" s="49" t="s">
        <v>1225</v>
      </c>
    </row>
    <row r="2" spans="1:8">
      <c r="A2" s="46" t="s">
        <v>60</v>
      </c>
      <c r="B2" s="47" t="s">
        <v>60</v>
      </c>
      <c r="C2" s="47" t="s">
        <v>62</v>
      </c>
      <c r="D2" s="48">
        <v>4</v>
      </c>
      <c r="E2" s="47" t="s">
        <v>1283</v>
      </c>
      <c r="F2" s="47" t="s">
        <v>973</v>
      </c>
      <c r="G2" s="47" t="s">
        <v>754</v>
      </c>
    </row>
    <row r="3" spans="1:8">
      <c r="A3" s="46" t="s">
        <v>65</v>
      </c>
      <c r="B3" s="47" t="s">
        <v>65</v>
      </c>
      <c r="C3" s="47" t="s">
        <v>66</v>
      </c>
      <c r="D3" s="48">
        <v>4</v>
      </c>
      <c r="E3" s="47" t="s">
        <v>1284</v>
      </c>
      <c r="F3" s="47" t="s">
        <v>974</v>
      </c>
      <c r="G3" s="47" t="s">
        <v>755</v>
      </c>
    </row>
    <row r="4" spans="1:8">
      <c r="A4" s="46" t="s">
        <v>67</v>
      </c>
      <c r="B4" s="47" t="s">
        <v>67</v>
      </c>
      <c r="C4" s="47" t="s">
        <v>68</v>
      </c>
      <c r="D4" s="48">
        <v>3</v>
      </c>
      <c r="E4" s="47" t="s">
        <v>1285</v>
      </c>
      <c r="F4" s="47" t="s">
        <v>975</v>
      </c>
      <c r="G4" s="47" t="s">
        <v>756</v>
      </c>
    </row>
    <row r="5" spans="1:8">
      <c r="A5" s="46" t="s">
        <v>349</v>
      </c>
      <c r="B5" s="47" t="s">
        <v>349</v>
      </c>
      <c r="C5" s="47" t="s">
        <v>351</v>
      </c>
      <c r="D5" s="48">
        <v>3</v>
      </c>
      <c r="E5" s="47" t="s">
        <v>1286</v>
      </c>
      <c r="F5" s="47" t="s">
        <v>976</v>
      </c>
      <c r="G5" s="47" t="s">
        <v>757</v>
      </c>
    </row>
    <row r="6" spans="1:8">
      <c r="A6" s="46" t="s">
        <v>72</v>
      </c>
      <c r="B6" s="47" t="s">
        <v>72</v>
      </c>
      <c r="C6" s="47" t="s">
        <v>73</v>
      </c>
      <c r="D6" s="48">
        <v>4</v>
      </c>
      <c r="E6" s="47" t="s">
        <v>1287</v>
      </c>
      <c r="F6" s="47" t="s">
        <v>977</v>
      </c>
      <c r="G6" s="47" t="s">
        <v>758</v>
      </c>
    </row>
    <row r="7" spans="1:8">
      <c r="A7" s="46" t="s">
        <v>74</v>
      </c>
      <c r="B7" s="47" t="s">
        <v>74</v>
      </c>
      <c r="C7" s="47" t="s">
        <v>75</v>
      </c>
      <c r="D7" s="48">
        <v>4</v>
      </c>
      <c r="E7" s="47" t="s">
        <v>1288</v>
      </c>
      <c r="F7" s="47" t="s">
        <v>978</v>
      </c>
      <c r="G7" s="47" t="s">
        <v>759</v>
      </c>
    </row>
    <row r="8" spans="1:8">
      <c r="A8" s="46" t="s">
        <v>445</v>
      </c>
      <c r="B8" s="47" t="s">
        <v>445</v>
      </c>
      <c r="C8" s="47" t="s">
        <v>446</v>
      </c>
      <c r="D8" s="48">
        <v>4</v>
      </c>
      <c r="E8" s="47" t="s">
        <v>1289</v>
      </c>
      <c r="F8" s="47" t="s">
        <v>979</v>
      </c>
      <c r="G8" s="47" t="s">
        <v>760</v>
      </c>
    </row>
    <row r="9" spans="1:8">
      <c r="A9" s="46" t="s">
        <v>447</v>
      </c>
      <c r="B9" s="47" t="s">
        <v>447</v>
      </c>
      <c r="C9" s="47" t="s">
        <v>448</v>
      </c>
      <c r="D9" s="48">
        <v>3</v>
      </c>
      <c r="E9" s="47" t="s">
        <v>1290</v>
      </c>
      <c r="F9" s="47" t="s">
        <v>980</v>
      </c>
      <c r="G9" s="47" t="s">
        <v>761</v>
      </c>
    </row>
    <row r="10" spans="1:8">
      <c r="A10" s="46" t="s">
        <v>81</v>
      </c>
      <c r="B10" s="47" t="s">
        <v>81</v>
      </c>
      <c r="C10" s="47" t="s">
        <v>82</v>
      </c>
      <c r="D10" s="48">
        <v>4</v>
      </c>
      <c r="E10" s="47" t="s">
        <v>1291</v>
      </c>
      <c r="F10" s="47" t="s">
        <v>981</v>
      </c>
      <c r="G10" s="47" t="s">
        <v>762</v>
      </c>
    </row>
    <row r="11" spans="1:8">
      <c r="A11" s="46" t="s">
        <v>83</v>
      </c>
      <c r="B11" s="47" t="s">
        <v>83</v>
      </c>
      <c r="C11" s="47" t="s">
        <v>84</v>
      </c>
      <c r="D11" s="48">
        <v>4</v>
      </c>
      <c r="E11" s="47" t="s">
        <v>1292</v>
      </c>
      <c r="F11" s="47" t="s">
        <v>982</v>
      </c>
      <c r="G11" s="47" t="s">
        <v>763</v>
      </c>
    </row>
    <row r="12" spans="1:8">
      <c r="A12" s="46" t="s">
        <v>449</v>
      </c>
      <c r="B12" s="47" t="s">
        <v>449</v>
      </c>
      <c r="C12" s="47" t="s">
        <v>450</v>
      </c>
      <c r="D12" s="48">
        <v>3</v>
      </c>
      <c r="E12" s="47" t="s">
        <v>1293</v>
      </c>
      <c r="F12" s="47" t="s">
        <v>983</v>
      </c>
      <c r="G12" s="47" t="s">
        <v>764</v>
      </c>
    </row>
    <row r="13" spans="1:8">
      <c r="A13" s="46" t="s">
        <v>87</v>
      </c>
      <c r="B13" s="47" t="s">
        <v>87</v>
      </c>
      <c r="C13" s="47" t="s">
        <v>88</v>
      </c>
      <c r="D13" s="48">
        <v>3</v>
      </c>
      <c r="E13" s="47" t="s">
        <v>74</v>
      </c>
      <c r="F13" s="47" t="s">
        <v>984</v>
      </c>
      <c r="G13" s="47" t="s">
        <v>765</v>
      </c>
    </row>
    <row r="14" spans="1:8">
      <c r="A14" s="46" t="s">
        <v>89</v>
      </c>
      <c r="B14" s="47" t="s">
        <v>89</v>
      </c>
      <c r="C14" s="47" t="s">
        <v>90</v>
      </c>
      <c r="D14" s="48">
        <v>3</v>
      </c>
      <c r="E14" s="47" t="s">
        <v>1294</v>
      </c>
      <c r="F14" s="47" t="s">
        <v>985</v>
      </c>
      <c r="G14" s="47" t="s">
        <v>766</v>
      </c>
    </row>
    <row r="15" spans="1:8">
      <c r="A15" s="46" t="s">
        <v>451</v>
      </c>
      <c r="B15" s="47" t="s">
        <v>451</v>
      </c>
      <c r="C15" s="47" t="s">
        <v>452</v>
      </c>
      <c r="D15" s="48">
        <v>3</v>
      </c>
      <c r="E15" s="47" t="s">
        <v>445</v>
      </c>
      <c r="F15" s="47" t="s">
        <v>986</v>
      </c>
      <c r="G15" s="47" t="s">
        <v>767</v>
      </c>
    </row>
    <row r="16" spans="1:8">
      <c r="A16" s="46" t="s">
        <v>93</v>
      </c>
      <c r="B16" s="47" t="s">
        <v>93</v>
      </c>
      <c r="C16" s="47" t="s">
        <v>94</v>
      </c>
      <c r="D16" s="48">
        <v>3</v>
      </c>
      <c r="E16" s="47" t="s">
        <v>72</v>
      </c>
      <c r="F16" s="47" t="s">
        <v>987</v>
      </c>
      <c r="G16" s="47" t="s">
        <v>768</v>
      </c>
    </row>
    <row r="17" spans="1:7">
      <c r="A17" s="46" t="s">
        <v>453</v>
      </c>
      <c r="B17" s="47" t="s">
        <v>453</v>
      </c>
      <c r="C17" s="47" t="s">
        <v>454</v>
      </c>
      <c r="D17" s="48">
        <v>3</v>
      </c>
      <c r="E17" s="47" t="s">
        <v>1295</v>
      </c>
      <c r="F17" s="47" t="s">
        <v>988</v>
      </c>
      <c r="G17" s="47" t="s">
        <v>769</v>
      </c>
    </row>
    <row r="18" spans="1:7">
      <c r="A18" s="46" t="s">
        <v>98</v>
      </c>
      <c r="B18" s="47" t="s">
        <v>98</v>
      </c>
      <c r="C18" s="47" t="s">
        <v>99</v>
      </c>
      <c r="D18" s="48">
        <v>3</v>
      </c>
      <c r="E18" s="47"/>
      <c r="F18" s="47" t="s">
        <v>989</v>
      </c>
      <c r="G18" s="47" t="s">
        <v>770</v>
      </c>
    </row>
    <row r="19" spans="1:7">
      <c r="A19" s="46" t="s">
        <v>100</v>
      </c>
      <c r="B19" s="47" t="s">
        <v>100</v>
      </c>
      <c r="C19" s="47" t="s">
        <v>101</v>
      </c>
      <c r="D19" s="48">
        <v>3</v>
      </c>
      <c r="E19" s="47"/>
      <c r="F19" s="47" t="s">
        <v>990</v>
      </c>
      <c r="G19" s="47" t="s">
        <v>771</v>
      </c>
    </row>
    <row r="20" spans="1:7">
      <c r="A20" s="46" t="s">
        <v>102</v>
      </c>
      <c r="B20" s="47" t="s">
        <v>102</v>
      </c>
      <c r="C20" s="47" t="s">
        <v>103</v>
      </c>
      <c r="D20" s="48">
        <v>3</v>
      </c>
      <c r="E20" s="47"/>
      <c r="F20" s="47" t="s">
        <v>991</v>
      </c>
      <c r="G20" s="47" t="s">
        <v>772</v>
      </c>
    </row>
    <row r="21" spans="1:7">
      <c r="A21" s="46" t="s">
        <v>104</v>
      </c>
      <c r="B21" s="47" t="s">
        <v>104</v>
      </c>
      <c r="C21" s="47" t="s">
        <v>105</v>
      </c>
      <c r="D21" s="48">
        <v>3</v>
      </c>
      <c r="E21" s="47" t="s">
        <v>1296</v>
      </c>
      <c r="F21" s="47" t="s">
        <v>992</v>
      </c>
      <c r="G21" s="47" t="s">
        <v>773</v>
      </c>
    </row>
    <row r="22" spans="1:7">
      <c r="A22" s="46" t="s">
        <v>107</v>
      </c>
      <c r="B22" s="47" t="s">
        <v>107</v>
      </c>
      <c r="C22" s="47" t="s">
        <v>108</v>
      </c>
      <c r="D22" s="48">
        <v>3</v>
      </c>
      <c r="E22" s="47" t="s">
        <v>1297</v>
      </c>
      <c r="F22" s="47" t="s">
        <v>993</v>
      </c>
      <c r="G22" s="47" t="s">
        <v>774</v>
      </c>
    </row>
    <row r="23" spans="1:7">
      <c r="A23" s="46" t="s">
        <v>109</v>
      </c>
      <c r="B23" s="47" t="s">
        <v>109</v>
      </c>
      <c r="C23" s="47" t="s">
        <v>110</v>
      </c>
      <c r="D23" s="48"/>
      <c r="E23" s="47"/>
      <c r="F23" s="47"/>
      <c r="G23" s="47" t="s">
        <v>775</v>
      </c>
    </row>
    <row r="24" spans="1:7">
      <c r="A24" s="46" t="s">
        <v>1179</v>
      </c>
      <c r="B24" s="47" t="s">
        <v>109</v>
      </c>
      <c r="C24" s="47" t="s">
        <v>111</v>
      </c>
      <c r="D24" s="48"/>
      <c r="E24" s="47"/>
      <c r="F24" s="47"/>
      <c r="G24" s="47" t="s">
        <v>775</v>
      </c>
    </row>
    <row r="25" spans="1:7">
      <c r="A25" s="46" t="s">
        <v>1180</v>
      </c>
      <c r="B25" s="47" t="s">
        <v>109</v>
      </c>
      <c r="C25" s="47" t="s">
        <v>112</v>
      </c>
      <c r="D25" s="48"/>
      <c r="E25" s="47"/>
      <c r="F25" s="47"/>
      <c r="G25" s="47" t="s">
        <v>775</v>
      </c>
    </row>
    <row r="26" spans="1:7">
      <c r="A26" s="46" t="s">
        <v>1181</v>
      </c>
      <c r="B26" s="47" t="s">
        <v>109</v>
      </c>
      <c r="C26" s="47" t="s">
        <v>113</v>
      </c>
      <c r="D26" s="48"/>
      <c r="E26" s="47"/>
      <c r="F26" s="47"/>
      <c r="G26" s="47" t="s">
        <v>775</v>
      </c>
    </row>
    <row r="27" spans="1:7">
      <c r="A27" s="46" t="s">
        <v>1182</v>
      </c>
      <c r="B27" s="47" t="s">
        <v>109</v>
      </c>
      <c r="C27" s="47" t="s">
        <v>114</v>
      </c>
      <c r="D27" s="48"/>
      <c r="E27" s="47"/>
      <c r="F27" s="47"/>
      <c r="G27" s="47" t="s">
        <v>775</v>
      </c>
    </row>
    <row r="28" spans="1:7">
      <c r="A28" s="46" t="s">
        <v>1183</v>
      </c>
      <c r="B28" s="47" t="s">
        <v>109</v>
      </c>
      <c r="C28" s="47" t="s">
        <v>115</v>
      </c>
      <c r="D28" s="48"/>
      <c r="E28" s="47"/>
      <c r="F28" s="47"/>
      <c r="G28" s="47" t="s">
        <v>775</v>
      </c>
    </row>
    <row r="29" spans="1:7">
      <c r="A29" s="46" t="s">
        <v>1184</v>
      </c>
      <c r="B29" s="47" t="s">
        <v>109</v>
      </c>
      <c r="C29" s="47" t="s">
        <v>120</v>
      </c>
      <c r="D29" s="48"/>
      <c r="E29" s="47"/>
      <c r="F29" s="47"/>
      <c r="G29" s="47" t="s">
        <v>775</v>
      </c>
    </row>
    <row r="30" spans="1:7">
      <c r="A30" s="46" t="s">
        <v>1185</v>
      </c>
      <c r="B30" s="47" t="s">
        <v>109</v>
      </c>
      <c r="C30" s="47" t="s">
        <v>455</v>
      </c>
      <c r="D30" s="48"/>
      <c r="E30" s="47"/>
      <c r="F30" s="47"/>
      <c r="G30" s="47" t="s">
        <v>775</v>
      </c>
    </row>
    <row r="31" spans="1:7">
      <c r="A31" s="46" t="s">
        <v>121</v>
      </c>
      <c r="B31" s="47" t="s">
        <v>121</v>
      </c>
      <c r="C31" s="47" t="s">
        <v>122</v>
      </c>
      <c r="D31" s="48"/>
      <c r="E31" s="47"/>
      <c r="F31" s="47"/>
      <c r="G31" s="47" t="s">
        <v>776</v>
      </c>
    </row>
    <row r="32" spans="1:7">
      <c r="A32" s="46" t="s">
        <v>123</v>
      </c>
      <c r="B32" s="47" t="s">
        <v>123</v>
      </c>
      <c r="C32" s="47" t="s">
        <v>124</v>
      </c>
      <c r="D32" s="48"/>
      <c r="E32" s="47"/>
      <c r="F32" s="47"/>
      <c r="G32" s="47" t="s">
        <v>777</v>
      </c>
    </row>
    <row r="33" spans="1:7">
      <c r="A33" s="46" t="s">
        <v>125</v>
      </c>
      <c r="B33" s="47" t="s">
        <v>125</v>
      </c>
      <c r="C33" s="47" t="s">
        <v>126</v>
      </c>
      <c r="D33" s="48"/>
      <c r="E33" s="47"/>
      <c r="F33" s="47"/>
      <c r="G33" s="47" t="s">
        <v>778</v>
      </c>
    </row>
    <row r="34" spans="1:7">
      <c r="A34" s="46" t="s">
        <v>127</v>
      </c>
      <c r="B34" s="47" t="s">
        <v>127</v>
      </c>
      <c r="C34" s="47" t="s">
        <v>128</v>
      </c>
      <c r="D34" s="48"/>
      <c r="E34" s="47"/>
      <c r="F34" s="47"/>
      <c r="G34" s="47" t="s">
        <v>779</v>
      </c>
    </row>
    <row r="35" spans="1:7">
      <c r="A35" s="46" t="s">
        <v>129</v>
      </c>
      <c r="B35" s="47" t="s">
        <v>129</v>
      </c>
      <c r="C35" s="47" t="s">
        <v>130</v>
      </c>
      <c r="D35" s="48"/>
      <c r="E35" s="47"/>
      <c r="F35" s="47"/>
      <c r="G35" s="47" t="s">
        <v>780</v>
      </c>
    </row>
    <row r="36" spans="1:7">
      <c r="A36" s="46" t="s">
        <v>131</v>
      </c>
      <c r="B36" s="47" t="s">
        <v>131</v>
      </c>
      <c r="C36" s="47" t="s">
        <v>132</v>
      </c>
      <c r="D36" s="48"/>
      <c r="E36" s="47"/>
      <c r="F36" s="47"/>
      <c r="G36" s="47" t="s">
        <v>781</v>
      </c>
    </row>
    <row r="37" spans="1:7">
      <c r="A37" s="46" t="s">
        <v>456</v>
      </c>
      <c r="B37" s="47" t="s">
        <v>456</v>
      </c>
      <c r="C37" s="47" t="s">
        <v>457</v>
      </c>
      <c r="D37" s="48">
        <v>4</v>
      </c>
      <c r="E37" s="47" t="s">
        <v>1298</v>
      </c>
      <c r="F37" s="47" t="s">
        <v>994</v>
      </c>
      <c r="G37" s="47" t="s">
        <v>782</v>
      </c>
    </row>
    <row r="38" spans="1:7">
      <c r="A38" s="46" t="s">
        <v>476</v>
      </c>
      <c r="B38" s="47" t="s">
        <v>476</v>
      </c>
      <c r="C38" s="47" t="s">
        <v>477</v>
      </c>
      <c r="D38" s="48">
        <v>4</v>
      </c>
      <c r="E38" s="47" t="s">
        <v>1299</v>
      </c>
      <c r="F38" s="47" t="s">
        <v>995</v>
      </c>
      <c r="G38" s="47" t="s">
        <v>783</v>
      </c>
    </row>
    <row r="39" spans="1:7">
      <c r="A39" s="46" t="s">
        <v>138</v>
      </c>
      <c r="B39" s="47" t="s">
        <v>138</v>
      </c>
      <c r="C39" s="47" t="s">
        <v>140</v>
      </c>
      <c r="D39" s="48">
        <v>3</v>
      </c>
      <c r="E39" s="47" t="s">
        <v>1300</v>
      </c>
      <c r="F39" s="47" t="s">
        <v>996</v>
      </c>
      <c r="G39" s="47" t="s">
        <v>784</v>
      </c>
    </row>
    <row r="40" spans="1:7">
      <c r="A40" s="46" t="s">
        <v>141</v>
      </c>
      <c r="B40" s="47" t="s">
        <v>141</v>
      </c>
      <c r="C40" s="47" t="s">
        <v>142</v>
      </c>
      <c r="D40" s="48">
        <v>4</v>
      </c>
      <c r="E40" s="47" t="s">
        <v>1301</v>
      </c>
      <c r="F40" s="47" t="s">
        <v>997</v>
      </c>
      <c r="G40" s="47" t="s">
        <v>785</v>
      </c>
    </row>
    <row r="41" spans="1:7">
      <c r="A41" s="46" t="s">
        <v>143</v>
      </c>
      <c r="B41" s="47" t="s">
        <v>143</v>
      </c>
      <c r="C41" s="47" t="s">
        <v>144</v>
      </c>
      <c r="D41" s="48">
        <v>3</v>
      </c>
      <c r="E41" s="47" t="s">
        <v>1302</v>
      </c>
      <c r="F41" s="47" t="s">
        <v>998</v>
      </c>
      <c r="G41" s="47" t="s">
        <v>786</v>
      </c>
    </row>
    <row r="42" spans="1:7">
      <c r="A42" s="46" t="s">
        <v>145</v>
      </c>
      <c r="B42" s="47" t="s">
        <v>145</v>
      </c>
      <c r="C42" s="47" t="s">
        <v>146</v>
      </c>
      <c r="D42" s="48">
        <v>3</v>
      </c>
      <c r="E42" s="47" t="s">
        <v>1303</v>
      </c>
      <c r="F42" s="47" t="s">
        <v>999</v>
      </c>
      <c r="G42" s="47" t="s">
        <v>787</v>
      </c>
    </row>
    <row r="43" spans="1:7">
      <c r="A43" s="46" t="s">
        <v>147</v>
      </c>
      <c r="B43" s="47" t="s">
        <v>147</v>
      </c>
      <c r="C43" s="47" t="s">
        <v>148</v>
      </c>
      <c r="D43" s="48">
        <v>4</v>
      </c>
      <c r="E43" s="47" t="s">
        <v>1304</v>
      </c>
      <c r="F43" s="47" t="s">
        <v>1000</v>
      </c>
      <c r="G43" s="47" t="s">
        <v>788</v>
      </c>
    </row>
    <row r="44" spans="1:7">
      <c r="A44" s="46" t="s">
        <v>482</v>
      </c>
      <c r="B44" s="47" t="s">
        <v>482</v>
      </c>
      <c r="C44" s="47" t="s">
        <v>483</v>
      </c>
      <c r="D44" s="48">
        <v>3</v>
      </c>
      <c r="E44" s="47" t="s">
        <v>1305</v>
      </c>
      <c r="F44" s="47" t="s">
        <v>1001</v>
      </c>
      <c r="G44" s="47" t="s">
        <v>789</v>
      </c>
    </row>
    <row r="45" spans="1:7">
      <c r="A45" s="46" t="s">
        <v>151</v>
      </c>
      <c r="B45" s="47" t="s">
        <v>151</v>
      </c>
      <c r="C45" s="47" t="s">
        <v>152</v>
      </c>
      <c r="D45" s="48">
        <v>3</v>
      </c>
      <c r="E45" s="47" t="s">
        <v>1306</v>
      </c>
      <c r="F45" s="47" t="s">
        <v>1002</v>
      </c>
      <c r="G45" s="47" t="s">
        <v>790</v>
      </c>
    </row>
    <row r="46" spans="1:7">
      <c r="A46" s="46" t="s">
        <v>153</v>
      </c>
      <c r="B46" s="47" t="s">
        <v>153</v>
      </c>
      <c r="C46" s="47" t="s">
        <v>154</v>
      </c>
      <c r="D46" s="48">
        <v>1</v>
      </c>
      <c r="E46" s="47" t="s">
        <v>1307</v>
      </c>
      <c r="F46" s="47" t="s">
        <v>1003</v>
      </c>
      <c r="G46" s="47" t="s">
        <v>791</v>
      </c>
    </row>
    <row r="47" spans="1:7">
      <c r="A47" s="46" t="s">
        <v>155</v>
      </c>
      <c r="B47" s="47" t="s">
        <v>155</v>
      </c>
      <c r="C47" s="47" t="s">
        <v>156</v>
      </c>
      <c r="D47" s="48">
        <v>3</v>
      </c>
      <c r="E47" s="47" t="s">
        <v>151</v>
      </c>
      <c r="F47" s="47" t="s">
        <v>1004</v>
      </c>
      <c r="G47" s="47" t="s">
        <v>792</v>
      </c>
    </row>
    <row r="48" spans="1:7">
      <c r="A48" s="46" t="s">
        <v>157</v>
      </c>
      <c r="B48" s="47" t="s">
        <v>157</v>
      </c>
      <c r="C48" s="47" t="s">
        <v>158</v>
      </c>
      <c r="D48" s="48">
        <v>1</v>
      </c>
      <c r="E48" s="47" t="s">
        <v>1308</v>
      </c>
      <c r="F48" s="47" t="s">
        <v>1005</v>
      </c>
      <c r="G48" s="47" t="s">
        <v>793</v>
      </c>
    </row>
    <row r="49" spans="1:7">
      <c r="A49" s="46" t="s">
        <v>159</v>
      </c>
      <c r="B49" s="47" t="s">
        <v>159</v>
      </c>
      <c r="C49" s="47" t="s">
        <v>160</v>
      </c>
      <c r="D49" s="48">
        <v>4</v>
      </c>
      <c r="E49" s="47" t="s">
        <v>1309</v>
      </c>
      <c r="F49" s="47" t="s">
        <v>1006</v>
      </c>
      <c r="G49" s="47" t="s">
        <v>794</v>
      </c>
    </row>
    <row r="50" spans="1:7">
      <c r="A50" s="46" t="s">
        <v>161</v>
      </c>
      <c r="B50" s="47" t="s">
        <v>161</v>
      </c>
      <c r="C50" s="47" t="s">
        <v>162</v>
      </c>
      <c r="D50" s="48">
        <v>3</v>
      </c>
      <c r="E50" s="47" t="s">
        <v>1310</v>
      </c>
      <c r="F50" s="47" t="s">
        <v>1007</v>
      </c>
      <c r="G50" s="47" t="s">
        <v>795</v>
      </c>
    </row>
    <row r="51" spans="1:7">
      <c r="A51" s="46" t="s">
        <v>163</v>
      </c>
      <c r="B51" s="47" t="s">
        <v>163</v>
      </c>
      <c r="C51" s="47" t="s">
        <v>164</v>
      </c>
      <c r="D51" s="48">
        <v>3</v>
      </c>
      <c r="E51" s="47" t="s">
        <v>1311</v>
      </c>
      <c r="F51" s="47" t="s">
        <v>1008</v>
      </c>
      <c r="G51" s="47" t="s">
        <v>796</v>
      </c>
    </row>
    <row r="52" spans="1:7">
      <c r="A52" s="46" t="s">
        <v>165</v>
      </c>
      <c r="B52" s="47" t="s">
        <v>165</v>
      </c>
      <c r="C52" s="47" t="s">
        <v>166</v>
      </c>
      <c r="D52" s="48"/>
      <c r="E52" s="47" t="s">
        <v>1312</v>
      </c>
      <c r="F52" s="47" t="s">
        <v>1009</v>
      </c>
      <c r="G52" s="47" t="s">
        <v>797</v>
      </c>
    </row>
    <row r="53" spans="1:7">
      <c r="A53" s="46" t="s">
        <v>167</v>
      </c>
      <c r="B53" s="47" t="s">
        <v>167</v>
      </c>
      <c r="C53" s="47" t="s">
        <v>168</v>
      </c>
      <c r="D53" s="48">
        <v>3</v>
      </c>
      <c r="E53" s="47" t="s">
        <v>155</v>
      </c>
      <c r="F53" s="47" t="s">
        <v>1010</v>
      </c>
      <c r="G53" s="47" t="s">
        <v>798</v>
      </c>
    </row>
    <row r="54" spans="1:7">
      <c r="A54" s="46" t="s">
        <v>169</v>
      </c>
      <c r="B54" s="47" t="s">
        <v>169</v>
      </c>
      <c r="C54" s="47" t="s">
        <v>170</v>
      </c>
      <c r="D54" s="48">
        <v>3</v>
      </c>
      <c r="E54" s="47" t="s">
        <v>1313</v>
      </c>
      <c r="F54" s="47" t="s">
        <v>1011</v>
      </c>
      <c r="G54" s="47" t="s">
        <v>799</v>
      </c>
    </row>
    <row r="55" spans="1:7">
      <c r="A55" s="46" t="s">
        <v>171</v>
      </c>
      <c r="B55" s="47" t="s">
        <v>171</v>
      </c>
      <c r="C55" s="47" t="s">
        <v>172</v>
      </c>
      <c r="D55" s="48"/>
      <c r="E55" s="47"/>
      <c r="F55" s="47" t="s">
        <v>1012</v>
      </c>
      <c r="G55" s="47" t="s">
        <v>800</v>
      </c>
    </row>
    <row r="56" spans="1:7">
      <c r="A56" s="46" t="s">
        <v>173</v>
      </c>
      <c r="B56" s="47" t="s">
        <v>173</v>
      </c>
      <c r="C56" s="47" t="s">
        <v>174</v>
      </c>
      <c r="D56" s="48">
        <v>3</v>
      </c>
      <c r="E56" s="47"/>
      <c r="F56" s="47" t="s">
        <v>1013</v>
      </c>
      <c r="G56" s="47" t="s">
        <v>801</v>
      </c>
    </row>
    <row r="57" spans="1:7">
      <c r="A57" s="46" t="s">
        <v>175</v>
      </c>
      <c r="B57" s="47" t="s">
        <v>175</v>
      </c>
      <c r="C57" s="47" t="s">
        <v>176</v>
      </c>
      <c r="D57" s="48">
        <v>3</v>
      </c>
      <c r="E57" s="47"/>
      <c r="F57" s="47" t="s">
        <v>1014</v>
      </c>
      <c r="G57" s="47" t="s">
        <v>802</v>
      </c>
    </row>
    <row r="58" spans="1:7">
      <c r="A58" s="46" t="s">
        <v>177</v>
      </c>
      <c r="B58" s="47" t="s">
        <v>177</v>
      </c>
      <c r="C58" s="47" t="s">
        <v>178</v>
      </c>
      <c r="D58" s="48">
        <v>3</v>
      </c>
      <c r="E58" s="47"/>
      <c r="F58" s="47" t="s">
        <v>1015</v>
      </c>
      <c r="G58" s="47" t="s">
        <v>803</v>
      </c>
    </row>
    <row r="59" spans="1:7">
      <c r="A59" s="46" t="s">
        <v>179</v>
      </c>
      <c r="B59" s="47" t="s">
        <v>179</v>
      </c>
      <c r="C59" s="47" t="s">
        <v>180</v>
      </c>
      <c r="D59" s="48">
        <v>3</v>
      </c>
      <c r="E59" s="47"/>
      <c r="F59" s="47" t="s">
        <v>1016</v>
      </c>
      <c r="G59" s="47" t="s">
        <v>804</v>
      </c>
    </row>
    <row r="60" spans="1:7">
      <c r="A60" s="46" t="s">
        <v>486</v>
      </c>
      <c r="B60" s="47" t="s">
        <v>486</v>
      </c>
      <c r="C60" s="47" t="s">
        <v>487</v>
      </c>
      <c r="D60" s="48">
        <v>3</v>
      </c>
      <c r="E60" s="47"/>
      <c r="F60" s="47" t="s">
        <v>1017</v>
      </c>
      <c r="G60" s="47" t="s">
        <v>805</v>
      </c>
    </row>
    <row r="61" spans="1:7">
      <c r="A61" s="46" t="s">
        <v>184</v>
      </c>
      <c r="B61" s="47" t="s">
        <v>184</v>
      </c>
      <c r="C61" s="47" t="s">
        <v>185</v>
      </c>
      <c r="D61" s="48">
        <v>3</v>
      </c>
      <c r="E61" s="47"/>
      <c r="F61" s="47" t="s">
        <v>1018</v>
      </c>
      <c r="G61" s="47" t="s">
        <v>806</v>
      </c>
    </row>
    <row r="62" spans="1:7">
      <c r="A62" s="46" t="s">
        <v>186</v>
      </c>
      <c r="B62" s="47" t="s">
        <v>186</v>
      </c>
      <c r="C62" s="47" t="s">
        <v>187</v>
      </c>
      <c r="D62" s="48">
        <v>3</v>
      </c>
      <c r="E62" s="47"/>
      <c r="F62" s="47" t="s">
        <v>1019</v>
      </c>
      <c r="G62" s="47" t="s">
        <v>807</v>
      </c>
    </row>
    <row r="63" spans="1:7">
      <c r="A63" s="46" t="s">
        <v>188</v>
      </c>
      <c r="B63" s="47" t="s">
        <v>188</v>
      </c>
      <c r="C63" s="47" t="s">
        <v>189</v>
      </c>
      <c r="D63" s="48">
        <v>3</v>
      </c>
      <c r="E63" s="47"/>
      <c r="F63" s="47" t="s">
        <v>1020</v>
      </c>
      <c r="G63" s="47" t="s">
        <v>808</v>
      </c>
    </row>
    <row r="64" spans="1:7">
      <c r="A64" s="46" t="s">
        <v>190</v>
      </c>
      <c r="B64" s="47" t="s">
        <v>190</v>
      </c>
      <c r="C64" s="47" t="s">
        <v>191</v>
      </c>
      <c r="D64" s="48">
        <v>3</v>
      </c>
      <c r="E64" s="47"/>
      <c r="F64" s="47" t="s">
        <v>1021</v>
      </c>
      <c r="G64" s="47" t="s">
        <v>809</v>
      </c>
    </row>
    <row r="65" spans="1:8">
      <c r="A65" s="46" t="s">
        <v>193</v>
      </c>
      <c r="B65" s="47" t="s">
        <v>193</v>
      </c>
      <c r="C65" s="47" t="s">
        <v>194</v>
      </c>
      <c r="D65" s="48">
        <v>3</v>
      </c>
      <c r="E65" s="47"/>
      <c r="F65" s="47" t="s">
        <v>1022</v>
      </c>
      <c r="G65" s="47" t="s">
        <v>810</v>
      </c>
    </row>
    <row r="66" spans="1:8">
      <c r="A66" s="46" t="s">
        <v>195</v>
      </c>
      <c r="B66" s="47" t="s">
        <v>195</v>
      </c>
      <c r="C66" s="47" t="s">
        <v>196</v>
      </c>
      <c r="D66" s="48">
        <v>3</v>
      </c>
      <c r="E66" s="47"/>
      <c r="F66" s="47" t="s">
        <v>1023</v>
      </c>
      <c r="G66" s="47" t="s">
        <v>811</v>
      </c>
    </row>
    <row r="67" spans="1:8">
      <c r="A67" s="46" t="s">
        <v>197</v>
      </c>
      <c r="B67" s="47" t="s">
        <v>197</v>
      </c>
      <c r="C67" s="47" t="s">
        <v>198</v>
      </c>
      <c r="D67" s="48">
        <v>3</v>
      </c>
      <c r="E67" s="47"/>
      <c r="F67" s="47" t="s">
        <v>1024</v>
      </c>
      <c r="G67" s="47" t="s">
        <v>812</v>
      </c>
    </row>
    <row r="68" spans="1:8">
      <c r="A68" s="46" t="s">
        <v>199</v>
      </c>
      <c r="B68" s="47" t="s">
        <v>199</v>
      </c>
      <c r="C68" s="47" t="s">
        <v>200</v>
      </c>
      <c r="D68" s="48">
        <v>3</v>
      </c>
      <c r="E68" s="47" t="s">
        <v>193</v>
      </c>
      <c r="F68" s="47" t="s">
        <v>1025</v>
      </c>
      <c r="G68" s="47" t="s">
        <v>813</v>
      </c>
    </row>
    <row r="69" spans="1:8">
      <c r="A69" s="46" t="s">
        <v>201</v>
      </c>
      <c r="B69" s="47" t="s">
        <v>201</v>
      </c>
      <c r="C69" s="47" t="s">
        <v>202</v>
      </c>
      <c r="D69" s="48">
        <v>3</v>
      </c>
      <c r="E69" s="47"/>
      <c r="F69" s="47" t="s">
        <v>1026</v>
      </c>
      <c r="G69" s="47" t="s">
        <v>814</v>
      </c>
    </row>
    <row r="70" spans="1:8">
      <c r="A70" s="46" t="s">
        <v>203</v>
      </c>
      <c r="B70" s="47" t="s">
        <v>203</v>
      </c>
      <c r="C70" s="47" t="s">
        <v>204</v>
      </c>
      <c r="D70" s="48">
        <v>3</v>
      </c>
      <c r="E70" s="47"/>
      <c r="F70" s="47" t="s">
        <v>1027</v>
      </c>
      <c r="G70" s="47" t="s">
        <v>815</v>
      </c>
    </row>
    <row r="71" spans="1:8">
      <c r="A71" s="46" t="s">
        <v>205</v>
      </c>
      <c r="B71" s="47" t="s">
        <v>205</v>
      </c>
      <c r="C71" s="47" t="s">
        <v>206</v>
      </c>
      <c r="D71" s="48"/>
      <c r="E71" s="47"/>
      <c r="F71" s="47"/>
      <c r="G71" s="47" t="s">
        <v>816</v>
      </c>
    </row>
    <row r="72" spans="1:8">
      <c r="A72" s="46" t="s">
        <v>1186</v>
      </c>
      <c r="B72" s="47" t="s">
        <v>205</v>
      </c>
      <c r="C72" s="47" t="s">
        <v>207</v>
      </c>
      <c r="D72" s="48"/>
      <c r="E72" s="47"/>
      <c r="F72" s="47"/>
      <c r="G72" s="47" t="s">
        <v>816</v>
      </c>
    </row>
    <row r="73" spans="1:8">
      <c r="A73" s="46" t="s">
        <v>208</v>
      </c>
      <c r="B73" s="47" t="s">
        <v>208</v>
      </c>
      <c r="C73" s="47" t="s">
        <v>210</v>
      </c>
      <c r="D73" s="48">
        <v>3</v>
      </c>
      <c r="E73" s="47" t="s">
        <v>1314</v>
      </c>
      <c r="F73" s="47" t="s">
        <v>1028</v>
      </c>
      <c r="G73" s="47" t="s">
        <v>817</v>
      </c>
      <c r="H73" s="45" t="s">
        <v>1226</v>
      </c>
    </row>
    <row r="74" spans="1:8">
      <c r="A74" s="46" t="s">
        <v>211</v>
      </c>
      <c r="B74" s="47" t="s">
        <v>211</v>
      </c>
      <c r="C74" s="47" t="s">
        <v>212</v>
      </c>
      <c r="D74" s="48">
        <v>3</v>
      </c>
      <c r="E74" s="47" t="s">
        <v>1315</v>
      </c>
      <c r="F74" s="47" t="s">
        <v>1029</v>
      </c>
      <c r="G74" s="47" t="s">
        <v>818</v>
      </c>
      <c r="H74" s="45" t="s">
        <v>1227</v>
      </c>
    </row>
    <row r="75" spans="1:8">
      <c r="A75" s="46" t="s">
        <v>242</v>
      </c>
      <c r="B75" s="47" t="s">
        <v>242</v>
      </c>
      <c r="C75" s="47" t="s">
        <v>244</v>
      </c>
      <c r="D75" s="48">
        <v>3</v>
      </c>
      <c r="E75" s="47" t="s">
        <v>1316</v>
      </c>
      <c r="F75" s="47" t="s">
        <v>1030</v>
      </c>
      <c r="G75" s="47" t="s">
        <v>819</v>
      </c>
      <c r="H75" s="45" t="s">
        <v>1228</v>
      </c>
    </row>
    <row r="76" spans="1:8">
      <c r="A76" s="46" t="s">
        <v>215</v>
      </c>
      <c r="B76" s="47" t="s">
        <v>215</v>
      </c>
      <c r="C76" s="47" t="s">
        <v>216</v>
      </c>
      <c r="D76" s="48">
        <v>1</v>
      </c>
      <c r="E76" s="47" t="s">
        <v>1317</v>
      </c>
      <c r="F76" s="47" t="s">
        <v>1031</v>
      </c>
      <c r="G76" s="47" t="s">
        <v>820</v>
      </c>
      <c r="H76" s="45" t="s">
        <v>1229</v>
      </c>
    </row>
    <row r="77" spans="1:8">
      <c r="A77" s="46" t="s">
        <v>217</v>
      </c>
      <c r="B77" s="47" t="s">
        <v>217</v>
      </c>
      <c r="C77" s="47" t="s">
        <v>218</v>
      </c>
      <c r="D77" s="48">
        <v>3</v>
      </c>
      <c r="E77" s="47" t="s">
        <v>1318</v>
      </c>
      <c r="F77" s="47" t="s">
        <v>1032</v>
      </c>
      <c r="G77" s="47" t="s">
        <v>821</v>
      </c>
      <c r="H77" s="45" t="s">
        <v>1230</v>
      </c>
    </row>
    <row r="78" spans="1:8">
      <c r="A78" s="46" t="s">
        <v>219</v>
      </c>
      <c r="B78" s="47" t="s">
        <v>219</v>
      </c>
      <c r="C78" s="47" t="s">
        <v>220</v>
      </c>
      <c r="D78" s="48">
        <v>3</v>
      </c>
      <c r="E78" s="47" t="s">
        <v>1319</v>
      </c>
      <c r="F78" s="47" t="s">
        <v>1033</v>
      </c>
      <c r="G78" s="47" t="s">
        <v>822</v>
      </c>
      <c r="H78" s="45" t="s">
        <v>1231</v>
      </c>
    </row>
    <row r="79" spans="1:8">
      <c r="A79" s="46" t="s">
        <v>117</v>
      </c>
      <c r="B79" s="47" t="s">
        <v>117</v>
      </c>
      <c r="C79" s="47" t="s">
        <v>119</v>
      </c>
      <c r="D79" s="48">
        <v>2</v>
      </c>
      <c r="E79" s="47" t="s">
        <v>1320</v>
      </c>
      <c r="F79" s="47" t="s">
        <v>1034</v>
      </c>
      <c r="G79" s="47" t="s">
        <v>823</v>
      </c>
      <c r="H79" s="45" t="s">
        <v>1232</v>
      </c>
    </row>
    <row r="80" spans="1:8">
      <c r="A80" s="46" t="s">
        <v>133</v>
      </c>
      <c r="B80" s="47" t="s">
        <v>133</v>
      </c>
      <c r="C80" s="47" t="s">
        <v>135</v>
      </c>
      <c r="D80" s="48">
        <v>4</v>
      </c>
      <c r="E80" s="47" t="s">
        <v>1321</v>
      </c>
      <c r="F80" s="47" t="s">
        <v>1035</v>
      </c>
      <c r="G80" s="47" t="s">
        <v>824</v>
      </c>
      <c r="H80" s="45" t="s">
        <v>1233</v>
      </c>
    </row>
    <row r="81" spans="1:8">
      <c r="A81" s="46" t="s">
        <v>136</v>
      </c>
      <c r="B81" s="47" t="s">
        <v>136</v>
      </c>
      <c r="C81" s="47" t="s">
        <v>137</v>
      </c>
      <c r="D81" s="48">
        <v>3</v>
      </c>
      <c r="E81" s="47" t="s">
        <v>1322</v>
      </c>
      <c r="F81" s="47" t="s">
        <v>1036</v>
      </c>
      <c r="G81" s="47" t="s">
        <v>826</v>
      </c>
      <c r="H81" s="45" t="s">
        <v>1234</v>
      </c>
    </row>
    <row r="82" spans="1:8">
      <c r="A82" s="46" t="s">
        <v>149</v>
      </c>
      <c r="B82" s="47" t="s">
        <v>149</v>
      </c>
      <c r="C82" s="47" t="s">
        <v>150</v>
      </c>
      <c r="D82" s="48">
        <v>3</v>
      </c>
      <c r="E82" s="47" t="s">
        <v>211</v>
      </c>
      <c r="F82" s="47" t="s">
        <v>1037</v>
      </c>
      <c r="G82" s="47" t="s">
        <v>827</v>
      </c>
      <c r="H82" s="45" t="s">
        <v>1235</v>
      </c>
    </row>
    <row r="83" spans="1:8">
      <c r="A83" s="46" t="s">
        <v>228</v>
      </c>
      <c r="B83" s="47" t="s">
        <v>228</v>
      </c>
      <c r="C83" s="47" t="s">
        <v>229</v>
      </c>
      <c r="D83" s="48">
        <v>3</v>
      </c>
      <c r="E83" s="47" t="s">
        <v>1319</v>
      </c>
      <c r="F83" s="47" t="s">
        <v>1033</v>
      </c>
      <c r="G83" s="47" t="s">
        <v>828</v>
      </c>
      <c r="H83" s="45" t="s">
        <v>1236</v>
      </c>
    </row>
    <row r="84" spans="1:8">
      <c r="A84" s="46" t="s">
        <v>230</v>
      </c>
      <c r="B84" s="47" t="s">
        <v>230</v>
      </c>
      <c r="C84" s="47" t="s">
        <v>231</v>
      </c>
      <c r="D84" s="48">
        <v>4</v>
      </c>
      <c r="E84" s="47" t="s">
        <v>1323</v>
      </c>
      <c r="F84" s="47" t="s">
        <v>1038</v>
      </c>
      <c r="G84" s="47" t="s">
        <v>829</v>
      </c>
      <c r="H84" s="45" t="s">
        <v>1237</v>
      </c>
    </row>
    <row r="85" spans="1:8">
      <c r="A85" s="46" t="s">
        <v>245</v>
      </c>
      <c r="B85" s="47" t="s">
        <v>245</v>
      </c>
      <c r="C85" s="47" t="s">
        <v>246</v>
      </c>
      <c r="D85" s="48">
        <v>3</v>
      </c>
      <c r="E85" s="47" t="s">
        <v>1324</v>
      </c>
      <c r="F85" s="47" t="s">
        <v>1039</v>
      </c>
      <c r="G85" s="47" t="s">
        <v>830</v>
      </c>
      <c r="H85" s="45" t="s">
        <v>1238</v>
      </c>
    </row>
    <row r="86" spans="1:8">
      <c r="A86" s="46" t="s">
        <v>233</v>
      </c>
      <c r="B86" s="47" t="s">
        <v>233</v>
      </c>
      <c r="C86" s="47" t="s">
        <v>235</v>
      </c>
      <c r="D86" s="48">
        <v>3</v>
      </c>
      <c r="E86" s="47" t="s">
        <v>1325</v>
      </c>
      <c r="F86" s="47" t="s">
        <v>1040</v>
      </c>
      <c r="G86" s="47" t="s">
        <v>831</v>
      </c>
      <c r="H86" s="45" t="s">
        <v>1239</v>
      </c>
    </row>
    <row r="87" spans="1:8">
      <c r="A87" s="46" t="s">
        <v>236</v>
      </c>
      <c r="B87" s="47" t="s">
        <v>236</v>
      </c>
      <c r="C87" s="47" t="s">
        <v>237</v>
      </c>
      <c r="D87" s="48">
        <v>3</v>
      </c>
      <c r="E87" s="47" t="s">
        <v>1326</v>
      </c>
      <c r="F87" s="47" t="s">
        <v>1036</v>
      </c>
      <c r="G87" s="47" t="s">
        <v>832</v>
      </c>
      <c r="H87" s="45" t="s">
        <v>1240</v>
      </c>
    </row>
    <row r="88" spans="1:8">
      <c r="A88" s="46" t="s">
        <v>247</v>
      </c>
      <c r="B88" s="47" t="s">
        <v>247</v>
      </c>
      <c r="C88" s="47" t="s">
        <v>248</v>
      </c>
      <c r="D88" s="48">
        <v>3</v>
      </c>
      <c r="E88" s="47" t="s">
        <v>1327</v>
      </c>
      <c r="F88" s="47" t="s">
        <v>1041</v>
      </c>
      <c r="G88" s="47" t="s">
        <v>833</v>
      </c>
      <c r="H88" s="45" t="s">
        <v>1241</v>
      </c>
    </row>
    <row r="89" spans="1:8">
      <c r="A89" s="46" t="s">
        <v>249</v>
      </c>
      <c r="B89" s="47" t="s">
        <v>249</v>
      </c>
      <c r="C89" s="47" t="s">
        <v>250</v>
      </c>
      <c r="D89" s="48">
        <v>1</v>
      </c>
      <c r="E89" s="47"/>
      <c r="F89" s="47" t="s">
        <v>1042</v>
      </c>
      <c r="G89" s="47" t="s">
        <v>834</v>
      </c>
      <c r="H89" s="45" t="s">
        <v>1242</v>
      </c>
    </row>
    <row r="90" spans="1:8">
      <c r="A90" s="46" t="s">
        <v>251</v>
      </c>
      <c r="B90" s="47" t="s">
        <v>251</v>
      </c>
      <c r="C90" s="47" t="s">
        <v>252</v>
      </c>
      <c r="D90" s="48">
        <v>1</v>
      </c>
      <c r="E90" s="47"/>
      <c r="F90" s="47" t="s">
        <v>1043</v>
      </c>
      <c r="G90" s="47" t="s">
        <v>835</v>
      </c>
      <c r="H90" s="45" t="s">
        <v>1243</v>
      </c>
    </row>
    <row r="91" spans="1:8">
      <c r="A91" s="46" t="s">
        <v>253</v>
      </c>
      <c r="B91" s="47" t="s">
        <v>253</v>
      </c>
      <c r="C91" s="47" t="s">
        <v>254</v>
      </c>
      <c r="D91" s="48">
        <v>1</v>
      </c>
      <c r="E91" s="47"/>
      <c r="F91" s="47" t="s">
        <v>1044</v>
      </c>
      <c r="G91" s="47" t="s">
        <v>836</v>
      </c>
      <c r="H91" s="45" t="s">
        <v>1244</v>
      </c>
    </row>
    <row r="92" spans="1:8">
      <c r="A92" s="46" t="s">
        <v>255</v>
      </c>
      <c r="B92" s="47" t="s">
        <v>255</v>
      </c>
      <c r="C92" s="47" t="s">
        <v>256</v>
      </c>
      <c r="D92" s="48">
        <v>1</v>
      </c>
      <c r="E92" s="47" t="s">
        <v>1328</v>
      </c>
      <c r="F92" s="47" t="s">
        <v>1045</v>
      </c>
      <c r="G92" s="47" t="s">
        <v>837</v>
      </c>
      <c r="H92" s="45" t="s">
        <v>1245</v>
      </c>
    </row>
    <row r="93" spans="1:8">
      <c r="A93" s="46" t="s">
        <v>263</v>
      </c>
      <c r="B93" s="47" t="s">
        <v>263</v>
      </c>
      <c r="C93" s="47" t="s">
        <v>264</v>
      </c>
      <c r="D93" s="48">
        <v>1</v>
      </c>
      <c r="E93" s="47" t="s">
        <v>1329</v>
      </c>
      <c r="F93" s="47" t="s">
        <v>1046</v>
      </c>
      <c r="G93" s="47" t="s">
        <v>838</v>
      </c>
      <c r="H93" s="45" t="s">
        <v>1246</v>
      </c>
    </row>
    <row r="94" spans="1:8">
      <c r="A94" s="46" t="s">
        <v>265</v>
      </c>
      <c r="B94" s="47" t="s">
        <v>265</v>
      </c>
      <c r="C94" s="47" t="s">
        <v>266</v>
      </c>
      <c r="D94" s="48">
        <v>3</v>
      </c>
      <c r="E94" s="47" t="s">
        <v>1330</v>
      </c>
      <c r="F94" s="47" t="s">
        <v>1047</v>
      </c>
      <c r="G94" s="47" t="s">
        <v>839</v>
      </c>
      <c r="H94" s="45" t="s">
        <v>1247</v>
      </c>
    </row>
    <row r="95" spans="1:8">
      <c r="A95" s="46" t="s">
        <v>181</v>
      </c>
      <c r="B95" s="47" t="s">
        <v>181</v>
      </c>
      <c r="C95" s="47" t="s">
        <v>183</v>
      </c>
      <c r="D95" s="48">
        <v>3</v>
      </c>
      <c r="E95" s="47" t="s">
        <v>1331</v>
      </c>
      <c r="F95" s="47" t="s">
        <v>1048</v>
      </c>
      <c r="G95" s="47" t="s">
        <v>840</v>
      </c>
      <c r="H95" s="45" t="s">
        <v>1248</v>
      </c>
    </row>
    <row r="96" spans="1:8">
      <c r="A96" s="46" t="s">
        <v>213</v>
      </c>
      <c r="B96" s="47" t="s">
        <v>213</v>
      </c>
      <c r="C96" s="47" t="s">
        <v>214</v>
      </c>
      <c r="D96" s="48">
        <v>3</v>
      </c>
      <c r="E96" s="47" t="s">
        <v>1332</v>
      </c>
      <c r="F96" s="47" t="s">
        <v>1049</v>
      </c>
      <c r="G96" s="47" t="s">
        <v>841</v>
      </c>
      <c r="H96" s="45" t="s">
        <v>1249</v>
      </c>
    </row>
    <row r="97" spans="1:8">
      <c r="A97" s="46" t="s">
        <v>257</v>
      </c>
      <c r="B97" s="47" t="s">
        <v>257</v>
      </c>
      <c r="C97" s="47" t="s">
        <v>258</v>
      </c>
      <c r="D97" s="48">
        <v>3</v>
      </c>
      <c r="E97" s="47" t="s">
        <v>1333</v>
      </c>
      <c r="F97" s="47" t="s">
        <v>1050</v>
      </c>
      <c r="G97" s="47" t="s">
        <v>842</v>
      </c>
      <c r="H97" s="45" t="s">
        <v>1250</v>
      </c>
    </row>
    <row r="98" spans="1:8">
      <c r="A98" s="46" t="s">
        <v>259</v>
      </c>
      <c r="B98" s="47" t="s">
        <v>259</v>
      </c>
      <c r="C98" s="47" t="s">
        <v>260</v>
      </c>
      <c r="D98" s="48">
        <v>3</v>
      </c>
      <c r="E98" s="47"/>
      <c r="F98" s="47" t="s">
        <v>1051</v>
      </c>
      <c r="G98" s="47" t="s">
        <v>843</v>
      </c>
      <c r="H98" s="45" t="s">
        <v>1251</v>
      </c>
    </row>
    <row r="99" spans="1:8">
      <c r="A99" s="46" t="s">
        <v>261</v>
      </c>
      <c r="B99" s="47" t="s">
        <v>261</v>
      </c>
      <c r="C99" s="47" t="s">
        <v>262</v>
      </c>
      <c r="D99" s="48">
        <v>3</v>
      </c>
      <c r="E99" s="47" t="s">
        <v>242</v>
      </c>
      <c r="F99" s="47" t="s">
        <v>1052</v>
      </c>
      <c r="G99" s="47" t="s">
        <v>844</v>
      </c>
      <c r="H99" s="45" t="s">
        <v>1252</v>
      </c>
    </row>
    <row r="100" spans="1:8">
      <c r="A100" s="46" t="s">
        <v>221</v>
      </c>
      <c r="B100" s="47" t="s">
        <v>221</v>
      </c>
      <c r="C100" s="47" t="s">
        <v>222</v>
      </c>
      <c r="D100" s="48">
        <v>3</v>
      </c>
      <c r="E100" s="47" t="s">
        <v>1334</v>
      </c>
      <c r="F100" s="47" t="s">
        <v>1053</v>
      </c>
      <c r="G100" s="47" t="s">
        <v>845</v>
      </c>
      <c r="H100" s="45" t="s">
        <v>1253</v>
      </c>
    </row>
    <row r="101" spans="1:8">
      <c r="A101" s="46" t="s">
        <v>223</v>
      </c>
      <c r="B101" s="47" t="s">
        <v>223</v>
      </c>
      <c r="C101" s="47" t="s">
        <v>224</v>
      </c>
      <c r="D101" s="48">
        <v>3</v>
      </c>
      <c r="E101" s="47" t="s">
        <v>230</v>
      </c>
      <c r="F101" s="47" t="s">
        <v>1054</v>
      </c>
      <c r="G101" s="47" t="s">
        <v>846</v>
      </c>
      <c r="H101" s="45" t="s">
        <v>1254</v>
      </c>
    </row>
    <row r="102" spans="1:8">
      <c r="A102" s="46" t="s">
        <v>70</v>
      </c>
      <c r="B102" s="47" t="s">
        <v>70</v>
      </c>
      <c r="C102" s="47" t="s">
        <v>565</v>
      </c>
      <c r="D102" s="48">
        <v>3</v>
      </c>
      <c r="E102" s="47" t="s">
        <v>1170</v>
      </c>
      <c r="F102" s="47" t="s">
        <v>1171</v>
      </c>
      <c r="G102" s="47" t="s">
        <v>847</v>
      </c>
      <c r="H102" s="45" t="s">
        <v>1255</v>
      </c>
    </row>
    <row r="103" spans="1:8">
      <c r="A103" s="46" t="s">
        <v>1187</v>
      </c>
      <c r="B103" s="47" t="s">
        <v>70</v>
      </c>
      <c r="C103" s="47" t="s">
        <v>226</v>
      </c>
      <c r="D103" s="48"/>
      <c r="E103" s="47"/>
      <c r="F103" s="47"/>
      <c r="G103" s="47" t="s">
        <v>847</v>
      </c>
    </row>
    <row r="104" spans="1:8">
      <c r="A104" s="46" t="s">
        <v>1188</v>
      </c>
      <c r="B104" s="47" t="s">
        <v>70</v>
      </c>
      <c r="C104" s="47" t="s">
        <v>227</v>
      </c>
      <c r="D104" s="48">
        <v>3</v>
      </c>
      <c r="E104" s="47" t="s">
        <v>1220</v>
      </c>
      <c r="F104" s="47" t="s">
        <v>1219</v>
      </c>
      <c r="G104" s="47" t="s">
        <v>847</v>
      </c>
      <c r="H104" s="45" t="s">
        <v>1256</v>
      </c>
    </row>
    <row r="105" spans="1:8">
      <c r="A105" s="46" t="s">
        <v>1189</v>
      </c>
      <c r="B105" s="47" t="s">
        <v>70</v>
      </c>
      <c r="C105" s="47" t="s">
        <v>232</v>
      </c>
      <c r="D105" s="48"/>
      <c r="E105" s="47"/>
      <c r="F105" s="47"/>
      <c r="G105" s="47" t="s">
        <v>847</v>
      </c>
    </row>
    <row r="106" spans="1:8">
      <c r="A106" s="46" t="s">
        <v>1190</v>
      </c>
      <c r="B106" s="47" t="s">
        <v>70</v>
      </c>
      <c r="C106" s="47" t="s">
        <v>267</v>
      </c>
      <c r="D106" s="48"/>
      <c r="E106" s="47"/>
      <c r="F106" s="47"/>
      <c r="G106" s="47" t="s">
        <v>847</v>
      </c>
    </row>
    <row r="107" spans="1:8">
      <c r="A107" s="46" t="s">
        <v>1191</v>
      </c>
      <c r="B107" s="47" t="s">
        <v>70</v>
      </c>
      <c r="C107" s="47" t="s">
        <v>269</v>
      </c>
      <c r="D107" s="48"/>
      <c r="E107" s="47"/>
      <c r="F107" s="47"/>
      <c r="G107" s="47" t="s">
        <v>847</v>
      </c>
    </row>
    <row r="108" spans="1:8">
      <c r="A108" s="46" t="s">
        <v>1192</v>
      </c>
      <c r="B108" s="47" t="s">
        <v>70</v>
      </c>
      <c r="C108" s="47" t="s">
        <v>270</v>
      </c>
      <c r="D108" s="48"/>
      <c r="E108" s="47"/>
      <c r="F108" s="47"/>
      <c r="G108" s="47" t="s">
        <v>847</v>
      </c>
    </row>
    <row r="109" spans="1:8">
      <c r="A109" s="46" t="s">
        <v>1193</v>
      </c>
      <c r="B109" s="47" t="s">
        <v>70</v>
      </c>
      <c r="C109" s="47" t="s">
        <v>271</v>
      </c>
      <c r="D109" s="48"/>
      <c r="E109" s="47"/>
      <c r="F109" s="47"/>
      <c r="G109" s="47" t="s">
        <v>847</v>
      </c>
    </row>
    <row r="110" spans="1:8">
      <c r="A110" s="46" t="s">
        <v>1194</v>
      </c>
      <c r="B110" s="47" t="s">
        <v>70</v>
      </c>
      <c r="C110" s="47" t="s">
        <v>272</v>
      </c>
      <c r="D110" s="48"/>
      <c r="E110" s="47" t="s">
        <v>1274</v>
      </c>
      <c r="F110" s="47" t="s">
        <v>1260</v>
      </c>
      <c r="G110" s="47" t="s">
        <v>847</v>
      </c>
      <c r="H110" s="45" t="s">
        <v>1261</v>
      </c>
    </row>
    <row r="111" spans="1:8">
      <c r="A111" s="46" t="s">
        <v>1195</v>
      </c>
      <c r="B111" s="47" t="s">
        <v>70</v>
      </c>
      <c r="C111" s="47" t="s">
        <v>273</v>
      </c>
      <c r="D111" s="48"/>
      <c r="E111" s="47"/>
      <c r="F111" s="47" t="s">
        <v>1258</v>
      </c>
      <c r="G111" s="47" t="s">
        <v>847</v>
      </c>
      <c r="H111" s="45" t="s">
        <v>1259</v>
      </c>
    </row>
    <row r="112" spans="1:8">
      <c r="A112" s="46" t="s">
        <v>1196</v>
      </c>
      <c r="B112" s="47" t="s">
        <v>70</v>
      </c>
      <c r="C112" s="47" t="s">
        <v>274</v>
      </c>
      <c r="D112" s="48"/>
      <c r="E112" s="47"/>
      <c r="F112" s="47" t="s">
        <v>1257</v>
      </c>
      <c r="G112" s="47" t="s">
        <v>847</v>
      </c>
      <c r="H112" s="45" t="s">
        <v>1256</v>
      </c>
    </row>
    <row r="113" spans="1:8">
      <c r="A113" s="46" t="s">
        <v>1197</v>
      </c>
      <c r="B113" s="47" t="s">
        <v>70</v>
      </c>
      <c r="C113" s="47" t="s">
        <v>275</v>
      </c>
      <c r="D113" s="48"/>
      <c r="E113" s="47"/>
      <c r="F113" s="47" t="s">
        <v>1262</v>
      </c>
      <c r="G113" s="47" t="s">
        <v>847</v>
      </c>
      <c r="H113" s="45" t="s">
        <v>1263</v>
      </c>
    </row>
    <row r="114" spans="1:8">
      <c r="A114" s="46" t="s">
        <v>1198</v>
      </c>
      <c r="B114" s="47" t="s">
        <v>70</v>
      </c>
      <c r="C114" s="47" t="s">
        <v>276</v>
      </c>
      <c r="D114" s="48"/>
      <c r="E114" s="47"/>
      <c r="F114" s="47"/>
      <c r="G114" s="47" t="s">
        <v>847</v>
      </c>
    </row>
    <row r="115" spans="1:8">
      <c r="A115" s="46" t="s">
        <v>1199</v>
      </c>
      <c r="B115" s="47" t="s">
        <v>70</v>
      </c>
      <c r="C115" s="47" t="s">
        <v>277</v>
      </c>
      <c r="D115" s="48"/>
      <c r="E115" s="47"/>
      <c r="F115" s="47"/>
      <c r="G115" s="47" t="s">
        <v>847</v>
      </c>
    </row>
    <row r="116" spans="1:8">
      <c r="A116" s="46" t="s">
        <v>1200</v>
      </c>
      <c r="B116" s="47" t="s">
        <v>70</v>
      </c>
      <c r="C116" s="47" t="s">
        <v>278</v>
      </c>
      <c r="D116" s="48"/>
      <c r="E116" s="47"/>
      <c r="F116" s="47"/>
      <c r="G116" s="47" t="s">
        <v>847</v>
      </c>
    </row>
    <row r="117" spans="1:8">
      <c r="A117" s="46" t="s">
        <v>1201</v>
      </c>
      <c r="B117" s="47" t="s">
        <v>70</v>
      </c>
      <c r="C117" s="47" t="s">
        <v>279</v>
      </c>
      <c r="D117" s="48"/>
      <c r="E117" s="47"/>
      <c r="F117" s="47"/>
      <c r="G117" s="47" t="s">
        <v>847</v>
      </c>
    </row>
    <row r="118" spans="1:8">
      <c r="A118" s="46" t="s">
        <v>1202</v>
      </c>
      <c r="B118" s="47" t="s">
        <v>70</v>
      </c>
      <c r="C118" s="47" t="s">
        <v>280</v>
      </c>
      <c r="D118" s="48"/>
      <c r="E118" s="47"/>
      <c r="F118" s="47"/>
      <c r="G118" s="47" t="s">
        <v>847</v>
      </c>
    </row>
    <row r="119" spans="1:8">
      <c r="A119" s="46" t="s">
        <v>1203</v>
      </c>
      <c r="B119" s="47" t="s">
        <v>70</v>
      </c>
      <c r="C119" s="47" t="s">
        <v>281</v>
      </c>
      <c r="D119" s="48"/>
      <c r="E119" s="47"/>
      <c r="F119" s="47"/>
      <c r="G119" s="47" t="s">
        <v>847</v>
      </c>
    </row>
    <row r="120" spans="1:8">
      <c r="A120" s="46" t="s">
        <v>1204</v>
      </c>
      <c r="B120" s="47" t="s">
        <v>70</v>
      </c>
      <c r="C120" s="47" t="s">
        <v>282</v>
      </c>
      <c r="D120" s="48"/>
      <c r="E120" s="47"/>
      <c r="F120" s="47"/>
      <c r="G120" s="47" t="s">
        <v>847</v>
      </c>
    </row>
    <row r="121" spans="1:8">
      <c r="A121" s="46" t="s">
        <v>1221</v>
      </c>
      <c r="B121" s="47" t="s">
        <v>283</v>
      </c>
      <c r="C121" s="47" t="s">
        <v>284</v>
      </c>
      <c r="D121" s="48">
        <v>3</v>
      </c>
      <c r="E121" s="47"/>
      <c r="F121" s="47" t="s">
        <v>1223</v>
      </c>
      <c r="G121" s="47" t="s">
        <v>848</v>
      </c>
      <c r="H121" s="45" t="s">
        <v>1264</v>
      </c>
    </row>
    <row r="122" spans="1:8">
      <c r="A122" s="46" t="s">
        <v>294</v>
      </c>
      <c r="B122" s="47" t="s">
        <v>294</v>
      </c>
      <c r="C122" s="47" t="s">
        <v>295</v>
      </c>
      <c r="D122" s="48">
        <v>3</v>
      </c>
      <c r="E122" s="47"/>
      <c r="F122" s="47" t="s">
        <v>1055</v>
      </c>
      <c r="G122" s="47" t="s">
        <v>849</v>
      </c>
      <c r="H122" s="45" t="s">
        <v>1265</v>
      </c>
    </row>
    <row r="123" spans="1:8">
      <c r="A123" s="46" t="s">
        <v>296</v>
      </c>
      <c r="B123" s="47" t="s">
        <v>296</v>
      </c>
      <c r="C123" s="47" t="s">
        <v>297</v>
      </c>
      <c r="D123" s="48">
        <v>3</v>
      </c>
      <c r="E123" s="47"/>
      <c r="F123" s="47" t="s">
        <v>1056</v>
      </c>
      <c r="G123" s="47" t="s">
        <v>850</v>
      </c>
      <c r="H123" s="45" t="s">
        <v>1266</v>
      </c>
    </row>
    <row r="124" spans="1:8">
      <c r="A124" s="46" t="s">
        <v>298</v>
      </c>
      <c r="B124" s="47" t="s">
        <v>298</v>
      </c>
      <c r="C124" s="47" t="s">
        <v>300</v>
      </c>
      <c r="D124" s="48">
        <v>1</v>
      </c>
      <c r="E124" s="47"/>
      <c r="F124" s="47" t="s">
        <v>1057</v>
      </c>
      <c r="G124" s="47" t="s">
        <v>851</v>
      </c>
      <c r="H124" s="45" t="s">
        <v>1267</v>
      </c>
    </row>
    <row r="125" spans="1:8">
      <c r="A125" s="46" t="s">
        <v>301</v>
      </c>
      <c r="B125" s="47" t="s">
        <v>301</v>
      </c>
      <c r="C125" s="47" t="s">
        <v>302</v>
      </c>
      <c r="D125" s="48">
        <v>1</v>
      </c>
      <c r="E125" s="47"/>
      <c r="F125" s="47" t="s">
        <v>1058</v>
      </c>
      <c r="G125" s="47" t="s">
        <v>852</v>
      </c>
      <c r="H125" s="45" t="s">
        <v>1268</v>
      </c>
    </row>
    <row r="126" spans="1:8">
      <c r="A126" s="46" t="s">
        <v>303</v>
      </c>
      <c r="B126" s="47" t="s">
        <v>303</v>
      </c>
      <c r="C126" s="47" t="s">
        <v>304</v>
      </c>
      <c r="D126" s="48">
        <v>1</v>
      </c>
      <c r="E126" s="47"/>
      <c r="F126" s="47" t="s">
        <v>1059</v>
      </c>
      <c r="G126" s="47" t="s">
        <v>853</v>
      </c>
      <c r="H126" s="45" t="s">
        <v>1269</v>
      </c>
    </row>
    <row r="127" spans="1:8">
      <c r="A127" s="46" t="s">
        <v>305</v>
      </c>
      <c r="B127" s="47" t="s">
        <v>305</v>
      </c>
      <c r="C127" s="47" t="s">
        <v>306</v>
      </c>
      <c r="D127" s="48">
        <v>3</v>
      </c>
      <c r="E127" s="47"/>
      <c r="F127" s="47" t="s">
        <v>854</v>
      </c>
      <c r="G127" s="47" t="s">
        <v>855</v>
      </c>
      <c r="H127" s="45" t="s">
        <v>1270</v>
      </c>
    </row>
    <row r="128" spans="1:8">
      <c r="A128" s="46" t="s">
        <v>307</v>
      </c>
      <c r="B128" s="47" t="s">
        <v>307</v>
      </c>
      <c r="C128" s="47" t="s">
        <v>308</v>
      </c>
      <c r="D128" s="48">
        <v>3</v>
      </c>
      <c r="E128" s="47" t="s">
        <v>1335</v>
      </c>
      <c r="F128" s="47" t="s">
        <v>1060</v>
      </c>
      <c r="G128" s="47" t="s">
        <v>856</v>
      </c>
      <c r="H128" s="45" t="s">
        <v>1271</v>
      </c>
    </row>
    <row r="129" spans="1:8">
      <c r="A129" s="46" t="s">
        <v>309</v>
      </c>
      <c r="B129" s="47" t="s">
        <v>309</v>
      </c>
      <c r="C129" s="47" t="s">
        <v>310</v>
      </c>
      <c r="D129" s="48">
        <v>3</v>
      </c>
      <c r="E129" s="47"/>
      <c r="F129" s="47" t="s">
        <v>1061</v>
      </c>
      <c r="G129" s="47" t="s">
        <v>857</v>
      </c>
      <c r="H129" s="45" t="s">
        <v>1272</v>
      </c>
    </row>
    <row r="130" spans="1:8">
      <c r="A130" s="46" t="s">
        <v>311</v>
      </c>
      <c r="B130" s="47" t="s">
        <v>311</v>
      </c>
      <c r="C130" s="47" t="s">
        <v>1273</v>
      </c>
      <c r="D130" s="48"/>
      <c r="E130" s="47"/>
      <c r="F130" s="47"/>
      <c r="G130" s="47" t="s">
        <v>858</v>
      </c>
    </row>
    <row r="131" spans="1:8">
      <c r="A131" s="46" t="s">
        <v>313</v>
      </c>
      <c r="B131" s="47" t="s">
        <v>313</v>
      </c>
      <c r="C131" s="47" t="s">
        <v>315</v>
      </c>
      <c r="D131" s="48">
        <v>3</v>
      </c>
      <c r="E131" s="47" t="s">
        <v>1336</v>
      </c>
      <c r="F131" s="47" t="s">
        <v>1062</v>
      </c>
      <c r="G131" s="47" t="s">
        <v>859</v>
      </c>
    </row>
    <row r="132" spans="1:8">
      <c r="A132" s="46" t="s">
        <v>316</v>
      </c>
      <c r="B132" s="47" t="s">
        <v>316</v>
      </c>
      <c r="C132" s="47" t="s">
        <v>317</v>
      </c>
      <c r="D132" s="48">
        <v>3</v>
      </c>
      <c r="E132" s="47" t="s">
        <v>1337</v>
      </c>
      <c r="F132" s="47" t="s">
        <v>1063</v>
      </c>
      <c r="G132" s="47" t="s">
        <v>860</v>
      </c>
    </row>
    <row r="133" spans="1:8">
      <c r="A133" s="46" t="s">
        <v>316</v>
      </c>
      <c r="B133" s="47" t="s">
        <v>316</v>
      </c>
      <c r="C133" s="47" t="s">
        <v>317</v>
      </c>
      <c r="D133" s="48">
        <v>3</v>
      </c>
      <c r="E133" s="47" t="s">
        <v>1337</v>
      </c>
      <c r="F133" s="47" t="s">
        <v>1063</v>
      </c>
      <c r="G133" s="47" t="s">
        <v>860</v>
      </c>
    </row>
    <row r="134" spans="1:8">
      <c r="A134" s="46" t="s">
        <v>318</v>
      </c>
      <c r="B134" s="47" t="s">
        <v>318</v>
      </c>
      <c r="C134" s="47" t="s">
        <v>319</v>
      </c>
      <c r="D134" s="48">
        <v>3</v>
      </c>
      <c r="E134" s="47" t="s">
        <v>1338</v>
      </c>
      <c r="F134" s="47" t="s">
        <v>1064</v>
      </c>
      <c r="G134" s="47" t="s">
        <v>861</v>
      </c>
    </row>
    <row r="135" spans="1:8">
      <c r="A135" s="46" t="s">
        <v>320</v>
      </c>
      <c r="B135" s="47" t="s">
        <v>320</v>
      </c>
      <c r="C135" s="47" t="s">
        <v>321</v>
      </c>
      <c r="D135" s="48">
        <v>3</v>
      </c>
      <c r="E135" s="47" t="s">
        <v>1339</v>
      </c>
      <c r="F135" s="47" t="s">
        <v>1065</v>
      </c>
      <c r="G135" s="47" t="s">
        <v>862</v>
      </c>
    </row>
    <row r="136" spans="1:8">
      <c r="A136" s="46" t="s">
        <v>1205</v>
      </c>
      <c r="B136" s="47" t="s">
        <v>320</v>
      </c>
      <c r="C136" s="47" t="s">
        <v>322</v>
      </c>
      <c r="D136" s="48">
        <v>3</v>
      </c>
      <c r="E136" s="47" t="s">
        <v>1339</v>
      </c>
      <c r="F136" s="47" t="s">
        <v>1065</v>
      </c>
      <c r="G136" s="47" t="s">
        <v>862</v>
      </c>
    </row>
    <row r="137" spans="1:8">
      <c r="A137" s="46" t="s">
        <v>323</v>
      </c>
      <c r="B137" s="47" t="s">
        <v>323</v>
      </c>
      <c r="C137" s="47" t="s">
        <v>324</v>
      </c>
      <c r="D137" s="48">
        <v>3</v>
      </c>
      <c r="E137" s="47" t="s">
        <v>1340</v>
      </c>
      <c r="F137" s="47" t="s">
        <v>1066</v>
      </c>
      <c r="G137" s="47" t="s">
        <v>863</v>
      </c>
    </row>
    <row r="138" spans="1:8">
      <c r="A138" s="46" t="s">
        <v>325</v>
      </c>
      <c r="B138" s="47" t="s">
        <v>325</v>
      </c>
      <c r="C138" s="47" t="s">
        <v>326</v>
      </c>
      <c r="D138" s="48">
        <v>3</v>
      </c>
      <c r="E138" s="47" t="s">
        <v>1341</v>
      </c>
      <c r="F138" s="47" t="s">
        <v>1067</v>
      </c>
      <c r="G138" s="47" t="s">
        <v>864</v>
      </c>
    </row>
    <row r="139" spans="1:8">
      <c r="A139" s="46" t="s">
        <v>327</v>
      </c>
      <c r="B139" s="47" t="s">
        <v>327</v>
      </c>
      <c r="C139" s="47" t="s">
        <v>328</v>
      </c>
      <c r="D139" s="48">
        <v>3</v>
      </c>
      <c r="E139" s="47" t="s">
        <v>1342</v>
      </c>
      <c r="F139" s="47" t="s">
        <v>1068</v>
      </c>
      <c r="G139" s="47" t="s">
        <v>865</v>
      </c>
    </row>
    <row r="140" spans="1:8">
      <c r="A140" s="46" t="s">
        <v>329</v>
      </c>
      <c r="B140" s="47" t="s">
        <v>329</v>
      </c>
      <c r="C140" s="47" t="s">
        <v>330</v>
      </c>
      <c r="D140" s="48">
        <v>3</v>
      </c>
      <c r="E140" s="47" t="s">
        <v>1343</v>
      </c>
      <c r="F140" s="47" t="s">
        <v>1069</v>
      </c>
      <c r="G140" s="47" t="s">
        <v>866</v>
      </c>
    </row>
    <row r="141" spans="1:8">
      <c r="A141" s="46" t="s">
        <v>331</v>
      </c>
      <c r="B141" s="47" t="s">
        <v>331</v>
      </c>
      <c r="C141" s="47" t="s">
        <v>332</v>
      </c>
      <c r="D141" s="48">
        <v>3</v>
      </c>
      <c r="E141" s="47" t="s">
        <v>1344</v>
      </c>
      <c r="F141" s="47" t="s">
        <v>1070</v>
      </c>
      <c r="G141" s="47" t="s">
        <v>867</v>
      </c>
    </row>
    <row r="142" spans="1:8">
      <c r="A142" s="46" t="s">
        <v>1206</v>
      </c>
      <c r="B142" s="47" t="s">
        <v>331</v>
      </c>
      <c r="C142" s="47" t="s">
        <v>333</v>
      </c>
      <c r="D142" s="48">
        <v>3</v>
      </c>
      <c r="E142" s="47" t="s">
        <v>1344</v>
      </c>
      <c r="F142" s="47" t="s">
        <v>1070</v>
      </c>
      <c r="G142" s="47" t="s">
        <v>867</v>
      </c>
    </row>
    <row r="143" spans="1:8">
      <c r="A143" s="46" t="s">
        <v>334</v>
      </c>
      <c r="B143" s="47" t="s">
        <v>334</v>
      </c>
      <c r="C143" s="47" t="s">
        <v>335</v>
      </c>
      <c r="D143" s="48">
        <v>3</v>
      </c>
      <c r="E143" s="47" t="s">
        <v>1345</v>
      </c>
      <c r="F143" s="47" t="s">
        <v>1071</v>
      </c>
      <c r="G143" s="47" t="s">
        <v>868</v>
      </c>
    </row>
    <row r="144" spans="1:8">
      <c r="A144" s="46" t="s">
        <v>336</v>
      </c>
      <c r="B144" s="47" t="s">
        <v>336</v>
      </c>
      <c r="C144" s="47" t="s">
        <v>337</v>
      </c>
      <c r="D144" s="48"/>
      <c r="E144" s="47"/>
      <c r="F144" s="47"/>
      <c r="G144" s="47" t="s">
        <v>869</v>
      </c>
    </row>
    <row r="145" spans="1:7">
      <c r="A145" s="46" t="s">
        <v>488</v>
      </c>
      <c r="B145" s="47" t="s">
        <v>488</v>
      </c>
      <c r="C145" s="47" t="s">
        <v>489</v>
      </c>
      <c r="D145" s="48">
        <v>3</v>
      </c>
      <c r="E145" s="47" t="s">
        <v>1346</v>
      </c>
      <c r="F145" s="47" t="s">
        <v>1072</v>
      </c>
      <c r="G145" s="47" t="s">
        <v>870</v>
      </c>
    </row>
    <row r="146" spans="1:7">
      <c r="A146" s="46" t="s">
        <v>490</v>
      </c>
      <c r="B146" s="47" t="s">
        <v>490</v>
      </c>
      <c r="C146" s="47" t="s">
        <v>491</v>
      </c>
      <c r="D146" s="48">
        <v>3</v>
      </c>
      <c r="E146" s="47" t="s">
        <v>1347</v>
      </c>
      <c r="F146" s="47" t="s">
        <v>1073</v>
      </c>
      <c r="G146" s="47" t="s">
        <v>871</v>
      </c>
    </row>
    <row r="147" spans="1:7">
      <c r="A147" s="46" t="s">
        <v>352</v>
      </c>
      <c r="B147" s="47" t="s">
        <v>352</v>
      </c>
      <c r="C147" s="47" t="s">
        <v>354</v>
      </c>
      <c r="D147" s="48">
        <v>3</v>
      </c>
      <c r="E147" s="47" t="s">
        <v>1348</v>
      </c>
      <c r="F147" s="47" t="s">
        <v>1074</v>
      </c>
      <c r="G147" s="47" t="s">
        <v>872</v>
      </c>
    </row>
    <row r="148" spans="1:7">
      <c r="A148" s="46" t="s">
        <v>492</v>
      </c>
      <c r="B148" s="47" t="s">
        <v>492</v>
      </c>
      <c r="C148" s="47" t="s">
        <v>493</v>
      </c>
      <c r="D148" s="48">
        <v>3</v>
      </c>
      <c r="E148" s="47" t="s">
        <v>488</v>
      </c>
      <c r="F148" s="47" t="s">
        <v>1075</v>
      </c>
      <c r="G148" s="47" t="s">
        <v>873</v>
      </c>
    </row>
    <row r="149" spans="1:7">
      <c r="A149" s="46" t="s">
        <v>345</v>
      </c>
      <c r="B149" s="47" t="s">
        <v>345</v>
      </c>
      <c r="C149" s="47" t="s">
        <v>347</v>
      </c>
      <c r="D149" s="48">
        <v>3</v>
      </c>
      <c r="E149" s="47" t="s">
        <v>490</v>
      </c>
      <c r="F149" s="47" t="s">
        <v>1076</v>
      </c>
      <c r="G149" s="47" t="s">
        <v>874</v>
      </c>
    </row>
    <row r="150" spans="1:7">
      <c r="A150" s="46" t="s">
        <v>355</v>
      </c>
      <c r="B150" s="47" t="s">
        <v>355</v>
      </c>
      <c r="C150" s="47" t="s">
        <v>356</v>
      </c>
      <c r="D150" s="48">
        <v>3</v>
      </c>
      <c r="E150" s="47" t="s">
        <v>352</v>
      </c>
      <c r="F150" s="47" t="s">
        <v>1077</v>
      </c>
      <c r="G150" s="47" t="s">
        <v>875</v>
      </c>
    </row>
    <row r="151" spans="1:7">
      <c r="A151" s="46" t="s">
        <v>357</v>
      </c>
      <c r="B151" s="47" t="s">
        <v>357</v>
      </c>
      <c r="C151" s="47" t="s">
        <v>358</v>
      </c>
      <c r="D151" s="48"/>
      <c r="E151" s="47"/>
      <c r="F151" s="47"/>
      <c r="G151" s="47" t="s">
        <v>876</v>
      </c>
    </row>
    <row r="152" spans="1:7">
      <c r="A152" s="46" t="s">
        <v>1207</v>
      </c>
      <c r="B152" s="47" t="s">
        <v>357</v>
      </c>
      <c r="C152" s="47" t="s">
        <v>359</v>
      </c>
      <c r="D152" s="48"/>
      <c r="E152" s="47"/>
      <c r="F152" s="47"/>
      <c r="G152" s="47" t="s">
        <v>876</v>
      </c>
    </row>
    <row r="153" spans="1:7">
      <c r="A153" s="46" t="s">
        <v>360</v>
      </c>
      <c r="B153" s="47" t="s">
        <v>360</v>
      </c>
      <c r="C153" s="47" t="s">
        <v>361</v>
      </c>
      <c r="D153" s="48">
        <v>3</v>
      </c>
      <c r="E153" s="47" t="s">
        <v>1349</v>
      </c>
      <c r="F153" s="47" t="s">
        <v>1078</v>
      </c>
      <c r="G153" s="47" t="s">
        <v>877</v>
      </c>
    </row>
    <row r="154" spans="1:7">
      <c r="A154" s="46" t="s">
        <v>362</v>
      </c>
      <c r="B154" s="47" t="s">
        <v>362</v>
      </c>
      <c r="C154" s="47" t="s">
        <v>363</v>
      </c>
      <c r="D154" s="48">
        <v>3</v>
      </c>
      <c r="E154" s="47" t="s">
        <v>1350</v>
      </c>
      <c r="F154" s="47" t="s">
        <v>1079</v>
      </c>
      <c r="G154" s="47" t="s">
        <v>878</v>
      </c>
    </row>
    <row r="155" spans="1:7">
      <c r="A155" s="46" t="s">
        <v>364</v>
      </c>
      <c r="B155" s="47" t="s">
        <v>364</v>
      </c>
      <c r="C155" s="47" t="s">
        <v>365</v>
      </c>
      <c r="D155" s="48">
        <v>3</v>
      </c>
      <c r="E155" s="47" t="s">
        <v>352</v>
      </c>
      <c r="F155" s="47" t="s">
        <v>1080</v>
      </c>
      <c r="G155" s="47" t="s">
        <v>879</v>
      </c>
    </row>
    <row r="156" spans="1:7">
      <c r="A156" s="46" t="s">
        <v>366</v>
      </c>
      <c r="B156" s="47" t="s">
        <v>366</v>
      </c>
      <c r="C156" s="47" t="s">
        <v>367</v>
      </c>
      <c r="D156" s="48">
        <v>3</v>
      </c>
      <c r="E156" s="47" t="s">
        <v>490</v>
      </c>
      <c r="F156" s="47" t="s">
        <v>1081</v>
      </c>
      <c r="G156" s="47" t="s">
        <v>880</v>
      </c>
    </row>
    <row r="157" spans="1:7">
      <c r="A157" s="46" t="s">
        <v>494</v>
      </c>
      <c r="B157" s="47" t="s">
        <v>494</v>
      </c>
      <c r="C157" s="47" t="s">
        <v>495</v>
      </c>
      <c r="D157" s="48">
        <v>3</v>
      </c>
      <c r="E157" s="47" t="s">
        <v>488</v>
      </c>
      <c r="F157" s="47" t="s">
        <v>1082</v>
      </c>
      <c r="G157" s="47" t="s">
        <v>881</v>
      </c>
    </row>
    <row r="158" spans="1:7">
      <c r="A158" s="46" t="s">
        <v>498</v>
      </c>
      <c r="B158" s="47" t="s">
        <v>498</v>
      </c>
      <c r="C158" s="47" t="s">
        <v>499</v>
      </c>
      <c r="D158" s="48">
        <v>3</v>
      </c>
      <c r="E158" s="47" t="s">
        <v>490</v>
      </c>
      <c r="F158" s="47" t="s">
        <v>1083</v>
      </c>
      <c r="G158" s="47" t="s">
        <v>882</v>
      </c>
    </row>
    <row r="159" spans="1:7">
      <c r="A159" s="46" t="s">
        <v>368</v>
      </c>
      <c r="B159" s="47" t="s">
        <v>368</v>
      </c>
      <c r="C159" s="47" t="s">
        <v>369</v>
      </c>
      <c r="D159" s="48">
        <v>3</v>
      </c>
      <c r="E159" s="47" t="s">
        <v>345</v>
      </c>
      <c r="F159" s="47" t="s">
        <v>1084</v>
      </c>
      <c r="G159" s="47" t="s">
        <v>883</v>
      </c>
    </row>
    <row r="160" spans="1:7">
      <c r="A160" s="46" t="s">
        <v>502</v>
      </c>
      <c r="B160" s="47" t="s">
        <v>502</v>
      </c>
      <c r="C160" s="47" t="s">
        <v>503</v>
      </c>
      <c r="D160" s="48">
        <v>3</v>
      </c>
      <c r="E160" s="47" t="s">
        <v>345</v>
      </c>
      <c r="F160" s="47" t="s">
        <v>1085</v>
      </c>
      <c r="G160" s="47" t="s">
        <v>884</v>
      </c>
    </row>
    <row r="161" spans="1:7">
      <c r="A161" s="46" t="s">
        <v>372</v>
      </c>
      <c r="B161" s="47" t="s">
        <v>372</v>
      </c>
      <c r="C161" s="47" t="s">
        <v>373</v>
      </c>
      <c r="D161" s="48">
        <v>3</v>
      </c>
      <c r="E161" s="47"/>
      <c r="F161" s="47" t="s">
        <v>1086</v>
      </c>
      <c r="G161" s="47" t="s">
        <v>885</v>
      </c>
    </row>
    <row r="162" spans="1:7">
      <c r="A162" s="46" t="s">
        <v>657</v>
      </c>
      <c r="B162" s="47" t="s">
        <v>657</v>
      </c>
      <c r="C162" s="47" t="s">
        <v>505</v>
      </c>
      <c r="D162" s="48">
        <v>3</v>
      </c>
      <c r="E162" s="47"/>
      <c r="F162" s="47" t="s">
        <v>1087</v>
      </c>
      <c r="G162" s="47" t="s">
        <v>886</v>
      </c>
    </row>
    <row r="163" spans="1:7">
      <c r="A163" s="46" t="s">
        <v>659</v>
      </c>
      <c r="B163" s="47" t="s">
        <v>659</v>
      </c>
      <c r="C163" s="47" t="s">
        <v>377</v>
      </c>
      <c r="D163" s="48">
        <v>3</v>
      </c>
      <c r="E163" s="47" t="s">
        <v>1351</v>
      </c>
      <c r="F163" s="47" t="s">
        <v>1088</v>
      </c>
      <c r="G163" s="47" t="s">
        <v>887</v>
      </c>
    </row>
    <row r="164" spans="1:7">
      <c r="A164" s="46" t="s">
        <v>661</v>
      </c>
      <c r="B164" s="47" t="s">
        <v>661</v>
      </c>
      <c r="C164" s="47" t="s">
        <v>379</v>
      </c>
      <c r="D164" s="48">
        <v>3</v>
      </c>
      <c r="E164" s="47"/>
      <c r="F164" s="47" t="s">
        <v>1089</v>
      </c>
      <c r="G164" s="47" t="s">
        <v>888</v>
      </c>
    </row>
    <row r="165" spans="1:7">
      <c r="A165" s="46" t="s">
        <v>663</v>
      </c>
      <c r="B165" s="47" t="s">
        <v>663</v>
      </c>
      <c r="C165" s="47" t="s">
        <v>381</v>
      </c>
      <c r="D165" s="48">
        <v>3</v>
      </c>
      <c r="E165" s="47" t="s">
        <v>1352</v>
      </c>
      <c r="F165" s="47" t="s">
        <v>1090</v>
      </c>
      <c r="G165" s="47" t="s">
        <v>889</v>
      </c>
    </row>
    <row r="166" spans="1:7">
      <c r="A166" s="46" t="s">
        <v>665</v>
      </c>
      <c r="B166" s="47" t="s">
        <v>665</v>
      </c>
      <c r="C166" s="47" t="s">
        <v>383</v>
      </c>
      <c r="D166" s="48">
        <v>3</v>
      </c>
      <c r="E166" s="47" t="s">
        <v>1353</v>
      </c>
      <c r="F166" s="47" t="s">
        <v>1091</v>
      </c>
      <c r="G166" s="47" t="s">
        <v>890</v>
      </c>
    </row>
    <row r="167" spans="1:7">
      <c r="A167" s="46" t="s">
        <v>76</v>
      </c>
      <c r="B167" s="47" t="s">
        <v>76</v>
      </c>
      <c r="C167" s="47" t="s">
        <v>78</v>
      </c>
      <c r="D167" s="48">
        <v>3</v>
      </c>
      <c r="E167" s="47" t="s">
        <v>1354</v>
      </c>
      <c r="F167" s="47" t="s">
        <v>1092</v>
      </c>
      <c r="G167" s="47" t="s">
        <v>891</v>
      </c>
    </row>
    <row r="168" spans="1:7">
      <c r="A168" s="46" t="s">
        <v>668</v>
      </c>
      <c r="B168" s="47" t="s">
        <v>668</v>
      </c>
      <c r="C168" s="47" t="s">
        <v>387</v>
      </c>
      <c r="D168" s="48">
        <v>3</v>
      </c>
      <c r="E168" s="47" t="s">
        <v>1354</v>
      </c>
      <c r="F168" s="47" t="s">
        <v>1093</v>
      </c>
      <c r="G168" s="47" t="s">
        <v>892</v>
      </c>
    </row>
    <row r="169" spans="1:7">
      <c r="A169" s="46" t="s">
        <v>79</v>
      </c>
      <c r="B169" s="47" t="s">
        <v>79</v>
      </c>
      <c r="C169" s="47" t="s">
        <v>80</v>
      </c>
      <c r="D169" s="48">
        <v>3</v>
      </c>
      <c r="E169" s="47" t="s">
        <v>1354</v>
      </c>
      <c r="F169" s="47" t="s">
        <v>1094</v>
      </c>
      <c r="G169" s="47" t="s">
        <v>893</v>
      </c>
    </row>
    <row r="170" spans="1:7">
      <c r="A170" s="46" t="s">
        <v>670</v>
      </c>
      <c r="B170" s="47" t="s">
        <v>670</v>
      </c>
      <c r="C170" s="47" t="s">
        <v>391</v>
      </c>
      <c r="D170" s="48">
        <v>3</v>
      </c>
      <c r="E170" s="47" t="s">
        <v>1355</v>
      </c>
      <c r="F170" s="47" t="s">
        <v>1095</v>
      </c>
      <c r="G170" s="47" t="s">
        <v>894</v>
      </c>
    </row>
    <row r="171" spans="1:7">
      <c r="A171" s="46" t="s">
        <v>672</v>
      </c>
      <c r="B171" s="47" t="s">
        <v>672</v>
      </c>
      <c r="C171" s="47" t="s">
        <v>393</v>
      </c>
      <c r="D171" s="48">
        <v>3</v>
      </c>
      <c r="E171" s="47" t="s">
        <v>1354</v>
      </c>
      <c r="F171" s="47" t="s">
        <v>1096</v>
      </c>
      <c r="G171" s="47" t="s">
        <v>895</v>
      </c>
    </row>
    <row r="172" spans="1:7">
      <c r="A172" s="46" t="s">
        <v>674</v>
      </c>
      <c r="B172" s="47" t="s">
        <v>674</v>
      </c>
      <c r="C172" s="47" t="s">
        <v>395</v>
      </c>
      <c r="D172" s="48">
        <v>3</v>
      </c>
      <c r="E172" s="47"/>
      <c r="F172" s="47" t="s">
        <v>1097</v>
      </c>
      <c r="G172" s="47" t="s">
        <v>896</v>
      </c>
    </row>
    <row r="173" spans="1:7">
      <c r="A173" s="46" t="s">
        <v>676</v>
      </c>
      <c r="B173" s="47" t="s">
        <v>676</v>
      </c>
      <c r="C173" s="47" t="s">
        <v>397</v>
      </c>
      <c r="D173" s="48">
        <v>3</v>
      </c>
      <c r="E173" s="47"/>
      <c r="F173" s="47" t="s">
        <v>1098</v>
      </c>
      <c r="G173" s="47" t="s">
        <v>897</v>
      </c>
    </row>
    <row r="174" spans="1:7">
      <c r="A174" s="46" t="s">
        <v>678</v>
      </c>
      <c r="B174" s="47" t="s">
        <v>678</v>
      </c>
      <c r="C174" s="47" t="s">
        <v>399</v>
      </c>
      <c r="D174" s="48">
        <v>3</v>
      </c>
      <c r="E174" s="47"/>
      <c r="F174" s="47" t="s">
        <v>1099</v>
      </c>
      <c r="G174" s="47" t="s">
        <v>898</v>
      </c>
    </row>
    <row r="175" spans="1:7">
      <c r="A175" s="46" t="s">
        <v>680</v>
      </c>
      <c r="B175" s="47" t="s">
        <v>680</v>
      </c>
      <c r="C175" s="47" t="s">
        <v>509</v>
      </c>
      <c r="D175" s="48">
        <v>3</v>
      </c>
      <c r="E175" s="47"/>
      <c r="F175" s="47" t="s">
        <v>1100</v>
      </c>
      <c r="G175" s="47" t="s">
        <v>899</v>
      </c>
    </row>
    <row r="176" spans="1:7">
      <c r="A176" s="46" t="s">
        <v>682</v>
      </c>
      <c r="B176" s="47" t="s">
        <v>682</v>
      </c>
      <c r="C176" s="47" t="s">
        <v>403</v>
      </c>
      <c r="D176" s="48">
        <v>3</v>
      </c>
      <c r="E176" s="47" t="s">
        <v>1353</v>
      </c>
      <c r="F176" s="47" t="s">
        <v>1101</v>
      </c>
      <c r="G176" s="47" t="s">
        <v>900</v>
      </c>
    </row>
    <row r="177" spans="1:7">
      <c r="A177" s="46" t="s">
        <v>684</v>
      </c>
      <c r="B177" s="47" t="s">
        <v>684</v>
      </c>
      <c r="C177" s="47" t="s">
        <v>405</v>
      </c>
      <c r="D177" s="48">
        <v>3</v>
      </c>
      <c r="E177" s="47" t="s">
        <v>1356</v>
      </c>
      <c r="F177" s="47" t="s">
        <v>1102</v>
      </c>
      <c r="G177" s="47" t="s">
        <v>901</v>
      </c>
    </row>
    <row r="178" spans="1:7">
      <c r="A178" s="46" t="s">
        <v>685</v>
      </c>
      <c r="B178" s="47" t="s">
        <v>685</v>
      </c>
      <c r="C178" s="47" t="s">
        <v>407</v>
      </c>
      <c r="D178" s="48">
        <v>3</v>
      </c>
      <c r="E178" s="47" t="s">
        <v>1357</v>
      </c>
      <c r="F178" s="47" t="s">
        <v>1103</v>
      </c>
      <c r="G178" s="47" t="s">
        <v>902</v>
      </c>
    </row>
    <row r="179" spans="1:7">
      <c r="A179" s="46" t="s">
        <v>687</v>
      </c>
      <c r="B179" s="47" t="s">
        <v>687</v>
      </c>
      <c r="C179" s="47" t="s">
        <v>409</v>
      </c>
      <c r="D179" s="48">
        <v>3</v>
      </c>
      <c r="E179" s="47" t="s">
        <v>1352</v>
      </c>
      <c r="F179" s="47" t="s">
        <v>1104</v>
      </c>
      <c r="G179" s="47" t="s">
        <v>903</v>
      </c>
    </row>
    <row r="180" spans="1:7">
      <c r="A180" s="46" t="s">
        <v>689</v>
      </c>
      <c r="B180" s="47" t="s">
        <v>689</v>
      </c>
      <c r="C180" s="47" t="s">
        <v>411</v>
      </c>
      <c r="D180" s="48">
        <v>3</v>
      </c>
      <c r="E180" s="47" t="s">
        <v>663</v>
      </c>
      <c r="F180" s="47" t="s">
        <v>1105</v>
      </c>
      <c r="G180" s="47" t="s">
        <v>904</v>
      </c>
    </row>
    <row r="181" spans="1:7">
      <c r="A181" s="46" t="s">
        <v>691</v>
      </c>
      <c r="B181" s="47" t="s">
        <v>691</v>
      </c>
      <c r="C181" s="47" t="s">
        <v>413</v>
      </c>
      <c r="D181" s="48">
        <v>3</v>
      </c>
      <c r="E181" s="47" t="s">
        <v>1352</v>
      </c>
      <c r="F181" s="47" t="s">
        <v>1106</v>
      </c>
      <c r="G181" s="47" t="s">
        <v>905</v>
      </c>
    </row>
    <row r="182" spans="1:7">
      <c r="A182" s="46" t="s">
        <v>693</v>
      </c>
      <c r="B182" s="47" t="s">
        <v>693</v>
      </c>
      <c r="C182" s="47" t="s">
        <v>415</v>
      </c>
      <c r="D182" s="48">
        <v>3</v>
      </c>
      <c r="E182" s="47" t="s">
        <v>1358</v>
      </c>
      <c r="F182" s="47" t="s">
        <v>1107</v>
      </c>
      <c r="G182" s="47" t="s">
        <v>906</v>
      </c>
    </row>
    <row r="183" spans="1:7">
      <c r="A183" s="46" t="s">
        <v>694</v>
      </c>
      <c r="B183" s="47" t="s">
        <v>694</v>
      </c>
      <c r="C183" s="47" t="s">
        <v>417</v>
      </c>
      <c r="D183" s="48">
        <v>3</v>
      </c>
      <c r="E183" s="47" t="s">
        <v>1352</v>
      </c>
      <c r="F183" s="47" t="s">
        <v>1108</v>
      </c>
      <c r="G183" s="47" t="s">
        <v>907</v>
      </c>
    </row>
    <row r="184" spans="1:7">
      <c r="A184" s="46" t="s">
        <v>696</v>
      </c>
      <c r="B184" s="47" t="s">
        <v>696</v>
      </c>
      <c r="C184" s="47" t="s">
        <v>419</v>
      </c>
      <c r="D184" s="48">
        <v>3</v>
      </c>
      <c r="E184" s="47"/>
      <c r="F184" s="47" t="s">
        <v>1109</v>
      </c>
      <c r="G184" s="47" t="s">
        <v>908</v>
      </c>
    </row>
    <row r="185" spans="1:7">
      <c r="A185" s="46" t="s">
        <v>698</v>
      </c>
      <c r="B185" s="47" t="s">
        <v>698</v>
      </c>
      <c r="C185" s="47" t="s">
        <v>421</v>
      </c>
      <c r="D185" s="48">
        <v>3</v>
      </c>
      <c r="E185" s="47" t="s">
        <v>1352</v>
      </c>
      <c r="F185" s="47" t="s">
        <v>1110</v>
      </c>
      <c r="G185" s="47" t="s">
        <v>909</v>
      </c>
    </row>
    <row r="186" spans="1:7">
      <c r="A186" s="46" t="s">
        <v>91</v>
      </c>
      <c r="B186" s="47" t="s">
        <v>91</v>
      </c>
      <c r="C186" s="47" t="s">
        <v>564</v>
      </c>
      <c r="D186" s="48">
        <v>3</v>
      </c>
      <c r="E186" s="47" t="s">
        <v>1170</v>
      </c>
      <c r="F186" s="47" t="s">
        <v>1171</v>
      </c>
      <c r="G186" s="47" t="s">
        <v>910</v>
      </c>
    </row>
    <row r="187" spans="1:7">
      <c r="A187" s="46" t="s">
        <v>1172</v>
      </c>
      <c r="B187" s="47" t="s">
        <v>91</v>
      </c>
      <c r="C187" s="47" t="s">
        <v>422</v>
      </c>
      <c r="D187" s="48">
        <v>3</v>
      </c>
      <c r="E187" s="47"/>
      <c r="F187" s="47"/>
      <c r="G187" s="47" t="s">
        <v>910</v>
      </c>
    </row>
    <row r="188" spans="1:7">
      <c r="A188" s="46" t="s">
        <v>1218</v>
      </c>
      <c r="B188" s="47" t="s">
        <v>91</v>
      </c>
      <c r="C188" s="47" t="s">
        <v>1174</v>
      </c>
      <c r="D188" s="48">
        <v>3</v>
      </c>
      <c r="E188" s="47"/>
      <c r="F188" s="47"/>
      <c r="G188" s="47" t="s">
        <v>910</v>
      </c>
    </row>
    <row r="189" spans="1:7">
      <c r="A189" s="46" t="s">
        <v>427</v>
      </c>
      <c r="B189" s="47" t="s">
        <v>427</v>
      </c>
      <c r="C189" s="47" t="s">
        <v>428</v>
      </c>
      <c r="D189" s="48">
        <v>3</v>
      </c>
      <c r="E189" s="47"/>
      <c r="F189" s="47" t="s">
        <v>1111</v>
      </c>
      <c r="G189" s="47" t="s">
        <v>911</v>
      </c>
    </row>
    <row r="190" spans="1:7">
      <c r="A190" s="46" t="s">
        <v>429</v>
      </c>
      <c r="B190" s="47" t="s">
        <v>429</v>
      </c>
      <c r="C190" s="47" t="s">
        <v>430</v>
      </c>
      <c r="D190" s="48">
        <v>3</v>
      </c>
      <c r="E190" s="47" t="s">
        <v>1359</v>
      </c>
      <c r="F190" s="47" t="s">
        <v>1112</v>
      </c>
      <c r="G190" s="47" t="s">
        <v>912</v>
      </c>
    </row>
    <row r="191" spans="1:7">
      <c r="A191" s="46" t="s">
        <v>431</v>
      </c>
      <c r="B191" s="47" t="s">
        <v>431</v>
      </c>
      <c r="C191" s="47" t="s">
        <v>432</v>
      </c>
      <c r="D191" s="48">
        <v>3</v>
      </c>
      <c r="E191" s="47" t="s">
        <v>1360</v>
      </c>
      <c r="F191" s="47" t="s">
        <v>1113</v>
      </c>
      <c r="G191" s="47" t="s">
        <v>913</v>
      </c>
    </row>
    <row r="192" spans="1:7">
      <c r="A192" s="46" t="s">
        <v>433</v>
      </c>
      <c r="B192" s="47" t="s">
        <v>433</v>
      </c>
      <c r="C192" s="47" t="s">
        <v>434</v>
      </c>
      <c r="D192" s="48">
        <v>3</v>
      </c>
      <c r="E192" s="47" t="s">
        <v>1361</v>
      </c>
      <c r="F192" s="47" t="s">
        <v>1114</v>
      </c>
      <c r="G192" s="47" t="s">
        <v>914</v>
      </c>
    </row>
    <row r="193" spans="1:7">
      <c r="A193" s="46" t="s">
        <v>435</v>
      </c>
      <c r="B193" s="47" t="s">
        <v>435</v>
      </c>
      <c r="C193" s="47" t="s">
        <v>436</v>
      </c>
      <c r="D193" s="48">
        <v>3</v>
      </c>
      <c r="E193" s="47" t="s">
        <v>1362</v>
      </c>
      <c r="F193" s="47" t="s">
        <v>1115</v>
      </c>
      <c r="G193" s="47" t="s">
        <v>915</v>
      </c>
    </row>
    <row r="194" spans="1:7">
      <c r="A194" s="46" t="s">
        <v>437</v>
      </c>
      <c r="B194" s="47" t="s">
        <v>437</v>
      </c>
      <c r="C194" s="47" t="s">
        <v>438</v>
      </c>
      <c r="D194" s="48">
        <v>3</v>
      </c>
      <c r="E194" s="47" t="s">
        <v>1363</v>
      </c>
      <c r="F194" s="47" t="s">
        <v>1116</v>
      </c>
      <c r="G194" s="47" t="s">
        <v>916</v>
      </c>
    </row>
    <row r="195" spans="1:7">
      <c r="A195" s="46" t="s">
        <v>439</v>
      </c>
      <c r="B195" s="47" t="s">
        <v>439</v>
      </c>
      <c r="C195" s="47" t="s">
        <v>440</v>
      </c>
      <c r="D195" s="48">
        <v>3</v>
      </c>
      <c r="E195" s="47" t="s">
        <v>1364</v>
      </c>
      <c r="F195" s="47" t="s">
        <v>1117</v>
      </c>
      <c r="G195" s="47" t="s">
        <v>917</v>
      </c>
    </row>
    <row r="196" spans="1:7">
      <c r="A196" s="46" t="s">
        <v>441</v>
      </c>
      <c r="B196" s="47" t="s">
        <v>441</v>
      </c>
      <c r="C196" s="47" t="s">
        <v>442</v>
      </c>
      <c r="D196" s="48">
        <v>3</v>
      </c>
      <c r="E196" s="47" t="s">
        <v>1365</v>
      </c>
      <c r="F196" s="47" t="s">
        <v>1118</v>
      </c>
      <c r="G196" s="47" t="s">
        <v>918</v>
      </c>
    </row>
    <row r="197" spans="1:7">
      <c r="A197" s="46" t="s">
        <v>443</v>
      </c>
      <c r="B197" s="47" t="s">
        <v>443</v>
      </c>
      <c r="C197" s="47" t="s">
        <v>444</v>
      </c>
      <c r="D197" s="48">
        <v>3</v>
      </c>
      <c r="E197" s="47" t="s">
        <v>1360</v>
      </c>
      <c r="F197" s="47" t="s">
        <v>1119</v>
      </c>
      <c r="G197" s="47" t="s">
        <v>919</v>
      </c>
    </row>
    <row r="198" spans="1:7">
      <c r="A198" s="46" t="s">
        <v>370</v>
      </c>
      <c r="B198" s="47" t="s">
        <v>370</v>
      </c>
      <c r="C198" s="47" t="s">
        <v>371</v>
      </c>
      <c r="D198" s="48">
        <v>3</v>
      </c>
      <c r="E198" s="47"/>
      <c r="F198" s="47" t="s">
        <v>1120</v>
      </c>
      <c r="G198" s="47" t="s">
        <v>920</v>
      </c>
    </row>
    <row r="199" spans="1:7">
      <c r="A199" s="46" t="s">
        <v>374</v>
      </c>
      <c r="B199" s="47" t="s">
        <v>374</v>
      </c>
      <c r="C199" s="47" t="s">
        <v>375</v>
      </c>
      <c r="D199" s="48">
        <v>3</v>
      </c>
      <c r="E199" s="47" t="s">
        <v>1366</v>
      </c>
      <c r="F199" s="47" t="s">
        <v>1121</v>
      </c>
      <c r="G199" s="47" t="s">
        <v>921</v>
      </c>
    </row>
    <row r="200" spans="1:7">
      <c r="A200" s="46" t="s">
        <v>384</v>
      </c>
      <c r="B200" s="47" t="s">
        <v>384</v>
      </c>
      <c r="C200" s="47" t="s">
        <v>385</v>
      </c>
      <c r="D200" s="48">
        <v>3</v>
      </c>
      <c r="E200" s="47" t="s">
        <v>1367</v>
      </c>
      <c r="F200" s="47" t="s">
        <v>1122</v>
      </c>
      <c r="G200" s="47" t="s">
        <v>922</v>
      </c>
    </row>
    <row r="201" spans="1:7">
      <c r="A201" s="46" t="s">
        <v>388</v>
      </c>
      <c r="B201" s="47" t="s">
        <v>388</v>
      </c>
      <c r="C201" s="47" t="s">
        <v>389</v>
      </c>
      <c r="D201" s="48">
        <v>3</v>
      </c>
      <c r="E201" s="47" t="s">
        <v>1368</v>
      </c>
      <c r="F201" s="47" t="s">
        <v>1123</v>
      </c>
      <c r="G201" s="47" t="s">
        <v>923</v>
      </c>
    </row>
    <row r="202" spans="1:7">
      <c r="A202" s="46" t="s">
        <v>400</v>
      </c>
      <c r="B202" s="47" t="s">
        <v>400</v>
      </c>
      <c r="C202" s="47" t="s">
        <v>401</v>
      </c>
      <c r="D202" s="48">
        <v>3</v>
      </c>
      <c r="E202" s="47" t="s">
        <v>1369</v>
      </c>
      <c r="F202" s="47" t="s">
        <v>1124</v>
      </c>
      <c r="G202" s="47" t="s">
        <v>924</v>
      </c>
    </row>
    <row r="203" spans="1:7">
      <c r="A203" s="46" t="s">
        <v>423</v>
      </c>
      <c r="B203" s="47" t="s">
        <v>423</v>
      </c>
      <c r="C203" s="47" t="s">
        <v>424</v>
      </c>
      <c r="D203" s="48">
        <v>3</v>
      </c>
      <c r="E203" s="47" t="s">
        <v>1370</v>
      </c>
      <c r="F203" s="47" t="s">
        <v>1125</v>
      </c>
      <c r="G203" s="47" t="s">
        <v>925</v>
      </c>
    </row>
    <row r="204" spans="1:7">
      <c r="A204" s="46" t="s">
        <v>425</v>
      </c>
      <c r="B204" s="47" t="s">
        <v>425</v>
      </c>
      <c r="C204" s="47" t="s">
        <v>426</v>
      </c>
      <c r="D204" s="48" t="s">
        <v>1163</v>
      </c>
      <c r="E204" s="47" t="s">
        <v>1371</v>
      </c>
      <c r="F204" s="47" t="s">
        <v>1162</v>
      </c>
      <c r="G204" s="47" t="s">
        <v>926</v>
      </c>
    </row>
    <row r="205" spans="1:7">
      <c r="A205" s="46" t="s">
        <v>458</v>
      </c>
      <c r="B205" s="47" t="s">
        <v>458</v>
      </c>
      <c r="C205" s="47" t="s">
        <v>459</v>
      </c>
      <c r="D205" s="48" t="s">
        <v>927</v>
      </c>
      <c r="E205" s="47" t="s">
        <v>1372</v>
      </c>
      <c r="F205" s="47" t="s">
        <v>1126</v>
      </c>
      <c r="G205" s="47" t="s">
        <v>928</v>
      </c>
    </row>
    <row r="206" spans="1:7">
      <c r="A206" s="46" t="s">
        <v>460</v>
      </c>
      <c r="B206" s="47" t="s">
        <v>460</v>
      </c>
      <c r="C206" s="47" t="s">
        <v>461</v>
      </c>
      <c r="D206" s="48">
        <v>2</v>
      </c>
      <c r="E206" s="47" t="s">
        <v>1373</v>
      </c>
      <c r="F206" s="47" t="s">
        <v>1127</v>
      </c>
      <c r="G206" s="47" t="s">
        <v>929</v>
      </c>
    </row>
    <row r="207" spans="1:7">
      <c r="A207" s="46" t="s">
        <v>462</v>
      </c>
      <c r="B207" s="47" t="s">
        <v>462</v>
      </c>
      <c r="C207" s="47" t="s">
        <v>463</v>
      </c>
      <c r="D207" s="48">
        <v>2</v>
      </c>
      <c r="E207" s="47" t="s">
        <v>1374</v>
      </c>
      <c r="F207" s="47" t="s">
        <v>1128</v>
      </c>
      <c r="G207" s="47" t="s">
        <v>930</v>
      </c>
    </row>
    <row r="208" spans="1:7">
      <c r="A208" s="46" t="s">
        <v>464</v>
      </c>
      <c r="B208" s="47" t="s">
        <v>464</v>
      </c>
      <c r="C208" s="47" t="s">
        <v>465</v>
      </c>
      <c r="D208" s="48">
        <v>2</v>
      </c>
      <c r="E208" s="47" t="s">
        <v>1375</v>
      </c>
      <c r="F208" s="47" t="s">
        <v>1129</v>
      </c>
      <c r="G208" s="47" t="s">
        <v>931</v>
      </c>
    </row>
    <row r="209" spans="1:7">
      <c r="A209" s="46" t="s">
        <v>466</v>
      </c>
      <c r="B209" s="47" t="s">
        <v>466</v>
      </c>
      <c r="C209" s="47" t="s">
        <v>467</v>
      </c>
      <c r="D209" s="48" t="s">
        <v>1163</v>
      </c>
      <c r="E209" s="47" t="s">
        <v>470</v>
      </c>
      <c r="F209" s="47" t="s">
        <v>1164</v>
      </c>
      <c r="G209" s="47" t="s">
        <v>932</v>
      </c>
    </row>
    <row r="210" spans="1:7">
      <c r="A210" s="46" t="s">
        <v>468</v>
      </c>
      <c r="B210" s="47" t="s">
        <v>468</v>
      </c>
      <c r="C210" s="47" t="s">
        <v>469</v>
      </c>
      <c r="D210" s="48">
        <v>4</v>
      </c>
      <c r="E210" s="47"/>
      <c r="F210" s="47" t="s">
        <v>1165</v>
      </c>
      <c r="G210" s="52" t="s">
        <v>933</v>
      </c>
    </row>
    <row r="211" spans="1:7">
      <c r="A211" s="46" t="s">
        <v>470</v>
      </c>
      <c r="B211" s="47" t="s">
        <v>470</v>
      </c>
      <c r="C211" s="47" t="s">
        <v>471</v>
      </c>
      <c r="D211" s="48" t="s">
        <v>927</v>
      </c>
      <c r="E211" s="47"/>
      <c r="F211" s="47" t="s">
        <v>1130</v>
      </c>
      <c r="G211" s="47" t="s">
        <v>934</v>
      </c>
    </row>
    <row r="212" spans="1:7">
      <c r="A212" s="46" t="s">
        <v>472</v>
      </c>
      <c r="B212" s="47" t="s">
        <v>472</v>
      </c>
      <c r="C212" s="47" t="s">
        <v>473</v>
      </c>
      <c r="D212" s="48" t="s">
        <v>927</v>
      </c>
      <c r="E212" s="47"/>
      <c r="F212" s="47" t="s">
        <v>1131</v>
      </c>
      <c r="G212" s="47" t="s">
        <v>935</v>
      </c>
    </row>
    <row r="213" spans="1:7">
      <c r="A213" s="46" t="s">
        <v>474</v>
      </c>
      <c r="B213" s="47" t="s">
        <v>474</v>
      </c>
      <c r="C213" s="47" t="s">
        <v>475</v>
      </c>
      <c r="D213" s="48" t="s">
        <v>927</v>
      </c>
      <c r="E213" s="47"/>
      <c r="F213" s="47" t="s">
        <v>1132</v>
      </c>
      <c r="G213" s="47" t="s">
        <v>936</v>
      </c>
    </row>
    <row r="214" spans="1:7">
      <c r="A214" s="46" t="s">
        <v>510</v>
      </c>
      <c r="B214" s="47" t="s">
        <v>510</v>
      </c>
      <c r="C214" s="47" t="s">
        <v>511</v>
      </c>
      <c r="D214" s="48">
        <v>3</v>
      </c>
      <c r="E214" s="47" t="s">
        <v>1376</v>
      </c>
      <c r="F214" s="47" t="s">
        <v>1133</v>
      </c>
      <c r="G214" s="47" t="s">
        <v>937</v>
      </c>
    </row>
    <row r="215" spans="1:7">
      <c r="A215" s="46" t="s">
        <v>478</v>
      </c>
      <c r="B215" s="47" t="s">
        <v>478</v>
      </c>
      <c r="C215" s="47" t="s">
        <v>479</v>
      </c>
      <c r="D215" s="48">
        <v>3</v>
      </c>
      <c r="E215" s="47" t="s">
        <v>1377</v>
      </c>
      <c r="F215" s="47" t="s">
        <v>1134</v>
      </c>
      <c r="G215" s="47" t="s">
        <v>938</v>
      </c>
    </row>
    <row r="216" spans="1:7">
      <c r="A216" s="46" t="s">
        <v>480</v>
      </c>
      <c r="B216" s="47" t="s">
        <v>480</v>
      </c>
      <c r="C216" s="47" t="s">
        <v>481</v>
      </c>
      <c r="D216" s="48">
        <v>3</v>
      </c>
      <c r="E216" s="47" t="s">
        <v>1378</v>
      </c>
      <c r="F216" s="47" t="s">
        <v>1135</v>
      </c>
      <c r="G216" s="47" t="s">
        <v>939</v>
      </c>
    </row>
    <row r="217" spans="1:7">
      <c r="A217" s="46" t="s">
        <v>512</v>
      </c>
      <c r="B217" s="47" t="s">
        <v>512</v>
      </c>
      <c r="C217" s="47" t="s">
        <v>513</v>
      </c>
      <c r="D217" s="48">
        <v>3</v>
      </c>
      <c r="E217" s="47" t="s">
        <v>510</v>
      </c>
      <c r="F217" s="47" t="s">
        <v>1136</v>
      </c>
      <c r="G217" s="47" t="s">
        <v>940</v>
      </c>
    </row>
    <row r="218" spans="1:7">
      <c r="A218" s="46" t="s">
        <v>484</v>
      </c>
      <c r="B218" s="47" t="s">
        <v>484</v>
      </c>
      <c r="C218" s="47" t="s">
        <v>485</v>
      </c>
      <c r="D218" s="48">
        <v>3</v>
      </c>
      <c r="E218" s="47" t="s">
        <v>1379</v>
      </c>
      <c r="F218" s="47" t="s">
        <v>1137</v>
      </c>
      <c r="G218" s="47" t="s">
        <v>941</v>
      </c>
    </row>
    <row r="219" spans="1:7">
      <c r="A219" s="46" t="s">
        <v>516</v>
      </c>
      <c r="B219" s="47" t="s">
        <v>516</v>
      </c>
      <c r="C219" s="47" t="s">
        <v>517</v>
      </c>
      <c r="D219" s="48">
        <v>3</v>
      </c>
      <c r="E219" s="47" t="s">
        <v>1380</v>
      </c>
      <c r="F219" s="47" t="s">
        <v>1138</v>
      </c>
      <c r="G219" s="47" t="s">
        <v>942</v>
      </c>
    </row>
    <row r="220" spans="1:7">
      <c r="A220" s="46" t="s">
        <v>518</v>
      </c>
      <c r="B220" s="47" t="s">
        <v>518</v>
      </c>
      <c r="C220" s="47" t="s">
        <v>519</v>
      </c>
      <c r="D220" s="48">
        <v>3</v>
      </c>
      <c r="E220" s="47" t="s">
        <v>1381</v>
      </c>
      <c r="F220" s="47" t="s">
        <v>1139</v>
      </c>
      <c r="G220" s="47" t="s">
        <v>943</v>
      </c>
    </row>
    <row r="221" spans="1:7">
      <c r="A221" s="46" t="s">
        <v>520</v>
      </c>
      <c r="B221" s="47" t="s">
        <v>520</v>
      </c>
      <c r="C221" s="47" t="s">
        <v>566</v>
      </c>
      <c r="D221" s="48">
        <v>3</v>
      </c>
      <c r="E221" s="47"/>
      <c r="F221" s="47" t="s">
        <v>1171</v>
      </c>
      <c r="G221" s="47" t="s">
        <v>944</v>
      </c>
    </row>
    <row r="222" spans="1:7">
      <c r="A222" s="46" t="s">
        <v>522</v>
      </c>
      <c r="B222" s="47" t="s">
        <v>522</v>
      </c>
      <c r="C222" s="47" t="s">
        <v>523</v>
      </c>
      <c r="D222" s="48">
        <v>3</v>
      </c>
      <c r="E222" s="47"/>
      <c r="F222" s="47" t="s">
        <v>1140</v>
      </c>
      <c r="G222" s="47" t="s">
        <v>945</v>
      </c>
    </row>
    <row r="223" spans="1:7">
      <c r="A223" s="46" t="s">
        <v>526</v>
      </c>
      <c r="B223" s="47" t="s">
        <v>526</v>
      </c>
      <c r="C223" s="47" t="s">
        <v>527</v>
      </c>
      <c r="D223" s="48">
        <v>3</v>
      </c>
      <c r="E223" s="47"/>
      <c r="F223" s="47" t="s">
        <v>1141</v>
      </c>
      <c r="G223" s="47" t="s">
        <v>946</v>
      </c>
    </row>
    <row r="224" spans="1:7">
      <c r="A224" s="46" t="s">
        <v>496</v>
      </c>
      <c r="B224" s="47" t="s">
        <v>496</v>
      </c>
      <c r="C224" s="47" t="s">
        <v>497</v>
      </c>
      <c r="D224" s="48">
        <v>3</v>
      </c>
      <c r="E224" s="47" t="s">
        <v>1382</v>
      </c>
      <c r="F224" s="47" t="s">
        <v>1142</v>
      </c>
      <c r="G224" s="47" t="s">
        <v>947</v>
      </c>
    </row>
    <row r="225" spans="1:7">
      <c r="A225" s="46" t="s">
        <v>528</v>
      </c>
      <c r="B225" s="47" t="s">
        <v>528</v>
      </c>
      <c r="C225" s="47" t="s">
        <v>529</v>
      </c>
      <c r="D225" s="48">
        <v>3</v>
      </c>
      <c r="E225" s="47"/>
      <c r="F225" s="47" t="s">
        <v>1143</v>
      </c>
      <c r="G225" s="47" t="s">
        <v>948</v>
      </c>
    </row>
    <row r="226" spans="1:7">
      <c r="A226" s="46" t="s">
        <v>500</v>
      </c>
      <c r="B226" s="47" t="s">
        <v>500</v>
      </c>
      <c r="C226" s="47" t="s">
        <v>501</v>
      </c>
      <c r="D226" s="48">
        <v>3</v>
      </c>
      <c r="E226" s="47"/>
      <c r="F226" s="47" t="s">
        <v>1144</v>
      </c>
      <c r="G226" s="47" t="s">
        <v>949</v>
      </c>
    </row>
    <row r="227" spans="1:7">
      <c r="A227" s="46" t="s">
        <v>530</v>
      </c>
      <c r="B227" s="47" t="s">
        <v>530</v>
      </c>
      <c r="C227" s="47" t="s">
        <v>531</v>
      </c>
      <c r="D227" s="48">
        <v>3</v>
      </c>
      <c r="E227" s="47"/>
      <c r="F227" s="47" t="s">
        <v>1145</v>
      </c>
      <c r="G227" s="47" t="s">
        <v>950</v>
      </c>
    </row>
    <row r="228" spans="1:7">
      <c r="A228" s="46" t="s">
        <v>532</v>
      </c>
      <c r="B228" s="47" t="s">
        <v>532</v>
      </c>
      <c r="C228" s="47" t="s">
        <v>533</v>
      </c>
      <c r="D228" s="48">
        <v>3</v>
      </c>
      <c r="E228" s="47" t="s">
        <v>512</v>
      </c>
      <c r="F228" s="47" t="s">
        <v>1146</v>
      </c>
      <c r="G228" s="47" t="s">
        <v>951</v>
      </c>
    </row>
    <row r="229" spans="1:7">
      <c r="A229" s="46" t="s">
        <v>506</v>
      </c>
      <c r="B229" s="47" t="s">
        <v>506</v>
      </c>
      <c r="C229" s="47" t="s">
        <v>507</v>
      </c>
      <c r="D229" s="48">
        <v>3</v>
      </c>
      <c r="E229" s="47"/>
      <c r="F229" s="47" t="s">
        <v>1147</v>
      </c>
      <c r="G229" s="47" t="s">
        <v>952</v>
      </c>
    </row>
    <row r="230" spans="1:7">
      <c r="A230" s="46" t="s">
        <v>534</v>
      </c>
      <c r="B230" s="47" t="s">
        <v>534</v>
      </c>
      <c r="C230" s="47" t="s">
        <v>535</v>
      </c>
      <c r="D230" s="48"/>
      <c r="E230" s="47"/>
      <c r="F230" s="47"/>
      <c r="G230" s="47" t="s">
        <v>953</v>
      </c>
    </row>
    <row r="231" spans="1:7">
      <c r="A231" s="46" t="s">
        <v>1208</v>
      </c>
      <c r="B231" s="47" t="s">
        <v>534</v>
      </c>
      <c r="C231" s="47" t="s">
        <v>536</v>
      </c>
      <c r="D231" s="48"/>
      <c r="E231" s="47"/>
      <c r="F231" s="47"/>
      <c r="G231" s="47" t="s">
        <v>953</v>
      </c>
    </row>
    <row r="232" spans="1:7">
      <c r="A232" s="46" t="s">
        <v>1209</v>
      </c>
      <c r="B232" s="47" t="s">
        <v>534</v>
      </c>
      <c r="C232" s="47" t="s">
        <v>537</v>
      </c>
      <c r="D232" s="48"/>
      <c r="E232" s="47"/>
      <c r="F232" s="47"/>
      <c r="G232" s="47" t="s">
        <v>953</v>
      </c>
    </row>
    <row r="233" spans="1:7">
      <c r="A233" s="46" t="s">
        <v>514</v>
      </c>
      <c r="B233" s="47" t="s">
        <v>514</v>
      </c>
      <c r="C233" s="47" t="s">
        <v>515</v>
      </c>
      <c r="D233" s="48">
        <v>3</v>
      </c>
      <c r="E233" s="47"/>
      <c r="F233" s="47" t="s">
        <v>1148</v>
      </c>
      <c r="G233" s="47" t="s">
        <v>954</v>
      </c>
    </row>
    <row r="234" spans="1:7">
      <c r="A234" s="46" t="s">
        <v>542</v>
      </c>
      <c r="B234" s="47" t="s">
        <v>542</v>
      </c>
      <c r="C234" s="47" t="s">
        <v>543</v>
      </c>
      <c r="D234" s="48">
        <v>3</v>
      </c>
      <c r="E234" s="47" t="s">
        <v>1383</v>
      </c>
      <c r="F234" s="47" t="s">
        <v>1149</v>
      </c>
      <c r="G234" s="47" t="s">
        <v>955</v>
      </c>
    </row>
    <row r="235" spans="1:7">
      <c r="A235" s="46" t="s">
        <v>548</v>
      </c>
      <c r="B235" s="47" t="s">
        <v>548</v>
      </c>
      <c r="C235" s="47" t="s">
        <v>549</v>
      </c>
      <c r="D235" s="48">
        <v>3</v>
      </c>
      <c r="E235" s="47"/>
      <c r="F235" s="47" t="s">
        <v>1150</v>
      </c>
      <c r="G235" s="47" t="s">
        <v>956</v>
      </c>
    </row>
    <row r="236" spans="1:7">
      <c r="A236" s="46" t="s">
        <v>550</v>
      </c>
      <c r="B236" s="47" t="s">
        <v>550</v>
      </c>
      <c r="C236" s="47" t="s">
        <v>551</v>
      </c>
      <c r="D236" s="48">
        <v>3</v>
      </c>
      <c r="E236" s="47"/>
      <c r="F236" s="47" t="s">
        <v>1151</v>
      </c>
      <c r="G236" s="47" t="s">
        <v>957</v>
      </c>
    </row>
    <row r="237" spans="1:7">
      <c r="A237" s="46" t="s">
        <v>734</v>
      </c>
      <c r="B237" s="47" t="s">
        <v>734</v>
      </c>
      <c r="C237" s="47" t="s">
        <v>287</v>
      </c>
      <c r="D237" s="48">
        <v>3</v>
      </c>
      <c r="E237" s="47" t="s">
        <v>1384</v>
      </c>
      <c r="F237" s="47" t="s">
        <v>1152</v>
      </c>
      <c r="G237" s="47" t="s">
        <v>958</v>
      </c>
    </row>
    <row r="238" spans="1:7">
      <c r="A238" s="46" t="s">
        <v>736</v>
      </c>
      <c r="B238" s="47" t="s">
        <v>736</v>
      </c>
      <c r="C238" s="47" t="s">
        <v>525</v>
      </c>
      <c r="D238" s="48">
        <v>3</v>
      </c>
      <c r="E238" s="47"/>
      <c r="F238" s="47" t="s">
        <v>1153</v>
      </c>
      <c r="G238" s="47" t="s">
        <v>959</v>
      </c>
    </row>
    <row r="239" spans="1:7">
      <c r="A239" s="46" t="s">
        <v>738</v>
      </c>
      <c r="B239" s="47" t="s">
        <v>738</v>
      </c>
      <c r="C239" s="47" t="s">
        <v>289</v>
      </c>
      <c r="D239" s="48">
        <v>3</v>
      </c>
      <c r="E239" s="47" t="s">
        <v>1385</v>
      </c>
      <c r="F239" s="47" t="s">
        <v>1154</v>
      </c>
      <c r="G239" s="47" t="s">
        <v>960</v>
      </c>
    </row>
    <row r="240" spans="1:7">
      <c r="A240" s="46" t="s">
        <v>739</v>
      </c>
      <c r="B240" s="47" t="s">
        <v>739</v>
      </c>
      <c r="C240" s="47" t="s">
        <v>291</v>
      </c>
      <c r="D240" s="48">
        <v>3</v>
      </c>
      <c r="E240" s="47" t="s">
        <v>1386</v>
      </c>
      <c r="F240" s="47" t="s">
        <v>1155</v>
      </c>
      <c r="G240" s="47" t="s">
        <v>961</v>
      </c>
    </row>
    <row r="241" spans="1:7">
      <c r="A241" s="46" t="s">
        <v>740</v>
      </c>
      <c r="B241" s="47" t="s">
        <v>740</v>
      </c>
      <c r="C241" s="47" t="s">
        <v>339</v>
      </c>
      <c r="D241" s="48">
        <v>3</v>
      </c>
      <c r="E241" s="47" t="s">
        <v>1387</v>
      </c>
      <c r="F241" s="47" t="s">
        <v>1156</v>
      </c>
      <c r="G241" s="47" t="s">
        <v>962</v>
      </c>
    </row>
    <row r="242" spans="1:7">
      <c r="A242" s="46" t="s">
        <v>742</v>
      </c>
      <c r="B242" s="47" t="s">
        <v>742</v>
      </c>
      <c r="C242" s="47" t="s">
        <v>293</v>
      </c>
      <c r="D242" s="48">
        <v>2</v>
      </c>
      <c r="E242" s="47" t="s">
        <v>1388</v>
      </c>
      <c r="F242" s="47" t="s">
        <v>1157</v>
      </c>
      <c r="G242" s="47" t="s">
        <v>963</v>
      </c>
    </row>
    <row r="243" spans="1:7">
      <c r="A243" s="46" t="s">
        <v>743</v>
      </c>
      <c r="B243" s="47" t="s">
        <v>743</v>
      </c>
      <c r="C243" s="47" t="s">
        <v>341</v>
      </c>
      <c r="D243" s="48">
        <v>3</v>
      </c>
      <c r="E243" s="47" t="s">
        <v>1389</v>
      </c>
      <c r="F243" s="47" t="s">
        <v>1158</v>
      </c>
      <c r="G243" s="47" t="s">
        <v>964</v>
      </c>
    </row>
    <row r="244" spans="1:7">
      <c r="A244" s="46" t="s">
        <v>745</v>
      </c>
      <c r="B244" s="47" t="s">
        <v>745</v>
      </c>
      <c r="C244" s="47" t="s">
        <v>97</v>
      </c>
      <c r="D244" s="48">
        <v>4</v>
      </c>
      <c r="E244" s="47" t="s">
        <v>1390</v>
      </c>
      <c r="F244" s="47" t="s">
        <v>1159</v>
      </c>
      <c r="G244" s="47" t="s">
        <v>965</v>
      </c>
    </row>
    <row r="245" spans="1:7">
      <c r="A245" s="46" t="s">
        <v>747</v>
      </c>
      <c r="B245" s="47" t="s">
        <v>747</v>
      </c>
      <c r="C245" s="47" t="s">
        <v>343</v>
      </c>
      <c r="D245" s="48">
        <v>3</v>
      </c>
      <c r="E245" s="47" t="s">
        <v>1391</v>
      </c>
      <c r="F245" s="47" t="s">
        <v>1160</v>
      </c>
      <c r="G245" s="47" t="s">
        <v>966</v>
      </c>
    </row>
    <row r="246" spans="1:7">
      <c r="A246" s="46" t="s">
        <v>538</v>
      </c>
      <c r="B246" s="47" t="s">
        <v>538</v>
      </c>
      <c r="C246" s="47" t="s">
        <v>539</v>
      </c>
      <c r="D246" s="48">
        <v>3</v>
      </c>
      <c r="E246" s="47"/>
      <c r="F246" s="47"/>
      <c r="G246" s="47" t="s">
        <v>967</v>
      </c>
    </row>
    <row r="247" spans="1:7">
      <c r="A247" s="46" t="s">
        <v>540</v>
      </c>
      <c r="B247" s="47" t="s">
        <v>540</v>
      </c>
      <c r="C247" s="47" t="s">
        <v>541</v>
      </c>
      <c r="D247" s="48">
        <v>3</v>
      </c>
      <c r="E247" s="47"/>
      <c r="F247" s="47"/>
      <c r="G247" s="47" t="s">
        <v>968</v>
      </c>
    </row>
    <row r="248" spans="1:7">
      <c r="A248" s="46" t="s">
        <v>552</v>
      </c>
      <c r="B248" s="47" t="s">
        <v>552</v>
      </c>
      <c r="C248" s="47" t="s">
        <v>553</v>
      </c>
      <c r="D248" s="48">
        <v>3</v>
      </c>
      <c r="E248" s="47"/>
      <c r="F248" s="47" t="s">
        <v>753</v>
      </c>
      <c r="G248" s="47" t="s">
        <v>969</v>
      </c>
    </row>
    <row r="249" spans="1:7">
      <c r="A249" s="46" t="s">
        <v>544</v>
      </c>
      <c r="B249" s="47" t="s">
        <v>544</v>
      </c>
      <c r="C249" s="47" t="s">
        <v>545</v>
      </c>
      <c r="D249" s="48">
        <v>3</v>
      </c>
      <c r="E249" s="47"/>
      <c r="F249" s="47" t="s">
        <v>970</v>
      </c>
      <c r="G249" s="47" t="s">
        <v>971</v>
      </c>
    </row>
    <row r="250" spans="1:7">
      <c r="A250" s="46" t="s">
        <v>546</v>
      </c>
      <c r="B250" s="47" t="s">
        <v>546</v>
      </c>
      <c r="C250" s="47" t="s">
        <v>547</v>
      </c>
      <c r="D250" s="48">
        <v>3</v>
      </c>
      <c r="E250" s="47" t="s">
        <v>1392</v>
      </c>
      <c r="F250" s="47" t="s">
        <v>1161</v>
      </c>
      <c r="G250" s="47" t="s">
        <v>972</v>
      </c>
    </row>
    <row r="251" spans="1:7">
      <c r="A251" s="46" t="s">
        <v>238</v>
      </c>
      <c r="B251" s="47" t="s">
        <v>238</v>
      </c>
      <c r="C251" s="47" t="s">
        <v>1166</v>
      </c>
      <c r="D251" s="48"/>
      <c r="E251" s="47"/>
      <c r="F251" s="47"/>
      <c r="G251" s="47"/>
    </row>
    <row r="252" spans="1:7">
      <c r="A252" s="46" t="s">
        <v>1210</v>
      </c>
      <c r="B252" s="47" t="s">
        <v>238</v>
      </c>
      <c r="C252" s="47" t="s">
        <v>1167</v>
      </c>
      <c r="D252" s="48"/>
      <c r="E252" s="47"/>
      <c r="F252" s="47"/>
      <c r="G252" s="47"/>
    </row>
    <row r="253" spans="1:7">
      <c r="A253" s="46" t="s">
        <v>1211</v>
      </c>
      <c r="B253" s="47" t="s">
        <v>238</v>
      </c>
      <c r="C253" s="47" t="s">
        <v>1168</v>
      </c>
      <c r="D253" s="48"/>
      <c r="E253" s="47"/>
      <c r="F253" s="47"/>
      <c r="G253" s="47"/>
    </row>
    <row r="254" spans="1:7">
      <c r="A254" s="46" t="s">
        <v>1212</v>
      </c>
      <c r="B254" s="47" t="s">
        <v>238</v>
      </c>
      <c r="C254" s="47" t="s">
        <v>1169</v>
      </c>
      <c r="D254" s="48"/>
      <c r="E254" s="47"/>
      <c r="F254" s="47"/>
      <c r="G254" s="47"/>
    </row>
    <row r="255" spans="1:7">
      <c r="A255" s="46" t="s">
        <v>1213</v>
      </c>
      <c r="B255" s="47" t="s">
        <v>238</v>
      </c>
      <c r="C255" s="47" t="s">
        <v>570</v>
      </c>
      <c r="D255" s="48"/>
      <c r="E255" s="47"/>
      <c r="F255" s="47"/>
      <c r="G255" s="47"/>
    </row>
    <row r="256" spans="1:7">
      <c r="A256" s="46" t="s">
        <v>1214</v>
      </c>
      <c r="B256" s="47" t="s">
        <v>225</v>
      </c>
      <c r="C256" s="47" t="s">
        <v>572</v>
      </c>
      <c r="D256" s="48">
        <v>1</v>
      </c>
      <c r="E256" s="47"/>
      <c r="F256" s="47" t="s">
        <v>574</v>
      </c>
      <c r="G256" s="47" t="s">
        <v>825</v>
      </c>
    </row>
    <row r="257" spans="1:7">
      <c r="A257" s="46" t="s">
        <v>1215</v>
      </c>
      <c r="B257" s="47" t="s">
        <v>225</v>
      </c>
      <c r="C257" s="47" t="s">
        <v>571</v>
      </c>
      <c r="D257" s="48">
        <v>1</v>
      </c>
      <c r="E257" s="47"/>
      <c r="F257" s="47" t="s">
        <v>575</v>
      </c>
      <c r="G257" s="47" t="s">
        <v>825</v>
      </c>
    </row>
    <row r="258" spans="1:7">
      <c r="A258" s="46" t="s">
        <v>1216</v>
      </c>
      <c r="B258" s="47" t="s">
        <v>225</v>
      </c>
      <c r="C258" s="47" t="s">
        <v>573</v>
      </c>
      <c r="D258" s="48">
        <v>1</v>
      </c>
      <c r="E258" s="47"/>
      <c r="F258" s="47" t="s">
        <v>576</v>
      </c>
      <c r="G258" s="47" t="s">
        <v>825</v>
      </c>
    </row>
  </sheetData>
  <conditionalFormatting sqref="A1">
    <cfRule type="expression" dxfId="5" priority="1">
      <formula>$F1="N/A"</formula>
    </cfRule>
  </conditionalFormatting>
  <conditionalFormatting sqref="H2:J2568">
    <cfRule type="expression" dxfId="4" priority="2">
      <formula>EXACT(H2, "x")</formula>
    </cfRule>
    <cfRule type="expression" dxfId="3" priority="3">
      <formula>EXACT(H2, "?")</formula>
    </cfRule>
  </conditionalFormatting>
  <hyperlinks>
    <hyperlink ref="G210" r:id="rId1" xr:uid="{EEA4BE93-4B3C-462D-B02A-4437FC83E23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AF94-E0EC-419B-BC10-42258AA3FCD6}">
  <dimension ref="A1:B253"/>
  <sheetViews>
    <sheetView workbookViewId="0">
      <pane ySplit="1" topLeftCell="A2" activePane="bottomLeft" state="frozen"/>
      <selection pane="bottomLeft" activeCell="B4" sqref="B4"/>
    </sheetView>
  </sheetViews>
  <sheetFormatPr defaultRowHeight="15.75"/>
  <cols>
    <col min="1" max="1" width="33.25" style="27" bestFit="1" customWidth="1"/>
    <col min="2" max="2" width="73.375" style="28" customWidth="1"/>
  </cols>
  <sheetData>
    <row r="1" spans="1:2" s="30" customFormat="1">
      <c r="A1" s="23" t="s">
        <v>577</v>
      </c>
      <c r="B1" s="26" t="s">
        <v>582</v>
      </c>
    </row>
    <row r="2" spans="1:2">
      <c r="A2" s="25" t="s">
        <v>60</v>
      </c>
      <c r="B2" s="24" t="s">
        <v>605</v>
      </c>
    </row>
    <row r="3" spans="1:2">
      <c r="A3" s="25" t="s">
        <v>65</v>
      </c>
      <c r="B3" s="24" t="s">
        <v>606</v>
      </c>
    </row>
    <row r="4" spans="1:2">
      <c r="A4" s="25" t="s">
        <v>67</v>
      </c>
      <c r="B4" s="24" t="s">
        <v>607</v>
      </c>
    </row>
    <row r="5" spans="1:2">
      <c r="A5" s="25" t="s">
        <v>349</v>
      </c>
      <c r="B5" s="24" t="s">
        <v>608</v>
      </c>
    </row>
    <row r="6" spans="1:2">
      <c r="A6" s="25" t="s">
        <v>72</v>
      </c>
      <c r="B6" s="24" t="s">
        <v>609</v>
      </c>
    </row>
    <row r="7" spans="1:2">
      <c r="A7" s="25" t="s">
        <v>74</v>
      </c>
      <c r="B7" s="24" t="s">
        <v>610</v>
      </c>
    </row>
    <row r="8" spans="1:2">
      <c r="A8" s="25" t="s">
        <v>445</v>
      </c>
      <c r="B8" s="24" t="s">
        <v>611</v>
      </c>
    </row>
    <row r="9" spans="1:2">
      <c r="A9" s="25" t="s">
        <v>447</v>
      </c>
      <c r="B9" s="24" t="s">
        <v>612</v>
      </c>
    </row>
    <row r="10" spans="1:2">
      <c r="A10" s="25" t="s">
        <v>81</v>
      </c>
      <c r="B10" s="24" t="s">
        <v>613</v>
      </c>
    </row>
    <row r="11" spans="1:2">
      <c r="A11" s="25" t="s">
        <v>83</v>
      </c>
      <c r="B11" s="24" t="s">
        <v>614</v>
      </c>
    </row>
    <row r="12" spans="1:2">
      <c r="A12" s="25" t="s">
        <v>449</v>
      </c>
      <c r="B12" s="24" t="s">
        <v>615</v>
      </c>
    </row>
    <row r="13" spans="1:2">
      <c r="A13" s="27" t="s">
        <v>87</v>
      </c>
      <c r="B13" s="28" t="s">
        <v>579</v>
      </c>
    </row>
    <row r="14" spans="1:2">
      <c r="A14" s="27" t="s">
        <v>89</v>
      </c>
      <c r="B14" s="28" t="s">
        <v>579</v>
      </c>
    </row>
    <row r="15" spans="1:2">
      <c r="A15" s="25" t="s">
        <v>451</v>
      </c>
      <c r="B15" s="24" t="s">
        <v>616</v>
      </c>
    </row>
    <row r="16" spans="1:2">
      <c r="A16" s="25" t="s">
        <v>93</v>
      </c>
      <c r="B16" s="24" t="s">
        <v>617</v>
      </c>
    </row>
    <row r="17" spans="1:2">
      <c r="A17" s="25" t="s">
        <v>453</v>
      </c>
      <c r="B17" s="24" t="s">
        <v>618</v>
      </c>
    </row>
    <row r="18" spans="1:2">
      <c r="A18" s="27" t="s">
        <v>98</v>
      </c>
      <c r="B18" s="28" t="s">
        <v>579</v>
      </c>
    </row>
    <row r="19" spans="1:2">
      <c r="A19" s="27" t="s">
        <v>100</v>
      </c>
      <c r="B19" s="28" t="s">
        <v>579</v>
      </c>
    </row>
    <row r="20" spans="1:2">
      <c r="A20" s="27" t="s">
        <v>102</v>
      </c>
      <c r="B20" s="28" t="s">
        <v>579</v>
      </c>
    </row>
    <row r="21" spans="1:2">
      <c r="A21" s="25" t="s">
        <v>104</v>
      </c>
      <c r="B21" s="24" t="s">
        <v>619</v>
      </c>
    </row>
    <row r="22" spans="1:2">
      <c r="A22" s="25" t="s">
        <v>107</v>
      </c>
      <c r="B22" s="24" t="s">
        <v>620</v>
      </c>
    </row>
    <row r="23" spans="1:2">
      <c r="A23" s="27" t="s">
        <v>109</v>
      </c>
      <c r="B23" s="28" t="s">
        <v>579</v>
      </c>
    </row>
    <row r="24" spans="1:2">
      <c r="A24" s="27" t="s">
        <v>121</v>
      </c>
      <c r="B24" s="28" t="s">
        <v>752</v>
      </c>
    </row>
    <row r="25" spans="1:2">
      <c r="A25" s="27" t="s">
        <v>123</v>
      </c>
      <c r="B25" s="28" t="s">
        <v>752</v>
      </c>
    </row>
    <row r="26" spans="1:2">
      <c r="A26" s="27" t="s">
        <v>125</v>
      </c>
      <c r="B26" s="28" t="s">
        <v>752</v>
      </c>
    </row>
    <row r="27" spans="1:2">
      <c r="A27" s="27" t="s">
        <v>127</v>
      </c>
      <c r="B27" s="28" t="s">
        <v>752</v>
      </c>
    </row>
    <row r="28" spans="1:2">
      <c r="A28" s="27" t="s">
        <v>129</v>
      </c>
      <c r="B28" s="28" t="s">
        <v>752</v>
      </c>
    </row>
    <row r="29" spans="1:2">
      <c r="A29" s="27" t="s">
        <v>131</v>
      </c>
      <c r="B29" s="28" t="s">
        <v>752</v>
      </c>
    </row>
    <row r="30" spans="1:2">
      <c r="A30" s="25" t="s">
        <v>456</v>
      </c>
      <c r="B30" s="24" t="s">
        <v>621</v>
      </c>
    </row>
    <row r="31" spans="1:2">
      <c r="A31" s="25" t="s">
        <v>476</v>
      </c>
      <c r="B31" s="24" t="s">
        <v>622</v>
      </c>
    </row>
    <row r="32" spans="1:2">
      <c r="A32" s="27" t="s">
        <v>138</v>
      </c>
      <c r="B32" s="28" t="s">
        <v>752</v>
      </c>
    </row>
    <row r="33" spans="1:2">
      <c r="A33" s="25" t="s">
        <v>141</v>
      </c>
      <c r="B33" s="24" t="s">
        <v>623</v>
      </c>
    </row>
    <row r="34" spans="1:2">
      <c r="A34" s="25" t="s">
        <v>143</v>
      </c>
      <c r="B34" s="24" t="s">
        <v>623</v>
      </c>
    </row>
    <row r="35" spans="1:2">
      <c r="A35" s="25" t="s">
        <v>145</v>
      </c>
      <c r="B35" s="24" t="s">
        <v>624</v>
      </c>
    </row>
    <row r="36" spans="1:2">
      <c r="A36" s="25" t="s">
        <v>147</v>
      </c>
      <c r="B36" s="24" t="s">
        <v>625</v>
      </c>
    </row>
    <row r="37" spans="1:2">
      <c r="A37" s="25" t="s">
        <v>482</v>
      </c>
      <c r="B37" s="24" t="s">
        <v>626</v>
      </c>
    </row>
    <row r="38" spans="1:2">
      <c r="A38" s="25" t="s">
        <v>151</v>
      </c>
      <c r="B38" s="24" t="s">
        <v>627</v>
      </c>
    </row>
    <row r="39" spans="1:2">
      <c r="A39" s="25" t="s">
        <v>153</v>
      </c>
      <c r="B39" s="24" t="s">
        <v>628</v>
      </c>
    </row>
    <row r="40" spans="1:2">
      <c r="A40" s="25" t="s">
        <v>155</v>
      </c>
      <c r="B40" s="24" t="s">
        <v>629</v>
      </c>
    </row>
    <row r="41" spans="1:2">
      <c r="A41" s="25" t="s">
        <v>157</v>
      </c>
      <c r="B41" s="24" t="s">
        <v>630</v>
      </c>
    </row>
    <row r="42" spans="1:2">
      <c r="A42" s="25" t="s">
        <v>159</v>
      </c>
      <c r="B42" s="24" t="s">
        <v>631</v>
      </c>
    </row>
    <row r="43" spans="1:2">
      <c r="A43" s="25" t="s">
        <v>161</v>
      </c>
      <c r="B43" s="24" t="s">
        <v>632</v>
      </c>
    </row>
    <row r="44" spans="1:2">
      <c r="A44" s="25" t="s">
        <v>163</v>
      </c>
      <c r="B44" s="24" t="s">
        <v>633</v>
      </c>
    </row>
    <row r="45" spans="1:2">
      <c r="A45" s="27" t="s">
        <v>165</v>
      </c>
      <c r="B45" s="28" t="s">
        <v>579</v>
      </c>
    </row>
    <row r="46" spans="1:2">
      <c r="A46" s="25" t="s">
        <v>167</v>
      </c>
      <c r="B46" s="24" t="s">
        <v>634</v>
      </c>
    </row>
    <row r="47" spans="1:2">
      <c r="A47" s="25" t="s">
        <v>169</v>
      </c>
      <c r="B47" s="24" t="s">
        <v>634</v>
      </c>
    </row>
    <row r="48" spans="1:2">
      <c r="A48" s="25" t="s">
        <v>171</v>
      </c>
      <c r="B48" s="24" t="s">
        <v>581</v>
      </c>
    </row>
    <row r="49" spans="1:2">
      <c r="A49" s="25" t="s">
        <v>173</v>
      </c>
      <c r="B49" s="24" t="s">
        <v>581</v>
      </c>
    </row>
    <row r="50" spans="1:2">
      <c r="A50" s="25" t="s">
        <v>175</v>
      </c>
      <c r="B50" s="24" t="s">
        <v>581</v>
      </c>
    </row>
    <row r="51" spans="1:2">
      <c r="A51" s="25" t="s">
        <v>177</v>
      </c>
      <c r="B51" s="24" t="s">
        <v>581</v>
      </c>
    </row>
    <row r="52" spans="1:2">
      <c r="A52" s="25" t="s">
        <v>179</v>
      </c>
      <c r="B52" s="24" t="s">
        <v>581</v>
      </c>
    </row>
    <row r="53" spans="1:2">
      <c r="A53" s="25" t="s">
        <v>486</v>
      </c>
      <c r="B53" s="24" t="s">
        <v>581</v>
      </c>
    </row>
    <row r="54" spans="1:2">
      <c r="A54" s="25" t="s">
        <v>184</v>
      </c>
      <c r="B54" s="24" t="s">
        <v>581</v>
      </c>
    </row>
    <row r="55" spans="1:2">
      <c r="A55" s="25" t="s">
        <v>186</v>
      </c>
      <c r="B55" s="24" t="s">
        <v>581</v>
      </c>
    </row>
    <row r="56" spans="1:2">
      <c r="A56" s="25" t="s">
        <v>188</v>
      </c>
      <c r="B56" s="24" t="s">
        <v>581</v>
      </c>
    </row>
    <row r="57" spans="1:2">
      <c r="A57" s="25" t="s">
        <v>190</v>
      </c>
      <c r="B57" s="24" t="s">
        <v>581</v>
      </c>
    </row>
    <row r="58" spans="1:2">
      <c r="A58" s="25" t="s">
        <v>193</v>
      </c>
      <c r="B58" s="24" t="s">
        <v>581</v>
      </c>
    </row>
    <row r="59" spans="1:2">
      <c r="A59" s="25" t="s">
        <v>195</v>
      </c>
      <c r="B59" s="24" t="s">
        <v>581</v>
      </c>
    </row>
    <row r="60" spans="1:2">
      <c r="A60" s="25" t="s">
        <v>197</v>
      </c>
      <c r="B60" s="24" t="s">
        <v>581</v>
      </c>
    </row>
    <row r="61" spans="1:2">
      <c r="A61" s="25" t="s">
        <v>199</v>
      </c>
      <c r="B61" s="24" t="s">
        <v>581</v>
      </c>
    </row>
    <row r="62" spans="1:2">
      <c r="A62" s="25" t="s">
        <v>201</v>
      </c>
      <c r="B62" s="24" t="s">
        <v>581</v>
      </c>
    </row>
    <row r="63" spans="1:2">
      <c r="A63" s="25" t="s">
        <v>203</v>
      </c>
      <c r="B63" s="24" t="s">
        <v>581</v>
      </c>
    </row>
    <row r="64" spans="1:2">
      <c r="A64" s="27" t="s">
        <v>205</v>
      </c>
      <c r="B64" s="28" t="s">
        <v>579</v>
      </c>
    </row>
    <row r="65" spans="1:2">
      <c r="A65" s="25" t="s">
        <v>208</v>
      </c>
      <c r="B65" s="24" t="s">
        <v>583</v>
      </c>
    </row>
    <row r="66" spans="1:2">
      <c r="A66" s="25" t="s">
        <v>211</v>
      </c>
      <c r="B66" s="24" t="s">
        <v>584</v>
      </c>
    </row>
    <row r="67" spans="1:2">
      <c r="A67" s="25" t="s">
        <v>242</v>
      </c>
      <c r="B67" s="24" t="s">
        <v>585</v>
      </c>
    </row>
    <row r="68" spans="1:2">
      <c r="A68" s="25" t="s">
        <v>215</v>
      </c>
      <c r="B68" s="24" t="s">
        <v>586</v>
      </c>
    </row>
    <row r="69" spans="1:2">
      <c r="A69" s="25" t="s">
        <v>217</v>
      </c>
      <c r="B69" s="24" t="s">
        <v>587</v>
      </c>
    </row>
    <row r="70" spans="1:2">
      <c r="A70" s="25" t="s">
        <v>219</v>
      </c>
      <c r="B70" s="24" t="s">
        <v>588</v>
      </c>
    </row>
    <row r="71" spans="1:2">
      <c r="A71" s="25" t="s">
        <v>117</v>
      </c>
      <c r="B71" s="24" t="s">
        <v>578</v>
      </c>
    </row>
    <row r="72" spans="1:2">
      <c r="A72" s="25" t="s">
        <v>133</v>
      </c>
      <c r="B72" s="24" t="s">
        <v>589</v>
      </c>
    </row>
    <row r="73" spans="1:2">
      <c r="A73" s="27" t="s">
        <v>225</v>
      </c>
      <c r="B73" s="28" t="s">
        <v>752</v>
      </c>
    </row>
    <row r="74" spans="1:2">
      <c r="A74" s="25" t="s">
        <v>136</v>
      </c>
      <c r="B74" s="24" t="s">
        <v>590</v>
      </c>
    </row>
    <row r="75" spans="1:2">
      <c r="A75" s="25" t="s">
        <v>149</v>
      </c>
      <c r="B75" s="24" t="s">
        <v>580</v>
      </c>
    </row>
    <row r="76" spans="1:2">
      <c r="A76" s="27" t="s">
        <v>228</v>
      </c>
      <c r="B76" s="28" t="s">
        <v>752</v>
      </c>
    </row>
    <row r="77" spans="1:2">
      <c r="A77" s="25" t="s">
        <v>230</v>
      </c>
      <c r="B77" s="24" t="s">
        <v>591</v>
      </c>
    </row>
    <row r="78" spans="1:2">
      <c r="A78" s="25" t="s">
        <v>245</v>
      </c>
      <c r="B78" s="24" t="s">
        <v>592</v>
      </c>
    </row>
    <row r="79" spans="1:2">
      <c r="A79" s="25" t="s">
        <v>233</v>
      </c>
      <c r="B79" s="24" t="s">
        <v>593</v>
      </c>
    </row>
    <row r="80" spans="1:2">
      <c r="A80" s="25" t="s">
        <v>236</v>
      </c>
      <c r="B80" s="24" t="s">
        <v>594</v>
      </c>
    </row>
    <row r="81" spans="1:2">
      <c r="A81" s="25" t="s">
        <v>247</v>
      </c>
      <c r="B81" s="24" t="s">
        <v>595</v>
      </c>
    </row>
    <row r="82" spans="1:2">
      <c r="A82" s="25" t="s">
        <v>247</v>
      </c>
      <c r="B82" s="24" t="s">
        <v>656</v>
      </c>
    </row>
    <row r="83" spans="1:2">
      <c r="A83" s="27" t="s">
        <v>249</v>
      </c>
      <c r="B83" s="28" t="s">
        <v>579</v>
      </c>
    </row>
    <row r="84" spans="1:2">
      <c r="A84" s="27" t="s">
        <v>251</v>
      </c>
      <c r="B84" s="28" t="s">
        <v>579</v>
      </c>
    </row>
    <row r="85" spans="1:2">
      <c r="A85" s="27" t="s">
        <v>253</v>
      </c>
      <c r="B85" s="28" t="s">
        <v>579</v>
      </c>
    </row>
    <row r="86" spans="1:2">
      <c r="A86" s="25" t="s">
        <v>255</v>
      </c>
      <c r="B86" s="24" t="s">
        <v>596</v>
      </c>
    </row>
    <row r="87" spans="1:2">
      <c r="A87" s="25" t="s">
        <v>263</v>
      </c>
      <c r="B87" s="24" t="s">
        <v>597</v>
      </c>
    </row>
    <row r="88" spans="1:2">
      <c r="A88" s="25" t="s">
        <v>265</v>
      </c>
      <c r="B88" s="24" t="s">
        <v>598</v>
      </c>
    </row>
    <row r="89" spans="1:2">
      <c r="A89" s="25" t="s">
        <v>181</v>
      </c>
      <c r="B89" s="24" t="s">
        <v>599</v>
      </c>
    </row>
    <row r="90" spans="1:2">
      <c r="A90" s="25" t="s">
        <v>213</v>
      </c>
      <c r="B90" s="24" t="s">
        <v>600</v>
      </c>
    </row>
    <row r="91" spans="1:2">
      <c r="A91" s="25" t="s">
        <v>257</v>
      </c>
      <c r="B91" s="24" t="s">
        <v>601</v>
      </c>
    </row>
    <row r="92" spans="1:2">
      <c r="A92" s="25" t="s">
        <v>259</v>
      </c>
      <c r="B92" s="24" t="s">
        <v>579</v>
      </c>
    </row>
    <row r="93" spans="1:2">
      <c r="A93" s="25" t="s">
        <v>261</v>
      </c>
      <c r="B93" s="24" t="s">
        <v>602</v>
      </c>
    </row>
    <row r="94" spans="1:2">
      <c r="A94" s="25" t="s">
        <v>221</v>
      </c>
      <c r="B94" s="24" t="s">
        <v>603</v>
      </c>
    </row>
    <row r="95" spans="1:2">
      <c r="A95" s="25" t="s">
        <v>223</v>
      </c>
      <c r="B95" s="24" t="s">
        <v>604</v>
      </c>
    </row>
    <row r="96" spans="1:2">
      <c r="A96" s="27" t="s">
        <v>70</v>
      </c>
      <c r="B96" s="28" t="s">
        <v>752</v>
      </c>
    </row>
    <row r="97" spans="1:2">
      <c r="A97" s="27" t="s">
        <v>283</v>
      </c>
      <c r="B97" s="28" t="s">
        <v>752</v>
      </c>
    </row>
    <row r="98" spans="1:2">
      <c r="A98" s="27" t="s">
        <v>294</v>
      </c>
      <c r="B98" s="28" t="s">
        <v>579</v>
      </c>
    </row>
    <row r="99" spans="1:2">
      <c r="A99" s="27" t="s">
        <v>296</v>
      </c>
      <c r="B99" s="28" t="s">
        <v>579</v>
      </c>
    </row>
    <row r="100" spans="1:2">
      <c r="A100" s="27" t="s">
        <v>298</v>
      </c>
      <c r="B100" s="28" t="s">
        <v>579</v>
      </c>
    </row>
    <row r="101" spans="1:2">
      <c r="A101" s="27" t="s">
        <v>301</v>
      </c>
      <c r="B101" s="28" t="s">
        <v>579</v>
      </c>
    </row>
    <row r="102" spans="1:2">
      <c r="A102" s="27" t="s">
        <v>303</v>
      </c>
      <c r="B102" s="28" t="s">
        <v>579</v>
      </c>
    </row>
    <row r="103" spans="1:2">
      <c r="A103" s="27" t="s">
        <v>305</v>
      </c>
      <c r="B103" s="28" t="s">
        <v>752</v>
      </c>
    </row>
    <row r="104" spans="1:2">
      <c r="A104" s="27" t="s">
        <v>307</v>
      </c>
      <c r="B104" s="28" t="s">
        <v>579</v>
      </c>
    </row>
    <row r="105" spans="1:2">
      <c r="A105" s="27" t="s">
        <v>309</v>
      </c>
      <c r="B105" s="28" t="s">
        <v>579</v>
      </c>
    </row>
    <row r="106" spans="1:2">
      <c r="A106" s="27" t="s">
        <v>311</v>
      </c>
      <c r="B106" s="28" t="s">
        <v>579</v>
      </c>
    </row>
    <row r="107" spans="1:2">
      <c r="A107" s="25" t="s">
        <v>313</v>
      </c>
      <c r="B107" s="24" t="s">
        <v>635</v>
      </c>
    </row>
    <row r="108" spans="1:2">
      <c r="A108" s="25" t="s">
        <v>316</v>
      </c>
      <c r="B108" s="24" t="s">
        <v>636</v>
      </c>
    </row>
    <row r="109" spans="1:2">
      <c r="A109" s="25" t="s">
        <v>318</v>
      </c>
      <c r="B109" s="24" t="s">
        <v>637</v>
      </c>
    </row>
    <row r="110" spans="1:2">
      <c r="A110" s="25" t="s">
        <v>320</v>
      </c>
      <c r="B110" s="24" t="s">
        <v>638</v>
      </c>
    </row>
    <row r="111" spans="1:2">
      <c r="A111" s="25" t="s">
        <v>323</v>
      </c>
      <c r="B111" s="24" t="s">
        <v>637</v>
      </c>
    </row>
    <row r="112" spans="1:2">
      <c r="A112" s="25" t="s">
        <v>325</v>
      </c>
      <c r="B112" s="24" t="s">
        <v>639</v>
      </c>
    </row>
    <row r="113" spans="1:2">
      <c r="A113" s="25" t="s">
        <v>327</v>
      </c>
      <c r="B113" s="24" t="s">
        <v>640</v>
      </c>
    </row>
    <row r="114" spans="1:2">
      <c r="A114" s="25" t="s">
        <v>329</v>
      </c>
      <c r="B114" s="24" t="s">
        <v>637</v>
      </c>
    </row>
    <row r="115" spans="1:2">
      <c r="A115" s="25" t="s">
        <v>331</v>
      </c>
      <c r="B115" s="24" t="s">
        <v>637</v>
      </c>
    </row>
    <row r="116" spans="1:2">
      <c r="A116" s="25" t="s">
        <v>334</v>
      </c>
      <c r="B116" s="24" t="s">
        <v>641</v>
      </c>
    </row>
    <row r="117" spans="1:2">
      <c r="A117" s="27" t="s">
        <v>336</v>
      </c>
      <c r="B117" s="28" t="s">
        <v>579</v>
      </c>
    </row>
    <row r="118" spans="1:2">
      <c r="A118" s="29" t="s">
        <v>655</v>
      </c>
      <c r="B118" s="24" t="s">
        <v>579</v>
      </c>
    </row>
    <row r="119" spans="1:2">
      <c r="A119" s="25" t="s">
        <v>488</v>
      </c>
      <c r="B119" s="24" t="s">
        <v>642</v>
      </c>
    </row>
    <row r="120" spans="1:2">
      <c r="A120" s="25" t="s">
        <v>490</v>
      </c>
      <c r="B120" s="24" t="s">
        <v>643</v>
      </c>
    </row>
    <row r="121" spans="1:2">
      <c r="A121" s="25" t="s">
        <v>352</v>
      </c>
      <c r="B121" s="24" t="s">
        <v>644</v>
      </c>
    </row>
    <row r="122" spans="1:2">
      <c r="A122" s="25" t="s">
        <v>492</v>
      </c>
      <c r="B122" s="24" t="s">
        <v>645</v>
      </c>
    </row>
    <row r="123" spans="1:2">
      <c r="A123" s="25" t="s">
        <v>345</v>
      </c>
      <c r="B123" s="24" t="s">
        <v>646</v>
      </c>
    </row>
    <row r="124" spans="1:2">
      <c r="A124" s="25" t="s">
        <v>355</v>
      </c>
      <c r="B124" s="24" t="s">
        <v>647</v>
      </c>
    </row>
    <row r="125" spans="1:2">
      <c r="A125" s="27" t="s">
        <v>357</v>
      </c>
      <c r="B125" s="28" t="s">
        <v>579</v>
      </c>
    </row>
    <row r="126" spans="1:2">
      <c r="A126" s="25" t="s">
        <v>360</v>
      </c>
      <c r="B126" s="24" t="s">
        <v>648</v>
      </c>
    </row>
    <row r="127" spans="1:2">
      <c r="A127" s="25" t="s">
        <v>362</v>
      </c>
      <c r="B127" s="24" t="s">
        <v>649</v>
      </c>
    </row>
    <row r="128" spans="1:2">
      <c r="A128" s="25" t="s">
        <v>364</v>
      </c>
      <c r="B128" s="24" t="s">
        <v>650</v>
      </c>
    </row>
    <row r="129" spans="1:2">
      <c r="A129" s="25" t="s">
        <v>366</v>
      </c>
      <c r="B129" s="24" t="s">
        <v>651</v>
      </c>
    </row>
    <row r="130" spans="1:2">
      <c r="A130" s="25" t="s">
        <v>494</v>
      </c>
      <c r="B130" s="24" t="s">
        <v>652</v>
      </c>
    </row>
    <row r="131" spans="1:2">
      <c r="A131" s="25" t="s">
        <v>498</v>
      </c>
      <c r="B131" s="24" t="s">
        <v>653</v>
      </c>
    </row>
    <row r="132" spans="1:2">
      <c r="A132" s="25" t="s">
        <v>368</v>
      </c>
      <c r="B132" s="24" t="s">
        <v>654</v>
      </c>
    </row>
    <row r="133" spans="1:2">
      <c r="A133" s="25" t="s">
        <v>502</v>
      </c>
      <c r="B133" s="24" t="s">
        <v>654</v>
      </c>
    </row>
    <row r="134" spans="1:2">
      <c r="A134" s="27" t="s">
        <v>372</v>
      </c>
      <c r="B134" s="28" t="s">
        <v>579</v>
      </c>
    </row>
    <row r="135" spans="1:2">
      <c r="A135" s="25" t="s">
        <v>657</v>
      </c>
      <c r="B135" s="24" t="s">
        <v>658</v>
      </c>
    </row>
    <row r="136" spans="1:2">
      <c r="A136" s="27" t="s">
        <v>657</v>
      </c>
      <c r="B136" s="28" t="s">
        <v>658</v>
      </c>
    </row>
    <row r="137" spans="1:2">
      <c r="A137" s="25" t="s">
        <v>659</v>
      </c>
      <c r="B137" s="24" t="s">
        <v>660</v>
      </c>
    </row>
    <row r="138" spans="1:2">
      <c r="A138" s="27" t="s">
        <v>659</v>
      </c>
      <c r="B138" s="28" t="s">
        <v>660</v>
      </c>
    </row>
    <row r="139" spans="1:2">
      <c r="A139" s="25" t="s">
        <v>661</v>
      </c>
      <c r="B139" s="24" t="s">
        <v>662</v>
      </c>
    </row>
    <row r="140" spans="1:2">
      <c r="A140" s="27" t="s">
        <v>661</v>
      </c>
      <c r="B140" s="28" t="s">
        <v>662</v>
      </c>
    </row>
    <row r="141" spans="1:2">
      <c r="A141" s="25" t="s">
        <v>663</v>
      </c>
      <c r="B141" s="24" t="s">
        <v>664</v>
      </c>
    </row>
    <row r="142" spans="1:2">
      <c r="A142" s="27" t="s">
        <v>663</v>
      </c>
      <c r="B142" s="28" t="s">
        <v>664</v>
      </c>
    </row>
    <row r="143" spans="1:2">
      <c r="A143" s="25" t="s">
        <v>665</v>
      </c>
      <c r="B143" s="24" t="s">
        <v>666</v>
      </c>
    </row>
    <row r="144" spans="1:2">
      <c r="A144" s="27" t="s">
        <v>665</v>
      </c>
      <c r="B144" s="28" t="s">
        <v>666</v>
      </c>
    </row>
    <row r="145" spans="1:2">
      <c r="A145" s="25" t="s">
        <v>76</v>
      </c>
      <c r="B145" s="24" t="s">
        <v>667</v>
      </c>
    </row>
    <row r="146" spans="1:2">
      <c r="A146" s="25" t="s">
        <v>668</v>
      </c>
      <c r="B146" s="24" t="s">
        <v>669</v>
      </c>
    </row>
    <row r="147" spans="1:2">
      <c r="A147" s="27" t="s">
        <v>668</v>
      </c>
      <c r="B147" s="28" t="s">
        <v>669</v>
      </c>
    </row>
    <row r="148" spans="1:2">
      <c r="A148" s="25" t="s">
        <v>79</v>
      </c>
      <c r="B148" s="24" t="s">
        <v>667</v>
      </c>
    </row>
    <row r="149" spans="1:2">
      <c r="A149" s="25" t="s">
        <v>670</v>
      </c>
      <c r="B149" s="24" t="s">
        <v>671</v>
      </c>
    </row>
    <row r="150" spans="1:2">
      <c r="A150" s="27" t="s">
        <v>670</v>
      </c>
      <c r="B150" s="28" t="s">
        <v>671</v>
      </c>
    </row>
    <row r="151" spans="1:2">
      <c r="A151" s="25" t="s">
        <v>672</v>
      </c>
      <c r="B151" s="24" t="s">
        <v>673</v>
      </c>
    </row>
    <row r="152" spans="1:2">
      <c r="A152" s="27" t="s">
        <v>672</v>
      </c>
      <c r="B152" s="28" t="s">
        <v>673</v>
      </c>
    </row>
    <row r="153" spans="1:2">
      <c r="A153" s="25" t="s">
        <v>674</v>
      </c>
      <c r="B153" s="24" t="s">
        <v>675</v>
      </c>
    </row>
    <row r="154" spans="1:2">
      <c r="A154" s="27" t="s">
        <v>674</v>
      </c>
      <c r="B154" s="28" t="s">
        <v>675</v>
      </c>
    </row>
    <row r="155" spans="1:2">
      <c r="A155" s="25" t="s">
        <v>676</v>
      </c>
      <c r="B155" s="24" t="s">
        <v>677</v>
      </c>
    </row>
    <row r="156" spans="1:2">
      <c r="A156" s="27" t="s">
        <v>676</v>
      </c>
      <c r="B156" s="28" t="s">
        <v>677</v>
      </c>
    </row>
    <row r="157" spans="1:2">
      <c r="A157" s="25" t="s">
        <v>678</v>
      </c>
      <c r="B157" s="24" t="s">
        <v>679</v>
      </c>
    </row>
    <row r="158" spans="1:2">
      <c r="A158" s="27" t="s">
        <v>678</v>
      </c>
      <c r="B158" s="28" t="s">
        <v>679</v>
      </c>
    </row>
    <row r="159" spans="1:2">
      <c r="A159" s="25" t="s">
        <v>680</v>
      </c>
      <c r="B159" s="24" t="s">
        <v>681</v>
      </c>
    </row>
    <row r="160" spans="1:2">
      <c r="A160" s="27" t="s">
        <v>680</v>
      </c>
      <c r="B160" s="28" t="s">
        <v>681</v>
      </c>
    </row>
    <row r="161" spans="1:2">
      <c r="A161" s="25" t="s">
        <v>682</v>
      </c>
      <c r="B161" s="24" t="s">
        <v>683</v>
      </c>
    </row>
    <row r="162" spans="1:2">
      <c r="A162" s="27" t="s">
        <v>682</v>
      </c>
      <c r="B162" s="28" t="s">
        <v>683</v>
      </c>
    </row>
    <row r="163" spans="1:2">
      <c r="A163" s="25" t="s">
        <v>684</v>
      </c>
      <c r="B163" s="24" t="s">
        <v>675</v>
      </c>
    </row>
    <row r="164" spans="1:2">
      <c r="A164" s="27" t="s">
        <v>684</v>
      </c>
      <c r="B164" s="28" t="s">
        <v>675</v>
      </c>
    </row>
    <row r="165" spans="1:2">
      <c r="A165" s="25" t="s">
        <v>685</v>
      </c>
      <c r="B165" s="24" t="s">
        <v>686</v>
      </c>
    </row>
    <row r="166" spans="1:2">
      <c r="A166" s="27" t="s">
        <v>685</v>
      </c>
      <c r="B166" s="28" t="s">
        <v>686</v>
      </c>
    </row>
    <row r="167" spans="1:2">
      <c r="A167" s="25" t="s">
        <v>687</v>
      </c>
      <c r="B167" s="24" t="s">
        <v>688</v>
      </c>
    </row>
    <row r="168" spans="1:2">
      <c r="A168" s="27" t="s">
        <v>687</v>
      </c>
      <c r="B168" s="28" t="s">
        <v>688</v>
      </c>
    </row>
    <row r="169" spans="1:2">
      <c r="A169" s="25" t="s">
        <v>689</v>
      </c>
      <c r="B169" s="24" t="s">
        <v>690</v>
      </c>
    </row>
    <row r="170" spans="1:2">
      <c r="A170" s="27" t="s">
        <v>689</v>
      </c>
      <c r="B170" s="28" t="s">
        <v>690</v>
      </c>
    </row>
    <row r="171" spans="1:2">
      <c r="A171" s="25" t="s">
        <v>691</v>
      </c>
      <c r="B171" s="24" t="s">
        <v>692</v>
      </c>
    </row>
    <row r="172" spans="1:2">
      <c r="A172" s="27" t="s">
        <v>691</v>
      </c>
      <c r="B172" s="28" t="s">
        <v>692</v>
      </c>
    </row>
    <row r="173" spans="1:2">
      <c r="A173" s="25" t="s">
        <v>693</v>
      </c>
      <c r="B173" s="24" t="s">
        <v>677</v>
      </c>
    </row>
    <row r="174" spans="1:2">
      <c r="A174" s="27" t="s">
        <v>693</v>
      </c>
      <c r="B174" s="28" t="s">
        <v>677</v>
      </c>
    </row>
    <row r="175" spans="1:2">
      <c r="A175" s="25" t="s">
        <v>694</v>
      </c>
      <c r="B175" s="24" t="s">
        <v>695</v>
      </c>
    </row>
    <row r="176" spans="1:2">
      <c r="A176" s="27" t="s">
        <v>694</v>
      </c>
      <c r="B176" s="28" t="s">
        <v>695</v>
      </c>
    </row>
    <row r="177" spans="1:2">
      <c r="A177" s="25" t="s">
        <v>696</v>
      </c>
      <c r="B177" s="24" t="s">
        <v>697</v>
      </c>
    </row>
    <row r="178" spans="1:2">
      <c r="A178" s="27" t="s">
        <v>696</v>
      </c>
      <c r="B178" s="28" t="s">
        <v>697</v>
      </c>
    </row>
    <row r="179" spans="1:2">
      <c r="A179" s="25" t="s">
        <v>698</v>
      </c>
      <c r="B179" s="24" t="s">
        <v>690</v>
      </c>
    </row>
    <row r="180" spans="1:2">
      <c r="A180" s="27" t="s">
        <v>698</v>
      </c>
      <c r="B180" s="28" t="s">
        <v>690</v>
      </c>
    </row>
    <row r="181" spans="1:2">
      <c r="A181" s="25" t="s">
        <v>91</v>
      </c>
      <c r="B181" s="24" t="s">
        <v>699</v>
      </c>
    </row>
    <row r="182" spans="1:2">
      <c r="A182" s="27" t="s">
        <v>91</v>
      </c>
      <c r="B182" s="28" t="s">
        <v>699</v>
      </c>
    </row>
    <row r="183" spans="1:2">
      <c r="A183" s="25" t="s">
        <v>427</v>
      </c>
      <c r="B183" s="24" t="s">
        <v>700</v>
      </c>
    </row>
    <row r="184" spans="1:2">
      <c r="A184" s="25" t="s">
        <v>429</v>
      </c>
      <c r="B184" s="24" t="s">
        <v>701</v>
      </c>
    </row>
    <row r="185" spans="1:2">
      <c r="A185" s="25" t="s">
        <v>431</v>
      </c>
      <c r="B185" s="24" t="s">
        <v>702</v>
      </c>
    </row>
    <row r="186" spans="1:2">
      <c r="A186" s="25" t="s">
        <v>433</v>
      </c>
      <c r="B186" s="24" t="s">
        <v>703</v>
      </c>
    </row>
    <row r="187" spans="1:2">
      <c r="A187" s="25" t="s">
        <v>435</v>
      </c>
      <c r="B187" s="24" t="s">
        <v>704</v>
      </c>
    </row>
    <row r="188" spans="1:2">
      <c r="A188" s="25" t="s">
        <v>437</v>
      </c>
      <c r="B188" s="24" t="s">
        <v>705</v>
      </c>
    </row>
    <row r="189" spans="1:2">
      <c r="A189" s="25" t="s">
        <v>439</v>
      </c>
      <c r="B189" s="24" t="s">
        <v>706</v>
      </c>
    </row>
    <row r="190" spans="1:2">
      <c r="A190" s="25" t="s">
        <v>441</v>
      </c>
      <c r="B190" s="24" t="s">
        <v>705</v>
      </c>
    </row>
    <row r="191" spans="1:2">
      <c r="A191" s="25" t="s">
        <v>443</v>
      </c>
      <c r="B191" s="24" t="s">
        <v>707</v>
      </c>
    </row>
    <row r="192" spans="1:2">
      <c r="A192" s="25" t="s">
        <v>370</v>
      </c>
      <c r="B192" s="24" t="s">
        <v>708</v>
      </c>
    </row>
    <row r="193" spans="1:2">
      <c r="A193" s="25" t="s">
        <v>374</v>
      </c>
      <c r="B193" s="24" t="s">
        <v>709</v>
      </c>
    </row>
    <row r="194" spans="1:2">
      <c r="A194" s="25" t="s">
        <v>384</v>
      </c>
      <c r="B194" s="24" t="s">
        <v>710</v>
      </c>
    </row>
    <row r="195" spans="1:2">
      <c r="A195" s="25" t="s">
        <v>388</v>
      </c>
      <c r="B195" s="24" t="s">
        <v>711</v>
      </c>
    </row>
    <row r="196" spans="1:2">
      <c r="A196" s="25" t="s">
        <v>400</v>
      </c>
      <c r="B196" s="24" t="s">
        <v>712</v>
      </c>
    </row>
    <row r="197" spans="1:2">
      <c r="A197" s="25" t="s">
        <v>423</v>
      </c>
      <c r="B197" s="24" t="s">
        <v>712</v>
      </c>
    </row>
    <row r="198" spans="1:2">
      <c r="A198" s="25" t="s">
        <v>425</v>
      </c>
      <c r="B198" s="24" t="s">
        <v>713</v>
      </c>
    </row>
    <row r="199" spans="1:2">
      <c r="A199" s="25" t="s">
        <v>458</v>
      </c>
      <c r="B199" s="24" t="s">
        <v>714</v>
      </c>
    </row>
    <row r="200" spans="1:2">
      <c r="A200" s="25" t="s">
        <v>460</v>
      </c>
      <c r="B200" s="24" t="s">
        <v>714</v>
      </c>
    </row>
    <row r="201" spans="1:2">
      <c r="A201" s="25" t="s">
        <v>462</v>
      </c>
      <c r="B201" s="24" t="s">
        <v>714</v>
      </c>
    </row>
    <row r="202" spans="1:2">
      <c r="A202" s="25" t="s">
        <v>464</v>
      </c>
      <c r="B202" s="24" t="s">
        <v>714</v>
      </c>
    </row>
    <row r="203" spans="1:2">
      <c r="A203" s="25" t="s">
        <v>466</v>
      </c>
      <c r="B203" s="24" t="s">
        <v>714</v>
      </c>
    </row>
    <row r="204" spans="1:2">
      <c r="A204" s="27" t="s">
        <v>468</v>
      </c>
      <c r="B204" s="28" t="s">
        <v>579</v>
      </c>
    </row>
    <row r="205" spans="1:2">
      <c r="A205" s="25" t="s">
        <v>470</v>
      </c>
      <c r="B205" s="24" t="s">
        <v>715</v>
      </c>
    </row>
    <row r="206" spans="1:2">
      <c r="A206" s="25" t="s">
        <v>472</v>
      </c>
      <c r="B206" s="24" t="s">
        <v>716</v>
      </c>
    </row>
    <row r="207" spans="1:2">
      <c r="A207" s="27" t="s">
        <v>474</v>
      </c>
      <c r="B207" s="28" t="s">
        <v>579</v>
      </c>
    </row>
    <row r="208" spans="1:2">
      <c r="A208" s="25" t="s">
        <v>510</v>
      </c>
      <c r="B208" s="24" t="s">
        <v>717</v>
      </c>
    </row>
    <row r="209" spans="1:2">
      <c r="A209" s="25" t="s">
        <v>478</v>
      </c>
      <c r="B209" s="24" t="s">
        <v>718</v>
      </c>
    </row>
    <row r="210" spans="1:2">
      <c r="A210" s="25" t="s">
        <v>480</v>
      </c>
      <c r="B210" s="24" t="s">
        <v>719</v>
      </c>
    </row>
    <row r="211" spans="1:2">
      <c r="A211" s="25" t="s">
        <v>512</v>
      </c>
      <c r="B211" s="24" t="s">
        <v>720</v>
      </c>
    </row>
    <row r="212" spans="1:2">
      <c r="A212" s="25" t="s">
        <v>484</v>
      </c>
      <c r="B212" s="24" t="s">
        <v>720</v>
      </c>
    </row>
    <row r="213" spans="1:2">
      <c r="A213" s="25" t="s">
        <v>516</v>
      </c>
      <c r="B213" s="24" t="s">
        <v>721</v>
      </c>
    </row>
    <row r="214" spans="1:2">
      <c r="A214" s="25" t="s">
        <v>518</v>
      </c>
      <c r="B214" s="24" t="s">
        <v>722</v>
      </c>
    </row>
    <row r="215" spans="1:2">
      <c r="A215" s="25" t="s">
        <v>520</v>
      </c>
      <c r="B215" s="24" t="s">
        <v>723</v>
      </c>
    </row>
    <row r="216" spans="1:2">
      <c r="A216" s="25" t="s">
        <v>522</v>
      </c>
      <c r="B216" s="24" t="s">
        <v>724</v>
      </c>
    </row>
    <row r="217" spans="1:2">
      <c r="A217" s="25" t="s">
        <v>526</v>
      </c>
      <c r="B217" s="24" t="s">
        <v>725</v>
      </c>
    </row>
    <row r="218" spans="1:2">
      <c r="A218" s="25" t="s">
        <v>496</v>
      </c>
      <c r="B218" s="24" t="s">
        <v>726</v>
      </c>
    </row>
    <row r="219" spans="1:2">
      <c r="A219" s="25" t="s">
        <v>528</v>
      </c>
      <c r="B219" s="24" t="s">
        <v>727</v>
      </c>
    </row>
    <row r="220" spans="1:2">
      <c r="A220" s="25" t="s">
        <v>500</v>
      </c>
      <c r="B220" s="24" t="s">
        <v>727</v>
      </c>
    </row>
    <row r="221" spans="1:2">
      <c r="A221" s="25" t="s">
        <v>530</v>
      </c>
      <c r="B221" s="24" t="s">
        <v>728</v>
      </c>
    </row>
    <row r="222" spans="1:2">
      <c r="A222" s="25" t="s">
        <v>532</v>
      </c>
      <c r="B222" s="24" t="s">
        <v>729</v>
      </c>
    </row>
    <row r="223" spans="1:2">
      <c r="A223" s="25" t="s">
        <v>506</v>
      </c>
      <c r="B223" s="24" t="s">
        <v>726</v>
      </c>
    </row>
    <row r="224" spans="1:2">
      <c r="A224" s="25" t="s">
        <v>534</v>
      </c>
      <c r="B224" s="24" t="s">
        <v>730</v>
      </c>
    </row>
    <row r="225" spans="1:2">
      <c r="A225" s="27" t="s">
        <v>514</v>
      </c>
      <c r="B225" s="28" t="s">
        <v>579</v>
      </c>
    </row>
    <row r="226" spans="1:2">
      <c r="A226" s="25" t="s">
        <v>542</v>
      </c>
      <c r="B226" s="24" t="s">
        <v>731</v>
      </c>
    </row>
    <row r="227" spans="1:2">
      <c r="A227" s="25" t="s">
        <v>548</v>
      </c>
      <c r="B227" s="24" t="s">
        <v>732</v>
      </c>
    </row>
    <row r="228" spans="1:2">
      <c r="A228" s="25" t="s">
        <v>550</v>
      </c>
      <c r="B228" s="24" t="s">
        <v>733</v>
      </c>
    </row>
    <row r="229" spans="1:2">
      <c r="A229" s="25" t="s">
        <v>734</v>
      </c>
      <c r="B229" s="24" t="s">
        <v>735</v>
      </c>
    </row>
    <row r="230" spans="1:2">
      <c r="A230" s="27" t="s">
        <v>734</v>
      </c>
      <c r="B230" s="28" t="s">
        <v>735</v>
      </c>
    </row>
    <row r="231" spans="1:2">
      <c r="A231" s="25" t="s">
        <v>736</v>
      </c>
      <c r="B231" s="24" t="s">
        <v>737</v>
      </c>
    </row>
    <row r="232" spans="1:2">
      <c r="A232" s="27" t="s">
        <v>736</v>
      </c>
      <c r="B232" s="28" t="s">
        <v>737</v>
      </c>
    </row>
    <row r="233" spans="1:2">
      <c r="A233" s="25" t="s">
        <v>738</v>
      </c>
      <c r="B233" s="24" t="s">
        <v>735</v>
      </c>
    </row>
    <row r="234" spans="1:2">
      <c r="A234" s="27" t="s">
        <v>738</v>
      </c>
      <c r="B234" s="28" t="s">
        <v>735</v>
      </c>
    </row>
    <row r="235" spans="1:2">
      <c r="A235" s="25" t="s">
        <v>739</v>
      </c>
      <c r="B235" s="24" t="s">
        <v>735</v>
      </c>
    </row>
    <row r="236" spans="1:2">
      <c r="A236" s="27" t="s">
        <v>739</v>
      </c>
      <c r="B236" s="28" t="s">
        <v>735</v>
      </c>
    </row>
    <row r="237" spans="1:2">
      <c r="A237" s="25" t="s">
        <v>740</v>
      </c>
      <c r="B237" s="24" t="s">
        <v>741</v>
      </c>
    </row>
    <row r="238" spans="1:2">
      <c r="A238" s="27" t="s">
        <v>740</v>
      </c>
      <c r="B238" s="28" t="s">
        <v>741</v>
      </c>
    </row>
    <row r="239" spans="1:2">
      <c r="A239" s="25" t="s">
        <v>742</v>
      </c>
      <c r="B239" s="24" t="s">
        <v>735</v>
      </c>
    </row>
    <row r="240" spans="1:2">
      <c r="A240" s="27" t="s">
        <v>742</v>
      </c>
      <c r="B240" s="28" t="s">
        <v>735</v>
      </c>
    </row>
    <row r="241" spans="1:2">
      <c r="A241" s="25" t="s">
        <v>743</v>
      </c>
      <c r="B241" s="24" t="s">
        <v>744</v>
      </c>
    </row>
    <row r="242" spans="1:2">
      <c r="A242" s="27" t="s">
        <v>743</v>
      </c>
      <c r="B242" s="28" t="s">
        <v>744</v>
      </c>
    </row>
    <row r="243" spans="1:2">
      <c r="A243" s="25" t="s">
        <v>745</v>
      </c>
      <c r="B243" s="24" t="s">
        <v>746</v>
      </c>
    </row>
    <row r="244" spans="1:2">
      <c r="A244" s="27" t="s">
        <v>745</v>
      </c>
      <c r="B244" s="28" t="s">
        <v>746</v>
      </c>
    </row>
    <row r="245" spans="1:2">
      <c r="A245" s="25" t="s">
        <v>747</v>
      </c>
      <c r="B245" s="24" t="s">
        <v>748</v>
      </c>
    </row>
    <row r="246" spans="1:2">
      <c r="A246" s="27" t="s">
        <v>747</v>
      </c>
      <c r="B246" s="28" t="s">
        <v>748</v>
      </c>
    </row>
    <row r="247" spans="1:2">
      <c r="A247" s="27" t="s">
        <v>538</v>
      </c>
      <c r="B247" s="28" t="s">
        <v>752</v>
      </c>
    </row>
    <row r="248" spans="1:2">
      <c r="A248" s="27" t="s">
        <v>540</v>
      </c>
      <c r="B248" s="28" t="s">
        <v>752</v>
      </c>
    </row>
    <row r="249" spans="1:2">
      <c r="A249" s="27" t="s">
        <v>552</v>
      </c>
      <c r="B249" s="28" t="s">
        <v>752</v>
      </c>
    </row>
    <row r="250" spans="1:2">
      <c r="A250" s="25" t="s">
        <v>749</v>
      </c>
      <c r="B250" s="24" t="s">
        <v>750</v>
      </c>
    </row>
    <row r="251" spans="1:2">
      <c r="A251" s="27" t="s">
        <v>749</v>
      </c>
      <c r="B251" s="28" t="s">
        <v>750</v>
      </c>
    </row>
    <row r="252" spans="1:2">
      <c r="A252" s="25" t="s">
        <v>546</v>
      </c>
      <c r="B252" s="24" t="s">
        <v>751</v>
      </c>
    </row>
    <row r="253" spans="1:2">
      <c r="A253" s="27" t="s">
        <v>238</v>
      </c>
      <c r="B253" s="28" t="s">
        <v>752</v>
      </c>
    </row>
  </sheetData>
  <sortState xmlns:xlrd2="http://schemas.microsoft.com/office/spreadsheetml/2017/richdata2" ref="A2:B273">
    <sortCondition ref="A1:A273"/>
  </sortState>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A503-12C4-C242-9FF7-CCF2A4C1463C}">
  <dimension ref="A1:BU255"/>
  <sheetViews>
    <sheetView zoomScaleNormal="100" workbookViewId="0">
      <pane xSplit="6" ySplit="2" topLeftCell="G40" activePane="bottomRight" state="frozen"/>
      <selection pane="topRight" activeCell="G1" sqref="G1"/>
      <selection pane="bottomLeft" activeCell="A3" sqref="A3"/>
      <selection pane="bottomRight" activeCell="A2" sqref="A2"/>
    </sheetView>
  </sheetViews>
  <sheetFormatPr defaultColWidth="10.875" defaultRowHeight="15.75"/>
  <cols>
    <col min="1" max="1" width="16.625" style="1" bestFit="1" customWidth="1"/>
    <col min="2" max="2" width="64.125" style="1" bestFit="1" customWidth="1"/>
    <col min="3" max="3" width="14.125" style="1" bestFit="1" customWidth="1"/>
    <col min="4" max="4" width="15" style="11" bestFit="1" customWidth="1"/>
    <col min="5" max="5" width="51.5" style="1" customWidth="1"/>
    <col min="6" max="6" width="8.375" style="2" customWidth="1"/>
    <col min="7" max="35" width="6.625" style="2" customWidth="1"/>
    <col min="36" max="36" width="6.625" style="16" customWidth="1"/>
    <col min="37" max="66" width="6.625" style="2" customWidth="1"/>
    <col min="67" max="77" width="6.625" style="1" customWidth="1"/>
    <col min="78" max="16384" width="10.875" style="1"/>
  </cols>
  <sheetData>
    <row r="1" spans="1:73" ht="216.75">
      <c r="G1" s="3" t="s">
        <v>0</v>
      </c>
      <c r="H1" s="17" t="s">
        <v>1</v>
      </c>
      <c r="I1" s="3" t="s">
        <v>2</v>
      </c>
      <c r="J1" s="3" t="s">
        <v>3</v>
      </c>
      <c r="K1" s="3" t="s">
        <v>4</v>
      </c>
      <c r="L1" s="17" t="s">
        <v>555</v>
      </c>
      <c r="M1" s="3" t="s">
        <v>5</v>
      </c>
      <c r="N1" s="3" t="s">
        <v>6</v>
      </c>
      <c r="O1" s="3" t="s">
        <v>7</v>
      </c>
      <c r="P1" s="3" t="s">
        <v>8</v>
      </c>
      <c r="Q1" s="3" t="s">
        <v>9</v>
      </c>
      <c r="R1" s="3" t="s">
        <v>10</v>
      </c>
      <c r="S1" s="3" t="s">
        <v>11</v>
      </c>
      <c r="T1" s="3" t="s">
        <v>12</v>
      </c>
      <c r="U1" s="3" t="s">
        <v>13</v>
      </c>
      <c r="V1" s="3" t="s">
        <v>14</v>
      </c>
      <c r="W1" s="3" t="s">
        <v>15</v>
      </c>
      <c r="X1" s="3" t="s">
        <v>16</v>
      </c>
      <c r="Y1" s="3" t="s">
        <v>17</v>
      </c>
      <c r="Z1" s="17" t="s">
        <v>18</v>
      </c>
      <c r="AA1" s="3" t="s">
        <v>18</v>
      </c>
      <c r="AB1" s="3" t="s">
        <v>19</v>
      </c>
      <c r="AC1" s="3" t="s">
        <v>20</v>
      </c>
      <c r="AD1" s="3" t="s">
        <v>21</v>
      </c>
      <c r="AE1" s="3" t="s">
        <v>22</v>
      </c>
      <c r="AF1" s="3" t="s">
        <v>23</v>
      </c>
      <c r="AG1" s="3" t="s">
        <v>24</v>
      </c>
      <c r="AH1" s="3" t="s">
        <v>25</v>
      </c>
      <c r="AI1" s="3" t="s">
        <v>26</v>
      </c>
      <c r="AJ1" s="18" t="s">
        <v>27</v>
      </c>
      <c r="AK1" s="13" t="s">
        <v>27</v>
      </c>
      <c r="AL1" s="13" t="s">
        <v>47</v>
      </c>
      <c r="AM1" s="3" t="s">
        <v>28</v>
      </c>
      <c r="AN1" s="3" t="s">
        <v>29</v>
      </c>
      <c r="AO1" s="3" t="s">
        <v>30</v>
      </c>
      <c r="AP1" s="3" t="s">
        <v>31</v>
      </c>
      <c r="AQ1" s="3" t="s">
        <v>32</v>
      </c>
      <c r="AR1" s="3" t="s">
        <v>33</v>
      </c>
      <c r="AS1" s="3" t="s">
        <v>34</v>
      </c>
      <c r="AT1" s="17" t="s">
        <v>35</v>
      </c>
      <c r="AU1" s="3" t="s">
        <v>36</v>
      </c>
      <c r="AV1" s="3" t="s">
        <v>37</v>
      </c>
      <c r="AW1" s="3" t="s">
        <v>38</v>
      </c>
      <c r="AX1" s="3" t="s">
        <v>39</v>
      </c>
      <c r="AY1" s="3" t="s">
        <v>40</v>
      </c>
      <c r="AZ1" s="3" t="s">
        <v>41</v>
      </c>
      <c r="BA1" s="21" t="s">
        <v>42</v>
      </c>
      <c r="BB1" s="21" t="s">
        <v>556</v>
      </c>
      <c r="BC1" s="3" t="s">
        <v>43</v>
      </c>
      <c r="BD1" s="3" t="s">
        <v>44</v>
      </c>
      <c r="BE1" s="19" t="s">
        <v>14</v>
      </c>
      <c r="BF1" s="19" t="s">
        <v>18</v>
      </c>
      <c r="BG1" s="19" t="s">
        <v>19</v>
      </c>
      <c r="BH1" s="19" t="s">
        <v>20</v>
      </c>
      <c r="BI1" s="19" t="s">
        <v>45</v>
      </c>
      <c r="BJ1" s="19" t="s">
        <v>24</v>
      </c>
      <c r="BK1" s="19" t="s">
        <v>46</v>
      </c>
      <c r="BL1" s="19" t="s">
        <v>27</v>
      </c>
      <c r="BM1" s="19" t="s">
        <v>47</v>
      </c>
      <c r="BN1" s="19" t="s">
        <v>30</v>
      </c>
      <c r="BO1" s="20" t="s">
        <v>48</v>
      </c>
      <c r="BP1" s="20" t="s">
        <v>35</v>
      </c>
      <c r="BQ1" s="20" t="s">
        <v>38</v>
      </c>
      <c r="BR1" s="22" t="s">
        <v>49</v>
      </c>
      <c r="BS1" s="22" t="s">
        <v>50</v>
      </c>
      <c r="BT1" s="20" t="s">
        <v>43</v>
      </c>
      <c r="BU1" s="20" t="s">
        <v>51</v>
      </c>
    </row>
    <row r="2" spans="1:73" ht="24.95" customHeight="1">
      <c r="A2" s="10" t="s">
        <v>554</v>
      </c>
      <c r="B2" s="4" t="s">
        <v>52</v>
      </c>
      <c r="C2" s="4" t="s">
        <v>53</v>
      </c>
      <c r="D2" s="12" t="s">
        <v>54</v>
      </c>
      <c r="E2" s="4" t="s">
        <v>55</v>
      </c>
      <c r="F2" s="4" t="s">
        <v>56</v>
      </c>
      <c r="G2" s="68" t="s">
        <v>57</v>
      </c>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9" t="s">
        <v>58</v>
      </c>
      <c r="BF2" s="69"/>
      <c r="BG2" s="69"/>
      <c r="BH2" s="69"/>
      <c r="BI2" s="69"/>
      <c r="BJ2" s="69"/>
      <c r="BK2" s="69"/>
      <c r="BL2" s="69"/>
      <c r="BM2" s="69"/>
      <c r="BN2" s="69"/>
      <c r="BO2" s="69"/>
      <c r="BP2" s="69"/>
      <c r="BQ2" s="69"/>
      <c r="BR2" s="69"/>
      <c r="BS2" s="69"/>
      <c r="BT2" s="69"/>
      <c r="BU2" s="69"/>
    </row>
    <row r="3" spans="1:73">
      <c r="A3" s="1" t="str">
        <f>IF(B3="uncategorized","No","Yes")</f>
        <v>No</v>
      </c>
      <c r="B3" s="1" t="s">
        <v>59</v>
      </c>
      <c r="C3" s="1" t="s">
        <v>60</v>
      </c>
      <c r="D3" s="11" t="s">
        <v>61</v>
      </c>
      <c r="E3" s="1" t="s">
        <v>62</v>
      </c>
      <c r="F3" s="2">
        <v>4</v>
      </c>
      <c r="G3" s="5"/>
      <c r="H3" s="5" t="s">
        <v>63</v>
      </c>
      <c r="I3" s="5" t="s">
        <v>63</v>
      </c>
      <c r="J3" s="5" t="s">
        <v>63</v>
      </c>
      <c r="K3" s="5" t="s">
        <v>63</v>
      </c>
      <c r="L3" s="5" t="s">
        <v>63</v>
      </c>
      <c r="M3" s="5" t="s">
        <v>63</v>
      </c>
      <c r="N3" s="5" t="s">
        <v>63</v>
      </c>
      <c r="O3" s="5" t="s">
        <v>63</v>
      </c>
      <c r="P3" s="5" t="s">
        <v>63</v>
      </c>
      <c r="Q3" s="5" t="s">
        <v>63</v>
      </c>
      <c r="R3" s="5" t="s">
        <v>63</v>
      </c>
      <c r="S3" s="5" t="s">
        <v>63</v>
      </c>
      <c r="T3" s="5" t="s">
        <v>63</v>
      </c>
      <c r="U3" s="5" t="s">
        <v>63</v>
      </c>
      <c r="V3" s="5" t="s">
        <v>63</v>
      </c>
      <c r="W3" s="5" t="s">
        <v>63</v>
      </c>
      <c r="X3" s="5" t="s">
        <v>63</v>
      </c>
      <c r="Y3" s="5" t="s">
        <v>63</v>
      </c>
      <c r="Z3" s="5" t="s">
        <v>63</v>
      </c>
      <c r="AA3" s="5" t="s">
        <v>63</v>
      </c>
      <c r="AB3" s="5" t="s">
        <v>63</v>
      </c>
      <c r="AC3" s="5" t="s">
        <v>63</v>
      </c>
      <c r="AD3" s="5" t="s">
        <v>63</v>
      </c>
      <c r="AE3" s="5" t="s">
        <v>63</v>
      </c>
      <c r="AF3" s="5" t="s">
        <v>64</v>
      </c>
      <c r="AG3" s="5" t="s">
        <v>63</v>
      </c>
      <c r="AH3" s="5" t="s">
        <v>63</v>
      </c>
      <c r="AI3" s="5" t="s">
        <v>63</v>
      </c>
      <c r="AJ3" s="14" t="s">
        <v>63</v>
      </c>
      <c r="AK3" s="5" t="s">
        <v>63</v>
      </c>
      <c r="AL3" s="5" t="s">
        <v>63</v>
      </c>
      <c r="AM3" s="5" t="s">
        <v>63</v>
      </c>
      <c r="AN3" s="5" t="s">
        <v>63</v>
      </c>
      <c r="AO3" s="5" t="s">
        <v>63</v>
      </c>
      <c r="AP3" s="5" t="s">
        <v>63</v>
      </c>
      <c r="AQ3" s="5" t="s">
        <v>63</v>
      </c>
      <c r="AR3" s="5" t="s">
        <v>63</v>
      </c>
      <c r="AS3" s="6" t="s">
        <v>63</v>
      </c>
      <c r="AT3" s="5" t="s">
        <v>63</v>
      </c>
      <c r="AU3" s="5" t="s">
        <v>63</v>
      </c>
      <c r="AV3" s="5" t="s">
        <v>64</v>
      </c>
      <c r="AW3" s="5" t="s">
        <v>63</v>
      </c>
      <c r="AX3" s="5" t="s">
        <v>63</v>
      </c>
      <c r="AY3" s="5" t="s">
        <v>63</v>
      </c>
      <c r="AZ3" s="5" t="s">
        <v>63</v>
      </c>
      <c r="BA3" s="5" t="s">
        <v>63</v>
      </c>
      <c r="BB3" s="5" t="s">
        <v>63</v>
      </c>
      <c r="BC3" s="5" t="s">
        <v>63</v>
      </c>
      <c r="BD3" s="7" t="s">
        <v>63</v>
      </c>
      <c r="BI3" s="5" t="s">
        <v>64</v>
      </c>
      <c r="BP3" s="5" t="s">
        <v>64</v>
      </c>
    </row>
    <row r="4" spans="1:73">
      <c r="A4" s="1" t="str">
        <f t="shared" ref="A4:A67" si="0">IF(B4="uncategorized","No","Yes")</f>
        <v>No</v>
      </c>
      <c r="B4" s="1" t="s">
        <v>59</v>
      </c>
      <c r="C4" s="1" t="s">
        <v>65</v>
      </c>
      <c r="D4" s="11" t="s">
        <v>61</v>
      </c>
      <c r="E4" s="1" t="s">
        <v>66</v>
      </c>
      <c r="F4" s="2">
        <v>4</v>
      </c>
      <c r="G4" s="5" t="s">
        <v>63</v>
      </c>
      <c r="H4" s="5" t="s">
        <v>63</v>
      </c>
      <c r="I4" s="5" t="s">
        <v>63</v>
      </c>
      <c r="J4" s="5" t="s">
        <v>63</v>
      </c>
      <c r="K4" s="5" t="s">
        <v>63</v>
      </c>
      <c r="L4" s="5" t="s">
        <v>63</v>
      </c>
      <c r="M4" s="5" t="s">
        <v>63</v>
      </c>
      <c r="N4" s="5" t="s">
        <v>63</v>
      </c>
      <c r="O4" s="5" t="s">
        <v>63</v>
      </c>
      <c r="P4" s="5" t="s">
        <v>63</v>
      </c>
      <c r="Q4" s="5" t="s">
        <v>63</v>
      </c>
      <c r="R4" s="5" t="s">
        <v>63</v>
      </c>
      <c r="S4" s="5" t="s">
        <v>63</v>
      </c>
      <c r="T4" s="5" t="s">
        <v>63</v>
      </c>
      <c r="U4" s="5" t="s">
        <v>63</v>
      </c>
      <c r="V4" s="5" t="s">
        <v>63</v>
      </c>
      <c r="W4" s="5" t="s">
        <v>63</v>
      </c>
      <c r="X4" s="5" t="s">
        <v>63</v>
      </c>
      <c r="Y4" s="5" t="s">
        <v>63</v>
      </c>
      <c r="Z4" s="5" t="s">
        <v>63</v>
      </c>
      <c r="AA4" s="5" t="s">
        <v>63</v>
      </c>
      <c r="AB4" s="5" t="s">
        <v>63</v>
      </c>
      <c r="AC4" s="5" t="s">
        <v>63</v>
      </c>
      <c r="AD4" s="5" t="s">
        <v>63</v>
      </c>
      <c r="AE4" s="5" t="s">
        <v>63</v>
      </c>
      <c r="AF4" s="5" t="s">
        <v>63</v>
      </c>
      <c r="AG4" s="5" t="s">
        <v>63</v>
      </c>
      <c r="AH4" s="5" t="s">
        <v>63</v>
      </c>
      <c r="AI4" s="5" t="s">
        <v>63</v>
      </c>
      <c r="AJ4" s="14" t="s">
        <v>64</v>
      </c>
      <c r="AK4" s="5" t="s">
        <v>64</v>
      </c>
      <c r="AL4" s="5" t="s">
        <v>63</v>
      </c>
      <c r="AM4" s="5" t="s">
        <v>64</v>
      </c>
      <c r="AN4" s="5" t="s">
        <v>64</v>
      </c>
      <c r="AO4" s="5" t="s">
        <v>64</v>
      </c>
      <c r="AP4" s="5" t="s">
        <v>63</v>
      </c>
      <c r="AQ4" s="5" t="s">
        <v>63</v>
      </c>
      <c r="AR4" s="5" t="s">
        <v>63</v>
      </c>
      <c r="AS4" s="6" t="s">
        <v>63</v>
      </c>
      <c r="AT4" s="5" t="s">
        <v>63</v>
      </c>
      <c r="AU4" s="5" t="s">
        <v>63</v>
      </c>
      <c r="AV4" s="5" t="s">
        <v>64</v>
      </c>
      <c r="AW4" s="5" t="s">
        <v>63</v>
      </c>
      <c r="AX4" s="5" t="s">
        <v>63</v>
      </c>
      <c r="AY4" s="5" t="s">
        <v>63</v>
      </c>
      <c r="AZ4" s="5" t="s">
        <v>63</v>
      </c>
      <c r="BA4" s="5" t="s">
        <v>63</v>
      </c>
      <c r="BB4" s="5" t="s">
        <v>63</v>
      </c>
      <c r="BC4" s="5" t="s">
        <v>63</v>
      </c>
      <c r="BD4" s="7" t="s">
        <v>63</v>
      </c>
      <c r="BL4" s="5" t="s">
        <v>64</v>
      </c>
      <c r="BN4" s="5" t="s">
        <v>64</v>
      </c>
      <c r="BP4" s="5" t="s">
        <v>64</v>
      </c>
    </row>
    <row r="5" spans="1:73">
      <c r="A5" s="1" t="str">
        <f t="shared" si="0"/>
        <v>No</v>
      </c>
      <c r="B5" s="1" t="s">
        <v>59</v>
      </c>
      <c r="C5" s="1" t="s">
        <v>67</v>
      </c>
      <c r="D5" s="11" t="s">
        <v>61</v>
      </c>
      <c r="E5" s="1" t="s">
        <v>68</v>
      </c>
      <c r="F5" s="2">
        <v>3</v>
      </c>
      <c r="G5" s="5" t="s">
        <v>63</v>
      </c>
      <c r="H5" s="5" t="s">
        <v>63</v>
      </c>
      <c r="I5" s="5" t="s">
        <v>63</v>
      </c>
      <c r="J5" s="5" t="s">
        <v>63</v>
      </c>
      <c r="K5" s="5" t="s">
        <v>63</v>
      </c>
      <c r="L5" s="5" t="s">
        <v>63</v>
      </c>
      <c r="M5" s="5" t="s">
        <v>63</v>
      </c>
      <c r="N5" s="5" t="s">
        <v>63</v>
      </c>
      <c r="O5" s="5" t="s">
        <v>63</v>
      </c>
      <c r="P5" s="5" t="s">
        <v>63</v>
      </c>
      <c r="Q5" s="5" t="s">
        <v>63</v>
      </c>
      <c r="R5" s="5" t="s">
        <v>63</v>
      </c>
      <c r="S5" s="5" t="s">
        <v>63</v>
      </c>
      <c r="T5" s="5" t="s">
        <v>63</v>
      </c>
      <c r="U5" s="5" t="s">
        <v>63</v>
      </c>
      <c r="V5" s="5" t="s">
        <v>63</v>
      </c>
      <c r="W5" s="5" t="s">
        <v>63</v>
      </c>
      <c r="X5" s="5" t="s">
        <v>63</v>
      </c>
      <c r="Y5" s="5" t="s">
        <v>63</v>
      </c>
      <c r="Z5" s="5" t="s">
        <v>63</v>
      </c>
      <c r="AA5" s="5" t="s">
        <v>63</v>
      </c>
      <c r="AB5" s="5" t="s">
        <v>63</v>
      </c>
      <c r="AC5" s="5" t="s">
        <v>63</v>
      </c>
      <c r="AD5" s="5" t="s">
        <v>63</v>
      </c>
      <c r="AE5" s="5" t="s">
        <v>63</v>
      </c>
      <c r="AF5" s="5" t="s">
        <v>63</v>
      </c>
      <c r="AG5" s="5" t="s">
        <v>63</v>
      </c>
      <c r="AH5" s="5" t="s">
        <v>63</v>
      </c>
      <c r="AI5" s="5" t="s">
        <v>63</v>
      </c>
      <c r="AJ5" s="14" t="s">
        <v>63</v>
      </c>
      <c r="AK5" s="5" t="s">
        <v>63</v>
      </c>
      <c r="AL5" s="5" t="s">
        <v>63</v>
      </c>
      <c r="AM5" s="5" t="s">
        <v>63</v>
      </c>
      <c r="AN5" s="5" t="s">
        <v>63</v>
      </c>
      <c r="AO5" s="5" t="s">
        <v>63</v>
      </c>
      <c r="AP5" s="5" t="s">
        <v>63</v>
      </c>
      <c r="AQ5" s="5" t="s">
        <v>63</v>
      </c>
      <c r="AR5" s="5" t="s">
        <v>63</v>
      </c>
      <c r="AS5" s="8" t="s">
        <v>63</v>
      </c>
      <c r="AT5" s="5" t="s">
        <v>63</v>
      </c>
      <c r="AU5" s="5" t="s">
        <v>63</v>
      </c>
      <c r="AV5" s="5" t="s">
        <v>63</v>
      </c>
      <c r="AW5" s="5" t="s">
        <v>63</v>
      </c>
      <c r="AX5" s="5" t="s">
        <v>63</v>
      </c>
      <c r="AY5" s="5" t="s">
        <v>63</v>
      </c>
      <c r="AZ5" s="5" t="s">
        <v>63</v>
      </c>
      <c r="BA5" s="5" t="s">
        <v>63</v>
      </c>
      <c r="BB5" s="5" t="s">
        <v>63</v>
      </c>
      <c r="BC5" s="5" t="s">
        <v>63</v>
      </c>
      <c r="BD5" s="5" t="s">
        <v>63</v>
      </c>
    </row>
    <row r="6" spans="1:73">
      <c r="A6" s="1" t="str">
        <f t="shared" si="0"/>
        <v>Yes</v>
      </c>
      <c r="B6" s="1" t="s">
        <v>69</v>
      </c>
      <c r="C6" s="1" t="s">
        <v>70</v>
      </c>
      <c r="E6" s="1" t="s">
        <v>71</v>
      </c>
      <c r="F6" s="2" t="s">
        <v>63</v>
      </c>
      <c r="G6" s="5" t="s">
        <v>63</v>
      </c>
      <c r="H6" s="5" t="s">
        <v>63</v>
      </c>
      <c r="I6" s="5" t="s">
        <v>63</v>
      </c>
      <c r="J6" s="5" t="s">
        <v>63</v>
      </c>
      <c r="K6" s="5" t="s">
        <v>63</v>
      </c>
      <c r="L6" s="5" t="s">
        <v>63</v>
      </c>
      <c r="M6" s="5" t="s">
        <v>63</v>
      </c>
      <c r="N6" s="5" t="s">
        <v>63</v>
      </c>
      <c r="O6" s="5" t="s">
        <v>63</v>
      </c>
      <c r="P6" s="5" t="s">
        <v>63</v>
      </c>
      <c r="Q6" s="5" t="s">
        <v>63</v>
      </c>
      <c r="R6" s="5" t="s">
        <v>63</v>
      </c>
      <c r="S6" s="5" t="s">
        <v>63</v>
      </c>
      <c r="T6" s="5" t="s">
        <v>63</v>
      </c>
      <c r="U6" s="5" t="s">
        <v>63</v>
      </c>
      <c r="V6" s="5" t="s">
        <v>63</v>
      </c>
      <c r="W6" s="5" t="s">
        <v>63</v>
      </c>
      <c r="X6" s="5" t="s">
        <v>63</v>
      </c>
      <c r="Y6" s="5" t="s">
        <v>63</v>
      </c>
      <c r="Z6" s="5" t="s">
        <v>63</v>
      </c>
      <c r="AA6" s="5" t="s">
        <v>64</v>
      </c>
      <c r="AB6" s="5" t="s">
        <v>63</v>
      </c>
      <c r="AC6" s="5" t="s">
        <v>63</v>
      </c>
      <c r="AD6" s="5" t="s">
        <v>63</v>
      </c>
      <c r="AE6" s="5" t="s">
        <v>64</v>
      </c>
      <c r="AF6" s="5" t="s">
        <v>64</v>
      </c>
      <c r="AG6" s="5" t="s">
        <v>64</v>
      </c>
      <c r="AH6" s="5" t="s">
        <v>63</v>
      </c>
      <c r="AI6" s="5" t="s">
        <v>63</v>
      </c>
      <c r="AJ6" s="14" t="s">
        <v>64</v>
      </c>
      <c r="AK6" s="5" t="s">
        <v>64</v>
      </c>
      <c r="AL6" s="5" t="s">
        <v>63</v>
      </c>
      <c r="AM6" s="5" t="s">
        <v>63</v>
      </c>
      <c r="AN6" s="5" t="s">
        <v>63</v>
      </c>
      <c r="AO6" s="5" t="s">
        <v>64</v>
      </c>
      <c r="AP6" s="5" t="s">
        <v>63</v>
      </c>
      <c r="AQ6" s="5" t="s">
        <v>63</v>
      </c>
      <c r="AR6" s="5" t="s">
        <v>63</v>
      </c>
      <c r="AS6" s="8" t="s">
        <v>63</v>
      </c>
      <c r="AT6" s="5" t="s">
        <v>63</v>
      </c>
      <c r="AU6" s="5" t="s">
        <v>63</v>
      </c>
      <c r="AV6" s="5" t="s">
        <v>64</v>
      </c>
      <c r="AW6" s="5" t="s">
        <v>63</v>
      </c>
      <c r="AX6" s="5" t="s">
        <v>63</v>
      </c>
      <c r="AY6" s="5" t="s">
        <v>64</v>
      </c>
      <c r="AZ6" s="5" t="s">
        <v>63</v>
      </c>
      <c r="BA6" s="5" t="s">
        <v>63</v>
      </c>
      <c r="BB6" s="5" t="s">
        <v>63</v>
      </c>
      <c r="BC6" s="5" t="s">
        <v>63</v>
      </c>
      <c r="BD6" s="5" t="s">
        <v>63</v>
      </c>
      <c r="BF6" s="5" t="s">
        <v>64</v>
      </c>
      <c r="BI6" s="5" t="s">
        <v>64</v>
      </c>
      <c r="BJ6" s="5" t="s">
        <v>64</v>
      </c>
      <c r="BL6" s="5" t="s">
        <v>64</v>
      </c>
      <c r="BN6" s="5" t="s">
        <v>64</v>
      </c>
      <c r="BP6" s="5" t="s">
        <v>64</v>
      </c>
      <c r="BR6" s="5" t="s">
        <v>64</v>
      </c>
    </row>
    <row r="7" spans="1:73">
      <c r="A7" s="1" t="str">
        <f t="shared" si="0"/>
        <v>No</v>
      </c>
      <c r="B7" s="1" t="s">
        <v>59</v>
      </c>
      <c r="C7" s="1" t="s">
        <v>72</v>
      </c>
      <c r="D7" s="11" t="s">
        <v>61</v>
      </c>
      <c r="E7" s="1" t="s">
        <v>73</v>
      </c>
      <c r="F7" s="2">
        <v>4</v>
      </c>
      <c r="G7" s="5" t="s">
        <v>63</v>
      </c>
      <c r="H7" s="5" t="s">
        <v>63</v>
      </c>
      <c r="I7" s="5" t="s">
        <v>63</v>
      </c>
      <c r="J7" s="5" t="s">
        <v>63</v>
      </c>
      <c r="K7" s="5" t="s">
        <v>63</v>
      </c>
      <c r="L7" s="5" t="s">
        <v>63</v>
      </c>
      <c r="M7" s="5" t="s">
        <v>63</v>
      </c>
      <c r="N7" s="5" t="s">
        <v>63</v>
      </c>
      <c r="O7" s="5" t="s">
        <v>63</v>
      </c>
      <c r="P7" s="5" t="s">
        <v>63</v>
      </c>
      <c r="Q7" s="5" t="s">
        <v>63</v>
      </c>
      <c r="R7" s="5" t="s">
        <v>63</v>
      </c>
      <c r="S7" s="5" t="s">
        <v>63</v>
      </c>
      <c r="T7" s="5" t="s">
        <v>63</v>
      </c>
      <c r="U7" s="5" t="s">
        <v>63</v>
      </c>
      <c r="V7" s="5" t="s">
        <v>63</v>
      </c>
      <c r="W7" s="5" t="s">
        <v>63</v>
      </c>
      <c r="X7" s="5" t="s">
        <v>63</v>
      </c>
      <c r="Y7" s="5" t="s">
        <v>63</v>
      </c>
      <c r="Z7" s="5" t="s">
        <v>63</v>
      </c>
      <c r="AA7" s="5" t="s">
        <v>63</v>
      </c>
      <c r="AB7" s="5" t="s">
        <v>63</v>
      </c>
      <c r="AC7" s="5" t="s">
        <v>63</v>
      </c>
      <c r="AD7" s="5" t="s">
        <v>63</v>
      </c>
      <c r="AE7" s="5" t="s">
        <v>63</v>
      </c>
      <c r="AF7" s="5" t="s">
        <v>63</v>
      </c>
      <c r="AG7" s="5" t="s">
        <v>63</v>
      </c>
      <c r="AH7" s="5" t="s">
        <v>63</v>
      </c>
      <c r="AI7" s="5" t="s">
        <v>63</v>
      </c>
      <c r="AJ7" s="14" t="s">
        <v>63</v>
      </c>
      <c r="AK7" s="5" t="s">
        <v>63</v>
      </c>
      <c r="AL7" s="5" t="s">
        <v>63</v>
      </c>
      <c r="AM7" s="5" t="s">
        <v>63</v>
      </c>
      <c r="AN7" s="5" t="s">
        <v>63</v>
      </c>
      <c r="AO7" s="5" t="s">
        <v>63</v>
      </c>
      <c r="AP7" s="5" t="s">
        <v>63</v>
      </c>
      <c r="AQ7" s="5" t="s">
        <v>63</v>
      </c>
      <c r="AR7" s="5" t="s">
        <v>63</v>
      </c>
      <c r="AS7" s="8" t="s">
        <v>63</v>
      </c>
      <c r="AT7" s="5" t="s">
        <v>63</v>
      </c>
      <c r="AU7" s="5" t="s">
        <v>63</v>
      </c>
      <c r="AV7" s="5" t="s">
        <v>63</v>
      </c>
      <c r="AW7" s="5" t="s">
        <v>63</v>
      </c>
      <c r="AX7" s="5" t="s">
        <v>63</v>
      </c>
      <c r="AY7" s="5" t="s">
        <v>63</v>
      </c>
      <c r="AZ7" s="5" t="s">
        <v>63</v>
      </c>
      <c r="BA7" s="5" t="s">
        <v>63</v>
      </c>
      <c r="BB7" s="5" t="s">
        <v>63</v>
      </c>
      <c r="BC7" s="5" t="s">
        <v>63</v>
      </c>
      <c r="BD7" s="5" t="s">
        <v>63</v>
      </c>
    </row>
    <row r="8" spans="1:73">
      <c r="A8" s="1" t="str">
        <f t="shared" si="0"/>
        <v>No</v>
      </c>
      <c r="B8" s="1" t="s">
        <v>59</v>
      </c>
      <c r="C8" s="1" t="s">
        <v>74</v>
      </c>
      <c r="D8" s="11" t="s">
        <v>61</v>
      </c>
      <c r="E8" s="1" t="s">
        <v>75</v>
      </c>
      <c r="F8" s="2">
        <v>4</v>
      </c>
      <c r="G8" s="5" t="s">
        <v>63</v>
      </c>
      <c r="H8" s="5" t="s">
        <v>63</v>
      </c>
      <c r="I8" s="5" t="s">
        <v>63</v>
      </c>
      <c r="J8" s="5"/>
      <c r="K8" s="5" t="s">
        <v>63</v>
      </c>
      <c r="L8" s="5" t="s">
        <v>63</v>
      </c>
      <c r="M8" s="5" t="s">
        <v>63</v>
      </c>
      <c r="N8" s="5" t="s">
        <v>63</v>
      </c>
      <c r="O8" s="5" t="s">
        <v>63</v>
      </c>
      <c r="P8" s="5" t="s">
        <v>63</v>
      </c>
      <c r="Q8" s="5" t="s">
        <v>63</v>
      </c>
      <c r="R8" s="5" t="s">
        <v>63</v>
      </c>
      <c r="S8" s="5" t="s">
        <v>63</v>
      </c>
      <c r="T8" s="5" t="s">
        <v>63</v>
      </c>
      <c r="U8" s="5" t="s">
        <v>63</v>
      </c>
      <c r="V8" s="5" t="s">
        <v>63</v>
      </c>
      <c r="W8" s="5" t="s">
        <v>63</v>
      </c>
      <c r="X8" s="5" t="s">
        <v>63</v>
      </c>
      <c r="Y8" s="5" t="s">
        <v>63</v>
      </c>
      <c r="Z8" s="5" t="s">
        <v>63</v>
      </c>
      <c r="AA8" s="5" t="s">
        <v>63</v>
      </c>
      <c r="AB8" s="5" t="s">
        <v>63</v>
      </c>
      <c r="AC8" s="5" t="s">
        <v>63</v>
      </c>
      <c r="AD8" s="5" t="s">
        <v>63</v>
      </c>
      <c r="AE8" s="5" t="s">
        <v>63</v>
      </c>
      <c r="AF8" s="5" t="s">
        <v>63</v>
      </c>
      <c r="AG8" s="5" t="s">
        <v>63</v>
      </c>
      <c r="AH8" s="5" t="s">
        <v>63</v>
      </c>
      <c r="AI8" s="5" t="s">
        <v>63</v>
      </c>
      <c r="AJ8" s="14" t="s">
        <v>63</v>
      </c>
      <c r="AK8" s="5" t="s">
        <v>63</v>
      </c>
      <c r="AL8" s="5" t="s">
        <v>63</v>
      </c>
      <c r="AM8" s="5" t="s">
        <v>63</v>
      </c>
      <c r="AN8" s="5" t="s">
        <v>63</v>
      </c>
      <c r="AO8" s="5" t="s">
        <v>63</v>
      </c>
      <c r="AP8" s="5" t="s">
        <v>63</v>
      </c>
      <c r="AQ8" s="5" t="s">
        <v>63</v>
      </c>
      <c r="AR8" s="5" t="s">
        <v>63</v>
      </c>
      <c r="AS8" s="8" t="s">
        <v>63</v>
      </c>
      <c r="AT8" s="5" t="s">
        <v>63</v>
      </c>
      <c r="AU8" s="5" t="s">
        <v>63</v>
      </c>
      <c r="AV8" s="5" t="s">
        <v>64</v>
      </c>
      <c r="AW8" s="5" t="s">
        <v>63</v>
      </c>
      <c r="AX8" s="5" t="s">
        <v>63</v>
      </c>
      <c r="AY8" s="5" t="s">
        <v>63</v>
      </c>
      <c r="AZ8" s="5" t="s">
        <v>63</v>
      </c>
      <c r="BA8" s="5" t="s">
        <v>63</v>
      </c>
      <c r="BB8" s="5" t="s">
        <v>63</v>
      </c>
      <c r="BC8" s="5" t="s">
        <v>63</v>
      </c>
      <c r="BD8" s="5" t="s">
        <v>63</v>
      </c>
      <c r="BP8" s="5" t="s">
        <v>64</v>
      </c>
    </row>
    <row r="9" spans="1:73">
      <c r="A9" s="1" t="str">
        <f t="shared" si="0"/>
        <v>Yes</v>
      </c>
      <c r="B9" s="1" t="s">
        <v>69</v>
      </c>
      <c r="C9" s="1" t="s">
        <v>76</v>
      </c>
      <c r="D9" s="11" t="s">
        <v>77</v>
      </c>
      <c r="E9" s="1" t="s">
        <v>78</v>
      </c>
      <c r="F9" s="2">
        <v>3</v>
      </c>
      <c r="G9" s="5" t="s">
        <v>63</v>
      </c>
      <c r="H9" s="5" t="s">
        <v>63</v>
      </c>
      <c r="I9" s="5" t="s">
        <v>63</v>
      </c>
      <c r="J9" s="5" t="s">
        <v>63</v>
      </c>
      <c r="K9" s="5" t="s">
        <v>63</v>
      </c>
      <c r="L9" s="5" t="s">
        <v>63</v>
      </c>
      <c r="M9" s="5" t="s">
        <v>63</v>
      </c>
      <c r="N9" s="5" t="s">
        <v>63</v>
      </c>
      <c r="O9" s="5" t="s">
        <v>63</v>
      </c>
      <c r="P9" s="5" t="s">
        <v>63</v>
      </c>
      <c r="Q9" s="5" t="s">
        <v>63</v>
      </c>
      <c r="R9" s="5" t="s">
        <v>63</v>
      </c>
      <c r="S9" s="5" t="s">
        <v>63</v>
      </c>
      <c r="T9" s="5" t="s">
        <v>63</v>
      </c>
      <c r="U9" s="5" t="s">
        <v>63</v>
      </c>
      <c r="V9" s="5" t="s">
        <v>63</v>
      </c>
      <c r="W9" s="5" t="s">
        <v>63</v>
      </c>
      <c r="X9" s="5" t="s">
        <v>63</v>
      </c>
      <c r="Y9" s="5" t="s">
        <v>63</v>
      </c>
      <c r="Z9" s="5" t="s">
        <v>63</v>
      </c>
      <c r="AA9" s="5" t="s">
        <v>63</v>
      </c>
      <c r="AB9" s="5" t="s">
        <v>63</v>
      </c>
      <c r="AC9" s="5" t="s">
        <v>63</v>
      </c>
      <c r="AD9" s="5" t="s">
        <v>63</v>
      </c>
      <c r="AE9" s="5" t="s">
        <v>63</v>
      </c>
      <c r="AF9" s="5" t="s">
        <v>63</v>
      </c>
      <c r="AG9" s="5" t="s">
        <v>63</v>
      </c>
      <c r="AH9" s="5" t="s">
        <v>63</v>
      </c>
      <c r="AI9" s="5" t="s">
        <v>63</v>
      </c>
      <c r="AJ9" s="14" t="s">
        <v>63</v>
      </c>
      <c r="AK9" s="5" t="s">
        <v>63</v>
      </c>
      <c r="AL9" s="5" t="s">
        <v>63</v>
      </c>
      <c r="AM9" s="5" t="s">
        <v>63</v>
      </c>
      <c r="AN9" s="5" t="s">
        <v>63</v>
      </c>
      <c r="AO9" s="5" t="s">
        <v>63</v>
      </c>
      <c r="AP9" s="5" t="s">
        <v>63</v>
      </c>
      <c r="AQ9" s="5" t="s">
        <v>63</v>
      </c>
      <c r="AR9" s="5" t="s">
        <v>63</v>
      </c>
      <c r="AS9" s="8" t="s">
        <v>63</v>
      </c>
      <c r="AT9" s="5" t="s">
        <v>63</v>
      </c>
      <c r="AU9" s="5" t="s">
        <v>63</v>
      </c>
      <c r="AV9" s="5" t="s">
        <v>64</v>
      </c>
      <c r="AW9" s="5" t="s">
        <v>63</v>
      </c>
      <c r="AX9" s="5" t="s">
        <v>63</v>
      </c>
      <c r="AY9" s="5" t="s">
        <v>63</v>
      </c>
      <c r="AZ9" s="5" t="s">
        <v>63</v>
      </c>
      <c r="BA9" s="5" t="s">
        <v>63</v>
      </c>
      <c r="BB9" s="5" t="s">
        <v>63</v>
      </c>
      <c r="BC9" s="5" t="s">
        <v>63</v>
      </c>
      <c r="BD9" s="5" t="s">
        <v>63</v>
      </c>
      <c r="BP9" s="5" t="s">
        <v>64</v>
      </c>
    </row>
    <row r="10" spans="1:73">
      <c r="A10" s="1" t="str">
        <f t="shared" si="0"/>
        <v>Yes</v>
      </c>
      <c r="B10" s="1" t="s">
        <v>69</v>
      </c>
      <c r="C10" s="1" t="s">
        <v>79</v>
      </c>
      <c r="D10" s="11" t="s">
        <v>77</v>
      </c>
      <c r="E10" s="1" t="s">
        <v>80</v>
      </c>
      <c r="F10" s="2">
        <v>3</v>
      </c>
      <c r="G10" s="5" t="s">
        <v>63</v>
      </c>
      <c r="H10" s="5" t="s">
        <v>63</v>
      </c>
      <c r="I10" s="5" t="s">
        <v>63</v>
      </c>
      <c r="J10" s="5" t="s">
        <v>63</v>
      </c>
      <c r="K10" s="5" t="s">
        <v>63</v>
      </c>
      <c r="L10" s="5" t="s">
        <v>63</v>
      </c>
      <c r="M10" s="5" t="s">
        <v>63</v>
      </c>
      <c r="N10" s="5" t="s">
        <v>63</v>
      </c>
      <c r="O10" s="5" t="s">
        <v>63</v>
      </c>
      <c r="P10" s="5" t="s">
        <v>63</v>
      </c>
      <c r="Q10" s="5" t="s">
        <v>63</v>
      </c>
      <c r="R10" s="5" t="s">
        <v>63</v>
      </c>
      <c r="S10" s="5" t="s">
        <v>63</v>
      </c>
      <c r="T10" s="5" t="s">
        <v>63</v>
      </c>
      <c r="U10" s="5" t="s">
        <v>63</v>
      </c>
      <c r="V10" s="5" t="s">
        <v>63</v>
      </c>
      <c r="W10" s="5" t="s">
        <v>63</v>
      </c>
      <c r="X10" s="5" t="s">
        <v>63</v>
      </c>
      <c r="Y10" s="5" t="s">
        <v>63</v>
      </c>
      <c r="Z10" s="5" t="s">
        <v>63</v>
      </c>
      <c r="AA10" s="5" t="s">
        <v>63</v>
      </c>
      <c r="AB10" s="5" t="s">
        <v>63</v>
      </c>
      <c r="AC10" s="5" t="s">
        <v>63</v>
      </c>
      <c r="AD10" s="5" t="s">
        <v>63</v>
      </c>
      <c r="AE10" s="5" t="s">
        <v>63</v>
      </c>
      <c r="AF10" s="5" t="s">
        <v>64</v>
      </c>
      <c r="AG10" s="5" t="s">
        <v>63</v>
      </c>
      <c r="AH10" s="5" t="s">
        <v>63</v>
      </c>
      <c r="AI10" s="5" t="s">
        <v>63</v>
      </c>
      <c r="AJ10" s="14" t="s">
        <v>63</v>
      </c>
      <c r="AK10" s="5" t="s">
        <v>63</v>
      </c>
      <c r="AL10" s="5" t="s">
        <v>63</v>
      </c>
      <c r="AM10" s="5" t="s">
        <v>63</v>
      </c>
      <c r="AN10" s="5" t="s">
        <v>63</v>
      </c>
      <c r="AO10" s="5" t="s">
        <v>63</v>
      </c>
      <c r="AP10" s="5" t="s">
        <v>63</v>
      </c>
      <c r="AQ10" s="5" t="s">
        <v>63</v>
      </c>
      <c r="AR10" s="5" t="s">
        <v>63</v>
      </c>
      <c r="AS10" s="8" t="s">
        <v>63</v>
      </c>
      <c r="AT10" s="5" t="s">
        <v>63</v>
      </c>
      <c r="AU10" s="5" t="s">
        <v>63</v>
      </c>
      <c r="AV10" s="5" t="s">
        <v>64</v>
      </c>
      <c r="AW10" s="5" t="s">
        <v>63</v>
      </c>
      <c r="AX10" s="5" t="s">
        <v>63</v>
      </c>
      <c r="AY10" s="5" t="s">
        <v>63</v>
      </c>
      <c r="AZ10" s="5" t="s">
        <v>63</v>
      </c>
      <c r="BA10" s="5" t="s">
        <v>63</v>
      </c>
      <c r="BB10" s="5" t="s">
        <v>63</v>
      </c>
      <c r="BC10" s="5" t="s">
        <v>63</v>
      </c>
      <c r="BD10" s="5" t="s">
        <v>63</v>
      </c>
      <c r="BI10" s="5" t="s">
        <v>64</v>
      </c>
      <c r="BP10" s="5" t="s">
        <v>64</v>
      </c>
    </row>
    <row r="11" spans="1:73">
      <c r="A11" s="1" t="str">
        <f t="shared" si="0"/>
        <v>No</v>
      </c>
      <c r="B11" s="1" t="s">
        <v>59</v>
      </c>
      <c r="C11" s="1" t="s">
        <v>81</v>
      </c>
      <c r="D11" s="11" t="s">
        <v>61</v>
      </c>
      <c r="E11" s="1" t="s">
        <v>82</v>
      </c>
      <c r="F11" s="2">
        <v>4</v>
      </c>
      <c r="G11" s="5" t="s">
        <v>63</v>
      </c>
      <c r="H11" s="5" t="s">
        <v>63</v>
      </c>
      <c r="I11" s="5" t="s">
        <v>63</v>
      </c>
      <c r="J11" s="5" t="s">
        <v>63</v>
      </c>
      <c r="K11" s="5" t="s">
        <v>63</v>
      </c>
      <c r="L11" s="5" t="s">
        <v>63</v>
      </c>
      <c r="M11" s="5" t="s">
        <v>63</v>
      </c>
      <c r="N11" s="5"/>
      <c r="O11" s="5" t="s">
        <v>63</v>
      </c>
      <c r="P11" s="5" t="s">
        <v>63</v>
      </c>
      <c r="Q11" s="5" t="s">
        <v>63</v>
      </c>
      <c r="R11" s="5" t="s">
        <v>63</v>
      </c>
      <c r="S11" s="5" t="s">
        <v>63</v>
      </c>
      <c r="T11" s="5" t="s">
        <v>63</v>
      </c>
      <c r="U11" s="5" t="s">
        <v>63</v>
      </c>
      <c r="V11" s="5" t="s">
        <v>63</v>
      </c>
      <c r="W11" s="5" t="s">
        <v>63</v>
      </c>
      <c r="X11" s="5" t="s">
        <v>63</v>
      </c>
      <c r="Y11" s="5" t="s">
        <v>63</v>
      </c>
      <c r="Z11" s="5" t="s">
        <v>63</v>
      </c>
      <c r="AA11" s="5" t="s">
        <v>63</v>
      </c>
      <c r="AB11" s="5" t="s">
        <v>63</v>
      </c>
      <c r="AC11" s="5" t="s">
        <v>63</v>
      </c>
      <c r="AD11" s="5" t="s">
        <v>63</v>
      </c>
      <c r="AE11" s="5" t="s">
        <v>63</v>
      </c>
      <c r="AF11" s="5" t="s">
        <v>63</v>
      </c>
      <c r="AG11" s="5" t="s">
        <v>63</v>
      </c>
      <c r="AH11" s="5" t="s">
        <v>63</v>
      </c>
      <c r="AI11" s="5" t="s">
        <v>63</v>
      </c>
      <c r="AJ11" s="14" t="s">
        <v>63</v>
      </c>
      <c r="AK11" s="5" t="s">
        <v>63</v>
      </c>
      <c r="AL11" s="5" t="s">
        <v>63</v>
      </c>
      <c r="AM11" s="5" t="s">
        <v>63</v>
      </c>
      <c r="AN11" s="5" t="s">
        <v>63</v>
      </c>
      <c r="AO11" s="5" t="s">
        <v>63</v>
      </c>
      <c r="AP11" s="5" t="s">
        <v>63</v>
      </c>
      <c r="AQ11" s="5" t="s">
        <v>63</v>
      </c>
      <c r="AR11" s="5" t="s">
        <v>63</v>
      </c>
      <c r="AS11" s="8" t="s">
        <v>63</v>
      </c>
      <c r="AT11" s="5" t="s">
        <v>63</v>
      </c>
      <c r="AU11" s="5" t="s">
        <v>63</v>
      </c>
      <c r="AV11" s="5" t="s">
        <v>63</v>
      </c>
      <c r="AW11" s="5" t="s">
        <v>63</v>
      </c>
      <c r="AX11" s="5" t="s">
        <v>63</v>
      </c>
      <c r="AY11" s="5" t="s">
        <v>63</v>
      </c>
      <c r="AZ11" s="5" t="s">
        <v>63</v>
      </c>
      <c r="BA11" s="5" t="s">
        <v>63</v>
      </c>
      <c r="BB11" s="5" t="s">
        <v>63</v>
      </c>
      <c r="BC11" s="5" t="s">
        <v>63</v>
      </c>
      <c r="BD11" s="5" t="s">
        <v>63</v>
      </c>
    </row>
    <row r="12" spans="1:73">
      <c r="A12" s="1" t="str">
        <f t="shared" si="0"/>
        <v>No</v>
      </c>
      <c r="B12" s="1" t="s">
        <v>59</v>
      </c>
      <c r="C12" s="1" t="s">
        <v>83</v>
      </c>
      <c r="D12" s="11" t="s">
        <v>61</v>
      </c>
      <c r="E12" s="1" t="s">
        <v>84</v>
      </c>
      <c r="F12" s="2">
        <v>4</v>
      </c>
      <c r="G12" s="5" t="s">
        <v>63</v>
      </c>
      <c r="H12" s="5" t="s">
        <v>63</v>
      </c>
      <c r="I12" s="5" t="s">
        <v>63</v>
      </c>
      <c r="J12" s="5" t="s">
        <v>63</v>
      </c>
      <c r="K12" s="5" t="s">
        <v>63</v>
      </c>
      <c r="L12" s="5" t="s">
        <v>63</v>
      </c>
      <c r="M12" s="5" t="s">
        <v>63</v>
      </c>
      <c r="N12" s="5" t="s">
        <v>63</v>
      </c>
      <c r="O12" s="5" t="s">
        <v>63</v>
      </c>
      <c r="P12" s="5" t="s">
        <v>63</v>
      </c>
      <c r="Q12" s="5" t="s">
        <v>63</v>
      </c>
      <c r="R12" s="5" t="s">
        <v>63</v>
      </c>
      <c r="S12" s="5" t="s">
        <v>63</v>
      </c>
      <c r="T12" s="5" t="s">
        <v>63</v>
      </c>
      <c r="U12" s="5" t="s">
        <v>63</v>
      </c>
      <c r="V12" s="5" t="s">
        <v>63</v>
      </c>
      <c r="W12" s="5" t="s">
        <v>63</v>
      </c>
      <c r="X12" s="5" t="s">
        <v>63</v>
      </c>
      <c r="Y12" s="5" t="s">
        <v>63</v>
      </c>
      <c r="Z12" s="5" t="s">
        <v>63</v>
      </c>
      <c r="AA12" s="5" t="s">
        <v>63</v>
      </c>
      <c r="AB12" s="5" t="s">
        <v>63</v>
      </c>
      <c r="AC12" s="5" t="s">
        <v>63</v>
      </c>
      <c r="AD12" s="5" t="s">
        <v>63</v>
      </c>
      <c r="AE12" s="5" t="s">
        <v>63</v>
      </c>
      <c r="AF12" s="5" t="s">
        <v>64</v>
      </c>
      <c r="AG12" s="5" t="s">
        <v>63</v>
      </c>
      <c r="AH12" s="5" t="s">
        <v>63</v>
      </c>
      <c r="AI12" s="5" t="s">
        <v>63</v>
      </c>
      <c r="AJ12" s="14" t="s">
        <v>63</v>
      </c>
      <c r="AK12" s="5" t="s">
        <v>63</v>
      </c>
      <c r="AL12" s="5" t="s">
        <v>64</v>
      </c>
      <c r="AM12" s="5" t="s">
        <v>63</v>
      </c>
      <c r="AN12" s="5" t="s">
        <v>63</v>
      </c>
      <c r="AO12" s="5" t="s">
        <v>63</v>
      </c>
      <c r="AP12" s="5" t="s">
        <v>63</v>
      </c>
      <c r="AQ12" s="5" t="s">
        <v>63</v>
      </c>
      <c r="AR12" s="5" t="s">
        <v>63</v>
      </c>
      <c r="AS12" s="8" t="s">
        <v>63</v>
      </c>
      <c r="AT12" s="5" t="s">
        <v>63</v>
      </c>
      <c r="AU12" s="5" t="s">
        <v>63</v>
      </c>
      <c r="AV12" s="5" t="s">
        <v>63</v>
      </c>
      <c r="AW12" s="5" t="s">
        <v>63</v>
      </c>
      <c r="AX12" s="5" t="s">
        <v>63</v>
      </c>
      <c r="AY12" s="5" t="s">
        <v>63</v>
      </c>
      <c r="AZ12" s="5" t="s">
        <v>63</v>
      </c>
      <c r="BA12" s="5" t="s">
        <v>64</v>
      </c>
      <c r="BB12" s="5" t="s">
        <v>63</v>
      </c>
      <c r="BC12" s="5" t="s">
        <v>63</v>
      </c>
      <c r="BD12" s="5" t="s">
        <v>63</v>
      </c>
      <c r="BI12" s="5" t="s">
        <v>64</v>
      </c>
      <c r="BM12" s="5" t="s">
        <v>64</v>
      </c>
      <c r="BS12" s="5" t="s">
        <v>64</v>
      </c>
    </row>
    <row r="13" spans="1:73">
      <c r="A13" s="1" t="str">
        <f t="shared" si="0"/>
        <v>Yes</v>
      </c>
      <c r="B13" s="1" t="s">
        <v>69</v>
      </c>
      <c r="C13" s="1" t="s">
        <v>85</v>
      </c>
      <c r="D13" s="11" t="s">
        <v>77</v>
      </c>
      <c r="E13" s="1" t="s">
        <v>86</v>
      </c>
      <c r="F13" s="2">
        <v>3</v>
      </c>
      <c r="G13" s="5" t="s">
        <v>63</v>
      </c>
      <c r="H13" s="5" t="s">
        <v>63</v>
      </c>
      <c r="I13" s="5" t="s">
        <v>63</v>
      </c>
      <c r="J13" s="5" t="s">
        <v>63</v>
      </c>
      <c r="K13" s="5" t="s">
        <v>63</v>
      </c>
      <c r="L13" s="5" t="s">
        <v>63</v>
      </c>
      <c r="M13" s="5" t="s">
        <v>63</v>
      </c>
      <c r="N13" s="5" t="s">
        <v>63</v>
      </c>
      <c r="O13" s="5" t="s">
        <v>63</v>
      </c>
      <c r="P13" s="5" t="s">
        <v>63</v>
      </c>
      <c r="Q13" s="5" t="s">
        <v>63</v>
      </c>
      <c r="R13" s="5" t="s">
        <v>63</v>
      </c>
      <c r="S13" s="5" t="s">
        <v>63</v>
      </c>
      <c r="T13" s="5" t="s">
        <v>63</v>
      </c>
      <c r="U13" s="5" t="s">
        <v>63</v>
      </c>
      <c r="V13" s="5" t="s">
        <v>63</v>
      </c>
      <c r="W13" s="5" t="s">
        <v>63</v>
      </c>
      <c r="X13" s="5" t="s">
        <v>63</v>
      </c>
      <c r="Y13" s="5" t="s">
        <v>63</v>
      </c>
      <c r="Z13" s="5" t="s">
        <v>63</v>
      </c>
      <c r="AA13" s="5" t="s">
        <v>64</v>
      </c>
      <c r="AB13" s="5" t="s">
        <v>63</v>
      </c>
      <c r="AC13" s="5" t="s">
        <v>63</v>
      </c>
      <c r="AD13" s="5" t="s">
        <v>63</v>
      </c>
      <c r="AE13" s="5" t="s">
        <v>64</v>
      </c>
      <c r="AF13" s="5" t="s">
        <v>64</v>
      </c>
      <c r="AG13" s="5" t="s">
        <v>64</v>
      </c>
      <c r="AH13" s="5" t="s">
        <v>63</v>
      </c>
      <c r="AI13" s="5" t="s">
        <v>63</v>
      </c>
      <c r="AJ13" s="14" t="s">
        <v>64</v>
      </c>
      <c r="AK13" s="5" t="s">
        <v>64</v>
      </c>
      <c r="AL13" s="5" t="s">
        <v>63</v>
      </c>
      <c r="AM13" s="5" t="s">
        <v>63</v>
      </c>
      <c r="AN13" s="5" t="s">
        <v>63</v>
      </c>
      <c r="AO13" s="5" t="s">
        <v>64</v>
      </c>
      <c r="AP13" s="5" t="s">
        <v>63</v>
      </c>
      <c r="AQ13" s="5" t="s">
        <v>63</v>
      </c>
      <c r="AR13" s="5" t="s">
        <v>63</v>
      </c>
      <c r="AS13" s="8" t="s">
        <v>63</v>
      </c>
      <c r="AT13" s="5" t="s">
        <v>63</v>
      </c>
      <c r="AU13" s="5" t="s">
        <v>63</v>
      </c>
      <c r="AV13" s="5" t="s">
        <v>64</v>
      </c>
      <c r="AW13" s="5" t="s">
        <v>63</v>
      </c>
      <c r="AX13" s="5" t="s">
        <v>63</v>
      </c>
      <c r="AY13" s="5" t="s">
        <v>64</v>
      </c>
      <c r="AZ13" s="5" t="s">
        <v>63</v>
      </c>
      <c r="BA13" s="5" t="s">
        <v>63</v>
      </c>
      <c r="BB13" s="5" t="s">
        <v>63</v>
      </c>
      <c r="BC13" s="5" t="s">
        <v>63</v>
      </c>
      <c r="BD13" s="5" t="s">
        <v>63</v>
      </c>
      <c r="BF13" s="5" t="s">
        <v>64</v>
      </c>
      <c r="BI13" s="5" t="s">
        <v>64</v>
      </c>
      <c r="BJ13" s="5" t="s">
        <v>64</v>
      </c>
      <c r="BL13" s="5" t="s">
        <v>64</v>
      </c>
      <c r="BN13" s="5" t="s">
        <v>64</v>
      </c>
      <c r="BP13" s="5" t="s">
        <v>64</v>
      </c>
      <c r="BR13" s="5" t="s">
        <v>64</v>
      </c>
    </row>
    <row r="14" spans="1:73">
      <c r="A14" s="1" t="str">
        <f t="shared" si="0"/>
        <v>No</v>
      </c>
      <c r="B14" s="1" t="s">
        <v>59</v>
      </c>
      <c r="C14" s="1" t="s">
        <v>87</v>
      </c>
      <c r="D14" s="11" t="s">
        <v>61</v>
      </c>
      <c r="E14" s="1" t="s">
        <v>88</v>
      </c>
      <c r="F14" s="2">
        <v>3</v>
      </c>
      <c r="G14" s="5" t="s">
        <v>63</v>
      </c>
      <c r="H14" s="5" t="s">
        <v>63</v>
      </c>
      <c r="I14" s="5" t="s">
        <v>63</v>
      </c>
      <c r="J14" s="5" t="s">
        <v>63</v>
      </c>
      <c r="K14" s="5" t="s">
        <v>63</v>
      </c>
      <c r="L14" s="5" t="s">
        <v>63</v>
      </c>
      <c r="M14" s="5" t="s">
        <v>63</v>
      </c>
      <c r="N14" s="5" t="s">
        <v>63</v>
      </c>
      <c r="O14" s="5" t="s">
        <v>63</v>
      </c>
      <c r="P14" s="5" t="s">
        <v>63</v>
      </c>
      <c r="Q14" s="5" t="s">
        <v>63</v>
      </c>
      <c r="R14" s="5" t="s">
        <v>63</v>
      </c>
      <c r="S14" s="5" t="s">
        <v>63</v>
      </c>
      <c r="T14" s="5" t="s">
        <v>63</v>
      </c>
      <c r="U14" s="5" t="s">
        <v>63</v>
      </c>
      <c r="V14" s="5" t="s">
        <v>63</v>
      </c>
      <c r="W14" s="5" t="s">
        <v>63</v>
      </c>
      <c r="X14" s="5" t="s">
        <v>63</v>
      </c>
      <c r="Y14" s="5" t="s">
        <v>63</v>
      </c>
      <c r="Z14" s="5" t="s">
        <v>63</v>
      </c>
      <c r="AA14" s="5" t="s">
        <v>63</v>
      </c>
      <c r="AB14" s="5" t="s">
        <v>63</v>
      </c>
      <c r="AC14" s="5" t="s">
        <v>63</v>
      </c>
      <c r="AD14" s="5" t="s">
        <v>63</v>
      </c>
      <c r="AE14" s="5" t="s">
        <v>63</v>
      </c>
      <c r="AF14" s="5" t="s">
        <v>63</v>
      </c>
      <c r="AG14" s="5" t="s">
        <v>63</v>
      </c>
      <c r="AH14" s="5" t="s">
        <v>63</v>
      </c>
      <c r="AI14" s="5" t="s">
        <v>63</v>
      </c>
      <c r="AJ14" s="14" t="s">
        <v>63</v>
      </c>
      <c r="AK14" s="5" t="s">
        <v>63</v>
      </c>
      <c r="AL14" s="5" t="s">
        <v>63</v>
      </c>
      <c r="AM14" s="5" t="s">
        <v>63</v>
      </c>
      <c r="AN14" s="5" t="s">
        <v>63</v>
      </c>
      <c r="AO14" s="5" t="s">
        <v>63</v>
      </c>
      <c r="AP14" s="5" t="s">
        <v>63</v>
      </c>
      <c r="AQ14" s="5" t="s">
        <v>63</v>
      </c>
      <c r="AR14" s="5" t="s">
        <v>63</v>
      </c>
      <c r="AS14" s="8" t="s">
        <v>63</v>
      </c>
      <c r="AT14" s="5" t="s">
        <v>63</v>
      </c>
      <c r="AU14" s="5" t="s">
        <v>63</v>
      </c>
      <c r="AV14" s="5" t="s">
        <v>63</v>
      </c>
      <c r="AW14" s="5" t="s">
        <v>63</v>
      </c>
      <c r="AX14" s="5" t="s">
        <v>63</v>
      </c>
      <c r="AY14" s="5" t="s">
        <v>63</v>
      </c>
      <c r="AZ14" s="5" t="s">
        <v>63</v>
      </c>
      <c r="BA14" s="5" t="s">
        <v>63</v>
      </c>
      <c r="BB14" s="5" t="s">
        <v>63</v>
      </c>
      <c r="BC14" s="5" t="s">
        <v>63</v>
      </c>
      <c r="BD14" s="5" t="s">
        <v>63</v>
      </c>
    </row>
    <row r="15" spans="1:73">
      <c r="A15" s="1" t="str">
        <f t="shared" si="0"/>
        <v>No</v>
      </c>
      <c r="B15" s="1" t="s">
        <v>59</v>
      </c>
      <c r="C15" s="1" t="s">
        <v>89</v>
      </c>
      <c r="D15" s="11" t="s">
        <v>61</v>
      </c>
      <c r="E15" s="1" t="s">
        <v>90</v>
      </c>
      <c r="F15" s="2">
        <v>3</v>
      </c>
      <c r="G15" s="5" t="s">
        <v>63</v>
      </c>
      <c r="H15" s="5" t="s">
        <v>63</v>
      </c>
      <c r="I15" s="5" t="s">
        <v>63</v>
      </c>
      <c r="J15" s="5" t="s">
        <v>63</v>
      </c>
      <c r="K15" s="5" t="s">
        <v>63</v>
      </c>
      <c r="L15" s="5" t="s">
        <v>63</v>
      </c>
      <c r="M15" s="5" t="s">
        <v>63</v>
      </c>
      <c r="N15" s="5" t="s">
        <v>63</v>
      </c>
      <c r="O15" s="5" t="s">
        <v>63</v>
      </c>
      <c r="P15" s="5" t="s">
        <v>63</v>
      </c>
      <c r="Q15" s="5" t="s">
        <v>63</v>
      </c>
      <c r="R15" s="5" t="s">
        <v>63</v>
      </c>
      <c r="S15" s="5" t="s">
        <v>63</v>
      </c>
      <c r="T15" s="5" t="s">
        <v>63</v>
      </c>
      <c r="U15" s="5" t="s">
        <v>63</v>
      </c>
      <c r="V15" s="5" t="s">
        <v>63</v>
      </c>
      <c r="W15" s="5" t="s">
        <v>63</v>
      </c>
      <c r="X15" s="5" t="s">
        <v>63</v>
      </c>
      <c r="Y15" s="5" t="s">
        <v>63</v>
      </c>
      <c r="Z15" s="5" t="s">
        <v>63</v>
      </c>
      <c r="AA15" s="5" t="s">
        <v>63</v>
      </c>
      <c r="AB15" s="5" t="s">
        <v>63</v>
      </c>
      <c r="AC15" s="5" t="s">
        <v>63</v>
      </c>
      <c r="AD15" s="5" t="s">
        <v>63</v>
      </c>
      <c r="AE15" s="5" t="s">
        <v>63</v>
      </c>
      <c r="AF15" s="5" t="s">
        <v>63</v>
      </c>
      <c r="AG15" s="5" t="s">
        <v>63</v>
      </c>
      <c r="AH15" s="5" t="s">
        <v>63</v>
      </c>
      <c r="AI15" s="5" t="s">
        <v>63</v>
      </c>
      <c r="AJ15" s="14" t="s">
        <v>63</v>
      </c>
      <c r="AK15" s="5" t="s">
        <v>63</v>
      </c>
      <c r="AL15" s="5" t="s">
        <v>63</v>
      </c>
      <c r="AM15" s="5" t="s">
        <v>63</v>
      </c>
      <c r="AN15" s="5" t="s">
        <v>63</v>
      </c>
      <c r="AO15" s="5" t="s">
        <v>63</v>
      </c>
      <c r="AP15" s="5" t="s">
        <v>63</v>
      </c>
      <c r="AQ15" s="5" t="s">
        <v>63</v>
      </c>
      <c r="AR15" s="5" t="s">
        <v>63</v>
      </c>
      <c r="AS15" s="8" t="s">
        <v>63</v>
      </c>
      <c r="AT15" s="5" t="s">
        <v>63</v>
      </c>
      <c r="AU15" s="5" t="s">
        <v>63</v>
      </c>
      <c r="AV15" s="5" t="s">
        <v>63</v>
      </c>
      <c r="AW15" s="5" t="s">
        <v>63</v>
      </c>
      <c r="AX15" s="5" t="s">
        <v>63</v>
      </c>
      <c r="AY15" s="5" t="s">
        <v>63</v>
      </c>
      <c r="AZ15" s="5" t="s">
        <v>63</v>
      </c>
      <c r="BA15" s="5" t="s">
        <v>63</v>
      </c>
      <c r="BB15" s="5" t="s">
        <v>63</v>
      </c>
      <c r="BC15" s="5" t="s">
        <v>63</v>
      </c>
      <c r="BD15" s="5" t="s">
        <v>63</v>
      </c>
    </row>
    <row r="16" spans="1:73">
      <c r="A16" s="1" t="str">
        <f t="shared" si="0"/>
        <v>Yes</v>
      </c>
      <c r="B16" s="1" t="s">
        <v>69</v>
      </c>
      <c r="C16" s="1" t="s">
        <v>91</v>
      </c>
      <c r="E16" s="1" t="s">
        <v>92</v>
      </c>
      <c r="F16" s="2">
        <v>3</v>
      </c>
      <c r="G16" s="5" t="s">
        <v>63</v>
      </c>
      <c r="H16" s="5" t="s">
        <v>63</v>
      </c>
      <c r="I16" s="5" t="s">
        <v>63</v>
      </c>
      <c r="J16" s="5" t="s">
        <v>63</v>
      </c>
      <c r="K16" s="5" t="s">
        <v>63</v>
      </c>
      <c r="L16" s="5" t="s">
        <v>63</v>
      </c>
      <c r="M16" s="5" t="s">
        <v>63</v>
      </c>
      <c r="N16" s="5" t="s">
        <v>63</v>
      </c>
      <c r="O16" s="5" t="s">
        <v>63</v>
      </c>
      <c r="P16" s="5" t="s">
        <v>63</v>
      </c>
      <c r="Q16" s="5" t="s">
        <v>63</v>
      </c>
      <c r="R16" s="5" t="s">
        <v>63</v>
      </c>
      <c r="S16" s="5" t="s">
        <v>63</v>
      </c>
      <c r="T16" s="5" t="s">
        <v>63</v>
      </c>
      <c r="U16" s="5" t="s">
        <v>63</v>
      </c>
      <c r="V16" s="5" t="s">
        <v>63</v>
      </c>
      <c r="W16" s="5" t="s">
        <v>63</v>
      </c>
      <c r="X16" s="5" t="s">
        <v>63</v>
      </c>
      <c r="Y16" s="5" t="s">
        <v>63</v>
      </c>
      <c r="Z16" s="5" t="s">
        <v>63</v>
      </c>
      <c r="AA16" s="5" t="s">
        <v>63</v>
      </c>
      <c r="AB16" s="5" t="s">
        <v>63</v>
      </c>
      <c r="AC16" s="5" t="s">
        <v>63</v>
      </c>
      <c r="AD16" s="5" t="s">
        <v>63</v>
      </c>
      <c r="AE16" s="5" t="s">
        <v>63</v>
      </c>
      <c r="AF16" s="5" t="s">
        <v>63</v>
      </c>
      <c r="AG16" s="5" t="s">
        <v>63</v>
      </c>
      <c r="AH16" s="5" t="s">
        <v>63</v>
      </c>
      <c r="AI16" s="5" t="s">
        <v>63</v>
      </c>
      <c r="AJ16" s="14" t="s">
        <v>63</v>
      </c>
      <c r="AK16" s="5" t="s">
        <v>63</v>
      </c>
      <c r="AL16" s="5" t="s">
        <v>63</v>
      </c>
      <c r="AM16" s="5" t="s">
        <v>63</v>
      </c>
      <c r="AN16" s="5" t="s">
        <v>63</v>
      </c>
      <c r="AO16" s="5" t="s">
        <v>63</v>
      </c>
      <c r="AP16" s="5" t="s">
        <v>63</v>
      </c>
      <c r="AQ16" s="5" t="s">
        <v>63</v>
      </c>
      <c r="AR16" s="5" t="s">
        <v>63</v>
      </c>
      <c r="AS16" s="8" t="s">
        <v>63</v>
      </c>
      <c r="AT16" s="5" t="s">
        <v>63</v>
      </c>
      <c r="AU16" s="5" t="s">
        <v>63</v>
      </c>
      <c r="AV16" s="5" t="s">
        <v>63</v>
      </c>
      <c r="AW16" s="5" t="s">
        <v>63</v>
      </c>
      <c r="AX16" s="5" t="s">
        <v>63</v>
      </c>
      <c r="AY16" s="5" t="s">
        <v>63</v>
      </c>
      <c r="AZ16" s="5" t="s">
        <v>63</v>
      </c>
      <c r="BA16" s="5" t="s">
        <v>63</v>
      </c>
      <c r="BB16" s="5" t="s">
        <v>63</v>
      </c>
      <c r="BC16" s="5" t="s">
        <v>63</v>
      </c>
      <c r="BD16" s="5" t="s">
        <v>63</v>
      </c>
    </row>
    <row r="17" spans="1:71">
      <c r="A17" s="1" t="str">
        <f t="shared" si="0"/>
        <v>No</v>
      </c>
      <c r="B17" s="1" t="s">
        <v>59</v>
      </c>
      <c r="C17" s="1" t="s">
        <v>93</v>
      </c>
      <c r="D17" s="11" t="s">
        <v>61</v>
      </c>
      <c r="E17" s="1" t="s">
        <v>94</v>
      </c>
      <c r="F17" s="2">
        <v>3</v>
      </c>
      <c r="G17" s="5" t="s">
        <v>63</v>
      </c>
      <c r="H17" s="5" t="s">
        <v>63</v>
      </c>
      <c r="I17" s="5" t="s">
        <v>63</v>
      </c>
      <c r="J17" s="5" t="s">
        <v>63</v>
      </c>
      <c r="K17" s="5" t="s">
        <v>63</v>
      </c>
      <c r="L17" s="5" t="s">
        <v>63</v>
      </c>
      <c r="M17" s="5" t="s">
        <v>63</v>
      </c>
      <c r="N17" s="5" t="s">
        <v>63</v>
      </c>
      <c r="O17" s="5" t="s">
        <v>63</v>
      </c>
      <c r="P17" s="5" t="s">
        <v>63</v>
      </c>
      <c r="Q17" s="5" t="s">
        <v>63</v>
      </c>
      <c r="R17" s="5" t="s">
        <v>63</v>
      </c>
      <c r="S17" s="5" t="s">
        <v>63</v>
      </c>
      <c r="T17" s="5" t="s">
        <v>63</v>
      </c>
      <c r="U17" s="5" t="s">
        <v>63</v>
      </c>
      <c r="V17" s="5" t="s">
        <v>63</v>
      </c>
      <c r="W17" s="5" t="s">
        <v>63</v>
      </c>
      <c r="X17" s="5" t="s">
        <v>63</v>
      </c>
      <c r="Y17" s="5" t="s">
        <v>63</v>
      </c>
      <c r="Z17" s="5" t="s">
        <v>63</v>
      </c>
      <c r="AA17" s="5" t="s">
        <v>63</v>
      </c>
      <c r="AB17" s="5" t="s">
        <v>63</v>
      </c>
      <c r="AC17" s="5" t="s">
        <v>63</v>
      </c>
      <c r="AD17" s="5" t="s">
        <v>63</v>
      </c>
      <c r="AE17" s="5" t="s">
        <v>63</v>
      </c>
      <c r="AF17" s="5" t="s">
        <v>63</v>
      </c>
      <c r="AG17" s="5" t="s">
        <v>63</v>
      </c>
      <c r="AH17" s="5" t="s">
        <v>63</v>
      </c>
      <c r="AI17" s="5" t="s">
        <v>63</v>
      </c>
      <c r="AJ17" s="14" t="s">
        <v>63</v>
      </c>
      <c r="AK17" s="5" t="s">
        <v>63</v>
      </c>
      <c r="AL17" s="5" t="s">
        <v>63</v>
      </c>
      <c r="AM17" s="5" t="s">
        <v>64</v>
      </c>
      <c r="AN17" s="5" t="s">
        <v>64</v>
      </c>
      <c r="AO17" s="5" t="s">
        <v>64</v>
      </c>
      <c r="AP17" s="5" t="s">
        <v>63</v>
      </c>
      <c r="AQ17" s="5" t="s">
        <v>63</v>
      </c>
      <c r="AR17" s="5" t="s">
        <v>63</v>
      </c>
      <c r="AS17" s="8" t="s">
        <v>63</v>
      </c>
      <c r="AT17" s="5" t="s">
        <v>63</v>
      </c>
      <c r="AU17" s="5" t="s">
        <v>63</v>
      </c>
      <c r="AV17" s="5" t="s">
        <v>63</v>
      </c>
      <c r="AW17" s="5" t="s">
        <v>63</v>
      </c>
      <c r="AX17" s="5" t="s">
        <v>63</v>
      </c>
      <c r="AY17" s="5" t="s">
        <v>63</v>
      </c>
      <c r="AZ17" s="5" t="s">
        <v>63</v>
      </c>
      <c r="BA17" s="5" t="s">
        <v>63</v>
      </c>
      <c r="BB17" s="5" t="s">
        <v>63</v>
      </c>
      <c r="BC17" s="5" t="s">
        <v>63</v>
      </c>
      <c r="BD17" s="5" t="s">
        <v>63</v>
      </c>
      <c r="BN17" s="5" t="s">
        <v>64</v>
      </c>
    </row>
    <row r="18" spans="1:71">
      <c r="A18" s="1" t="str">
        <f t="shared" si="0"/>
        <v>Yes</v>
      </c>
      <c r="B18" s="1" t="s">
        <v>69</v>
      </c>
      <c r="C18" s="1" t="s">
        <v>95</v>
      </c>
      <c r="D18" s="11" t="s">
        <v>96</v>
      </c>
      <c r="E18" s="1" t="s">
        <v>97</v>
      </c>
      <c r="F18" s="2">
        <v>4</v>
      </c>
      <c r="G18" s="5" t="s">
        <v>63</v>
      </c>
      <c r="H18" s="5" t="s">
        <v>64</v>
      </c>
      <c r="I18" s="5" t="s">
        <v>64</v>
      </c>
      <c r="J18" s="5" t="s">
        <v>63</v>
      </c>
      <c r="K18" s="5" t="s">
        <v>63</v>
      </c>
      <c r="L18" s="5" t="s">
        <v>63</v>
      </c>
      <c r="M18" s="5" t="s">
        <v>64</v>
      </c>
      <c r="N18" s="5" t="s">
        <v>63</v>
      </c>
      <c r="O18" s="5" t="s">
        <v>63</v>
      </c>
      <c r="P18" s="5" t="s">
        <v>63</v>
      </c>
      <c r="Q18" s="5" t="s">
        <v>63</v>
      </c>
      <c r="R18" s="5" t="s">
        <v>63</v>
      </c>
      <c r="S18" s="5" t="s">
        <v>63</v>
      </c>
      <c r="T18" s="5" t="s">
        <v>63</v>
      </c>
      <c r="U18" s="5" t="s">
        <v>63</v>
      </c>
      <c r="V18" s="5"/>
      <c r="W18" s="5" t="s">
        <v>63</v>
      </c>
      <c r="X18" s="5" t="s">
        <v>63</v>
      </c>
      <c r="Y18" s="5" t="s">
        <v>63</v>
      </c>
      <c r="Z18" s="5" t="s">
        <v>63</v>
      </c>
      <c r="AA18" s="5" t="s">
        <v>63</v>
      </c>
      <c r="AB18" s="5" t="s">
        <v>63</v>
      </c>
      <c r="AC18" s="5" t="s">
        <v>63</v>
      </c>
      <c r="AD18" s="5" t="s">
        <v>63</v>
      </c>
      <c r="AE18" s="5" t="s">
        <v>63</v>
      </c>
      <c r="AF18" s="5" t="s">
        <v>63</v>
      </c>
      <c r="AG18" s="5" t="s">
        <v>63</v>
      </c>
      <c r="AH18" s="5" t="s">
        <v>63</v>
      </c>
      <c r="AI18" s="5" t="s">
        <v>63</v>
      </c>
      <c r="AJ18" s="14" t="s">
        <v>63</v>
      </c>
      <c r="AK18" s="5" t="s">
        <v>63</v>
      </c>
      <c r="AL18" s="5" t="s">
        <v>63</v>
      </c>
      <c r="AM18" s="5" t="s">
        <v>63</v>
      </c>
      <c r="AN18" s="5" t="s">
        <v>63</v>
      </c>
      <c r="AO18" s="5" t="s">
        <v>63</v>
      </c>
      <c r="AP18" s="5" t="s">
        <v>63</v>
      </c>
      <c r="AQ18" s="5" t="s">
        <v>63</v>
      </c>
      <c r="AR18" s="5" t="s">
        <v>63</v>
      </c>
      <c r="AS18" s="8" t="s">
        <v>63</v>
      </c>
      <c r="AT18" s="5" t="s">
        <v>63</v>
      </c>
      <c r="AU18" s="5" t="s">
        <v>63</v>
      </c>
      <c r="AV18" s="5" t="s">
        <v>63</v>
      </c>
      <c r="AW18" s="5" t="s">
        <v>63</v>
      </c>
      <c r="AX18" s="5" t="s">
        <v>63</v>
      </c>
      <c r="AY18" s="5" t="s">
        <v>63</v>
      </c>
      <c r="AZ18" s="5" t="s">
        <v>63</v>
      </c>
      <c r="BA18" s="5" t="s">
        <v>63</v>
      </c>
      <c r="BB18" s="5" t="s">
        <v>63</v>
      </c>
      <c r="BC18" s="5" t="s">
        <v>63</v>
      </c>
      <c r="BD18" s="5" t="s">
        <v>63</v>
      </c>
      <c r="BE18" s="5" t="s">
        <v>64</v>
      </c>
    </row>
    <row r="19" spans="1:71">
      <c r="A19" s="1" t="str">
        <f t="shared" si="0"/>
        <v>No</v>
      </c>
      <c r="B19" s="1" t="s">
        <v>59</v>
      </c>
      <c r="C19" s="1" t="s">
        <v>98</v>
      </c>
      <c r="D19" s="11" t="s">
        <v>61</v>
      </c>
      <c r="E19" s="1" t="s">
        <v>99</v>
      </c>
      <c r="F19" s="2">
        <v>3</v>
      </c>
      <c r="G19" s="5" t="s">
        <v>63</v>
      </c>
      <c r="H19" s="5" t="s">
        <v>63</v>
      </c>
      <c r="I19" s="5" t="s">
        <v>63</v>
      </c>
      <c r="J19" s="5" t="s">
        <v>63</v>
      </c>
      <c r="K19" s="5" t="s">
        <v>63</v>
      </c>
      <c r="L19" s="5" t="s">
        <v>63</v>
      </c>
      <c r="M19" s="5" t="s">
        <v>63</v>
      </c>
      <c r="N19" s="5" t="s">
        <v>63</v>
      </c>
      <c r="O19" s="5" t="s">
        <v>63</v>
      </c>
      <c r="P19" s="5" t="s">
        <v>63</v>
      </c>
      <c r="Q19" s="5" t="s">
        <v>63</v>
      </c>
      <c r="R19" s="5" t="s">
        <v>63</v>
      </c>
      <c r="S19" s="5" t="s">
        <v>63</v>
      </c>
      <c r="T19" s="5" t="s">
        <v>63</v>
      </c>
      <c r="U19" s="5" t="s">
        <v>63</v>
      </c>
      <c r="V19" s="5" t="s">
        <v>63</v>
      </c>
      <c r="W19" s="5" t="s">
        <v>63</v>
      </c>
      <c r="X19" s="5" t="s">
        <v>63</v>
      </c>
      <c r="Y19" s="5" t="s">
        <v>63</v>
      </c>
      <c r="Z19" s="5" t="s">
        <v>63</v>
      </c>
      <c r="AA19" s="5" t="s">
        <v>63</v>
      </c>
      <c r="AB19" s="5" t="s">
        <v>63</v>
      </c>
      <c r="AC19" s="5" t="s">
        <v>63</v>
      </c>
      <c r="AD19" s="5" t="s">
        <v>63</v>
      </c>
      <c r="AE19" s="5" t="s">
        <v>63</v>
      </c>
      <c r="AF19" s="5" t="s">
        <v>64</v>
      </c>
      <c r="AG19" s="5" t="s">
        <v>63</v>
      </c>
      <c r="AH19" s="5" t="s">
        <v>63</v>
      </c>
      <c r="AI19" s="5" t="s">
        <v>63</v>
      </c>
      <c r="AJ19" s="14" t="s">
        <v>63</v>
      </c>
      <c r="AK19" s="5" t="s">
        <v>63</v>
      </c>
      <c r="AL19" s="5" t="s">
        <v>63</v>
      </c>
      <c r="AM19" s="5" t="s">
        <v>63</v>
      </c>
      <c r="AN19" s="5" t="s">
        <v>63</v>
      </c>
      <c r="AO19" s="5" t="s">
        <v>63</v>
      </c>
      <c r="AP19" s="5" t="s">
        <v>63</v>
      </c>
      <c r="AQ19" s="5" t="s">
        <v>63</v>
      </c>
      <c r="AR19" s="5" t="s">
        <v>63</v>
      </c>
      <c r="AS19" s="8" t="s">
        <v>63</v>
      </c>
      <c r="AT19" s="5" t="s">
        <v>63</v>
      </c>
      <c r="AU19" s="5" t="s">
        <v>63</v>
      </c>
      <c r="AV19" s="5" t="s">
        <v>63</v>
      </c>
      <c r="AW19" s="5" t="s">
        <v>63</v>
      </c>
      <c r="AX19" s="5" t="s">
        <v>64</v>
      </c>
      <c r="AY19" s="5" t="s">
        <v>63</v>
      </c>
      <c r="AZ19" s="5" t="s">
        <v>63</v>
      </c>
      <c r="BA19" s="5" t="s">
        <v>63</v>
      </c>
      <c r="BB19" s="5" t="s">
        <v>63</v>
      </c>
      <c r="BC19" s="5" t="s">
        <v>63</v>
      </c>
      <c r="BD19" s="5" t="s">
        <v>63</v>
      </c>
      <c r="BI19" s="5" t="s">
        <v>64</v>
      </c>
      <c r="BR19" s="5" t="s">
        <v>64</v>
      </c>
    </row>
    <row r="20" spans="1:71">
      <c r="A20" s="1" t="str">
        <f t="shared" si="0"/>
        <v>No</v>
      </c>
      <c r="B20" s="1" t="s">
        <v>59</v>
      </c>
      <c r="C20" s="1" t="s">
        <v>100</v>
      </c>
      <c r="D20" s="11" t="s">
        <v>61</v>
      </c>
      <c r="E20" s="1" t="s">
        <v>101</v>
      </c>
      <c r="F20" s="2">
        <v>3</v>
      </c>
      <c r="G20" s="5" t="s">
        <v>63</v>
      </c>
      <c r="H20" s="5" t="s">
        <v>63</v>
      </c>
      <c r="I20" s="5" t="s">
        <v>63</v>
      </c>
      <c r="J20" s="5" t="s">
        <v>63</v>
      </c>
      <c r="K20" s="5" t="s">
        <v>63</v>
      </c>
      <c r="L20" s="5" t="s">
        <v>63</v>
      </c>
      <c r="M20" s="5" t="s">
        <v>63</v>
      </c>
      <c r="N20" s="5" t="s">
        <v>63</v>
      </c>
      <c r="O20" s="5" t="s">
        <v>63</v>
      </c>
      <c r="P20" s="5" t="s">
        <v>63</v>
      </c>
      <c r="Q20" s="5" t="s">
        <v>63</v>
      </c>
      <c r="R20" s="5" t="s">
        <v>63</v>
      </c>
      <c r="S20" s="5" t="s">
        <v>63</v>
      </c>
      <c r="T20" s="5" t="s">
        <v>63</v>
      </c>
      <c r="U20" s="5" t="s">
        <v>63</v>
      </c>
      <c r="V20" s="5" t="s">
        <v>63</v>
      </c>
      <c r="W20" s="5" t="s">
        <v>63</v>
      </c>
      <c r="X20" s="5" t="s">
        <v>63</v>
      </c>
      <c r="Y20" s="5" t="s">
        <v>63</v>
      </c>
      <c r="Z20" s="5" t="s">
        <v>63</v>
      </c>
      <c r="AA20" s="5" t="s">
        <v>63</v>
      </c>
      <c r="AB20" s="5" t="s">
        <v>63</v>
      </c>
      <c r="AC20" s="5" t="s">
        <v>63</v>
      </c>
      <c r="AD20" s="5" t="s">
        <v>63</v>
      </c>
      <c r="AE20" s="5" t="s">
        <v>63</v>
      </c>
      <c r="AF20" s="5" t="s">
        <v>64</v>
      </c>
      <c r="AG20" s="5" t="s">
        <v>63</v>
      </c>
      <c r="AH20" s="5" t="s">
        <v>63</v>
      </c>
      <c r="AI20" s="5" t="s">
        <v>63</v>
      </c>
      <c r="AJ20" s="14" t="s">
        <v>63</v>
      </c>
      <c r="AK20" s="5" t="s">
        <v>63</v>
      </c>
      <c r="AL20" s="5" t="s">
        <v>63</v>
      </c>
      <c r="AM20" s="5" t="s">
        <v>63</v>
      </c>
      <c r="AN20" s="5" t="s">
        <v>63</v>
      </c>
      <c r="AO20" s="5" t="s">
        <v>63</v>
      </c>
      <c r="AP20" s="5" t="s">
        <v>63</v>
      </c>
      <c r="AQ20" s="5" t="s">
        <v>63</v>
      </c>
      <c r="AR20" s="5" t="s">
        <v>63</v>
      </c>
      <c r="AS20" s="8" t="s">
        <v>63</v>
      </c>
      <c r="AT20" s="5" t="s">
        <v>63</v>
      </c>
      <c r="AU20" s="5" t="s">
        <v>63</v>
      </c>
      <c r="AV20" s="5" t="s">
        <v>63</v>
      </c>
      <c r="AW20" s="5" t="s">
        <v>63</v>
      </c>
      <c r="AX20" s="5" t="s">
        <v>64</v>
      </c>
      <c r="AY20" s="5" t="s">
        <v>63</v>
      </c>
      <c r="AZ20" s="5" t="s">
        <v>63</v>
      </c>
      <c r="BA20" s="5"/>
      <c r="BB20" s="5" t="s">
        <v>63</v>
      </c>
      <c r="BC20" s="5" t="s">
        <v>63</v>
      </c>
      <c r="BD20" s="5" t="s">
        <v>63</v>
      </c>
      <c r="BI20" s="5" t="s">
        <v>64</v>
      </c>
      <c r="BR20" s="5" t="s">
        <v>64</v>
      </c>
      <c r="BS20" s="5" t="s">
        <v>64</v>
      </c>
    </row>
    <row r="21" spans="1:71">
      <c r="A21" s="1" t="str">
        <f t="shared" si="0"/>
        <v>No</v>
      </c>
      <c r="B21" s="1" t="s">
        <v>59</v>
      </c>
      <c r="C21" s="1" t="s">
        <v>102</v>
      </c>
      <c r="D21" s="11" t="s">
        <v>61</v>
      </c>
      <c r="E21" s="1" t="s">
        <v>103</v>
      </c>
      <c r="F21" s="2">
        <v>3</v>
      </c>
      <c r="G21" s="5" t="s">
        <v>63</v>
      </c>
      <c r="H21" s="5" t="s">
        <v>63</v>
      </c>
      <c r="I21" s="5" t="s">
        <v>63</v>
      </c>
      <c r="J21" s="5" t="s">
        <v>63</v>
      </c>
      <c r="K21" s="5" t="s">
        <v>63</v>
      </c>
      <c r="L21" s="5" t="s">
        <v>63</v>
      </c>
      <c r="M21" s="5" t="s">
        <v>63</v>
      </c>
      <c r="N21" s="5" t="s">
        <v>63</v>
      </c>
      <c r="O21" s="5" t="s">
        <v>63</v>
      </c>
      <c r="P21" s="5" t="s">
        <v>63</v>
      </c>
      <c r="Q21" s="5" t="s">
        <v>63</v>
      </c>
      <c r="R21" s="5" t="s">
        <v>63</v>
      </c>
      <c r="S21" s="5" t="s">
        <v>63</v>
      </c>
      <c r="T21" s="5" t="s">
        <v>63</v>
      </c>
      <c r="U21" s="5" t="s">
        <v>63</v>
      </c>
      <c r="V21" s="5" t="s">
        <v>63</v>
      </c>
      <c r="W21" s="5" t="s">
        <v>63</v>
      </c>
      <c r="X21" s="5" t="s">
        <v>63</v>
      </c>
      <c r="Y21" s="5" t="s">
        <v>63</v>
      </c>
      <c r="Z21" s="5" t="s">
        <v>63</v>
      </c>
      <c r="AA21" s="5" t="s">
        <v>63</v>
      </c>
      <c r="AB21" s="5" t="s">
        <v>63</v>
      </c>
      <c r="AC21" s="5" t="s">
        <v>63</v>
      </c>
      <c r="AD21" s="5" t="s">
        <v>63</v>
      </c>
      <c r="AE21" s="5" t="s">
        <v>63</v>
      </c>
      <c r="AF21" s="5" t="s">
        <v>63</v>
      </c>
      <c r="AG21" s="5" t="s">
        <v>63</v>
      </c>
      <c r="AH21" s="5" t="s">
        <v>63</v>
      </c>
      <c r="AI21" s="5" t="s">
        <v>63</v>
      </c>
      <c r="AJ21" s="14" t="s">
        <v>63</v>
      </c>
      <c r="AK21" s="5" t="s">
        <v>63</v>
      </c>
      <c r="AL21" s="5" t="s">
        <v>63</v>
      </c>
      <c r="AM21" s="5" t="s">
        <v>63</v>
      </c>
      <c r="AN21" s="5" t="s">
        <v>63</v>
      </c>
      <c r="AO21" s="5" t="s">
        <v>63</v>
      </c>
      <c r="AP21" s="5" t="s">
        <v>63</v>
      </c>
      <c r="AQ21" s="5" t="s">
        <v>63</v>
      </c>
      <c r="AR21" s="5" t="s">
        <v>63</v>
      </c>
      <c r="AS21" s="8" t="s">
        <v>63</v>
      </c>
      <c r="AT21" s="5" t="s">
        <v>63</v>
      </c>
      <c r="AU21" s="5" t="s">
        <v>63</v>
      </c>
      <c r="AV21" s="5" t="s">
        <v>63</v>
      </c>
      <c r="AW21" s="5" t="s">
        <v>63</v>
      </c>
      <c r="AX21" s="5" t="s">
        <v>63</v>
      </c>
      <c r="AY21" s="5" t="s">
        <v>63</v>
      </c>
      <c r="AZ21" s="5" t="s">
        <v>63</v>
      </c>
      <c r="BA21" s="5" t="s">
        <v>63</v>
      </c>
      <c r="BB21" s="5" t="s">
        <v>63</v>
      </c>
      <c r="BC21" s="5" t="s">
        <v>63</v>
      </c>
      <c r="BD21" s="5" t="s">
        <v>63</v>
      </c>
    </row>
    <row r="22" spans="1:71">
      <c r="A22" s="1" t="str">
        <f t="shared" si="0"/>
        <v>No</v>
      </c>
      <c r="B22" s="1" t="s">
        <v>59</v>
      </c>
      <c r="C22" s="1" t="s">
        <v>104</v>
      </c>
      <c r="D22" s="11" t="s">
        <v>61</v>
      </c>
      <c r="E22" s="1" t="s">
        <v>105</v>
      </c>
      <c r="F22" s="2">
        <v>3</v>
      </c>
      <c r="G22" s="5" t="s">
        <v>63</v>
      </c>
      <c r="H22" s="5" t="s">
        <v>63</v>
      </c>
      <c r="I22" s="5" t="s">
        <v>63</v>
      </c>
      <c r="J22" s="5" t="s">
        <v>63</v>
      </c>
      <c r="K22" s="5" t="s">
        <v>63</v>
      </c>
      <c r="L22" s="5" t="s">
        <v>63</v>
      </c>
      <c r="M22" s="5" t="s">
        <v>63</v>
      </c>
      <c r="N22" s="5" t="s">
        <v>63</v>
      </c>
      <c r="O22" s="5" t="s">
        <v>63</v>
      </c>
      <c r="P22" s="5" t="s">
        <v>63</v>
      </c>
      <c r="Q22" s="5" t="s">
        <v>63</v>
      </c>
      <c r="R22" s="5" t="s">
        <v>63</v>
      </c>
      <c r="S22" s="5" t="s">
        <v>63</v>
      </c>
      <c r="T22" s="5" t="s">
        <v>63</v>
      </c>
      <c r="U22" s="5" t="s">
        <v>63</v>
      </c>
      <c r="V22" s="5" t="s">
        <v>63</v>
      </c>
      <c r="W22" s="5" t="s">
        <v>63</v>
      </c>
      <c r="X22" s="5" t="s">
        <v>63</v>
      </c>
      <c r="Y22" s="5" t="s">
        <v>63</v>
      </c>
      <c r="Z22" s="5" t="s">
        <v>63</v>
      </c>
      <c r="AA22" s="5" t="s">
        <v>63</v>
      </c>
      <c r="AB22" s="5" t="s">
        <v>63</v>
      </c>
      <c r="AC22" s="5" t="s">
        <v>63</v>
      </c>
      <c r="AD22" s="5" t="s">
        <v>63</v>
      </c>
      <c r="AE22" s="5" t="s">
        <v>63</v>
      </c>
      <c r="AF22" s="5" t="s">
        <v>63</v>
      </c>
      <c r="AG22" s="5" t="s">
        <v>63</v>
      </c>
      <c r="AH22" s="5" t="s">
        <v>63</v>
      </c>
      <c r="AI22" s="5" t="s">
        <v>63</v>
      </c>
      <c r="AJ22" s="14" t="s">
        <v>63</v>
      </c>
      <c r="AK22" s="5" t="s">
        <v>63</v>
      </c>
      <c r="AL22" s="5" t="s">
        <v>63</v>
      </c>
      <c r="AM22" s="5" t="s">
        <v>63</v>
      </c>
      <c r="AN22" s="5" t="s">
        <v>63</v>
      </c>
      <c r="AO22" s="5" t="s">
        <v>63</v>
      </c>
      <c r="AP22" s="5" t="s">
        <v>63</v>
      </c>
      <c r="AQ22" s="5" t="s">
        <v>63</v>
      </c>
      <c r="AR22" s="5" t="s">
        <v>63</v>
      </c>
      <c r="AS22" s="8" t="s">
        <v>63</v>
      </c>
      <c r="AT22" s="5" t="s">
        <v>63</v>
      </c>
      <c r="AU22" s="5" t="s">
        <v>63</v>
      </c>
      <c r="AV22" s="5" t="s">
        <v>63</v>
      </c>
      <c r="AW22" s="5" t="s">
        <v>63</v>
      </c>
      <c r="AX22" s="5" t="s">
        <v>63</v>
      </c>
      <c r="AY22" s="5" t="s">
        <v>63</v>
      </c>
      <c r="AZ22" s="5" t="s">
        <v>63</v>
      </c>
      <c r="BA22" s="5" t="s">
        <v>63</v>
      </c>
      <c r="BB22" s="5" t="s">
        <v>63</v>
      </c>
      <c r="BC22" s="5" t="s">
        <v>63</v>
      </c>
      <c r="BD22" s="5" t="s">
        <v>63</v>
      </c>
    </row>
    <row r="23" spans="1:71">
      <c r="A23" s="1" t="str">
        <f t="shared" si="0"/>
        <v>Yes</v>
      </c>
      <c r="B23" s="1" t="s">
        <v>106</v>
      </c>
      <c r="C23" s="1" t="s">
        <v>107</v>
      </c>
      <c r="D23" s="11" t="s">
        <v>77</v>
      </c>
      <c r="E23" s="1" t="s">
        <v>108</v>
      </c>
      <c r="F23" s="2">
        <v>3</v>
      </c>
      <c r="G23" s="5" t="s">
        <v>63</v>
      </c>
      <c r="H23" s="5" t="s">
        <v>63</v>
      </c>
      <c r="I23" s="5" t="s">
        <v>63</v>
      </c>
      <c r="J23" s="5" t="s">
        <v>63</v>
      </c>
      <c r="K23" s="5" t="s">
        <v>63</v>
      </c>
      <c r="L23" s="5" t="s">
        <v>63</v>
      </c>
      <c r="M23" s="5" t="s">
        <v>63</v>
      </c>
      <c r="N23" s="5" t="s">
        <v>63</v>
      </c>
      <c r="O23" s="5" t="s">
        <v>63</v>
      </c>
      <c r="P23" s="5" t="s">
        <v>63</v>
      </c>
      <c r="Q23" s="5" t="s">
        <v>63</v>
      </c>
      <c r="R23" s="5" t="s">
        <v>63</v>
      </c>
      <c r="S23" s="5" t="s">
        <v>63</v>
      </c>
      <c r="T23" s="5" t="s">
        <v>63</v>
      </c>
      <c r="U23" s="5" t="s">
        <v>63</v>
      </c>
      <c r="V23" s="5" t="s">
        <v>63</v>
      </c>
      <c r="W23" s="5" t="s">
        <v>63</v>
      </c>
      <c r="X23" s="5" t="s">
        <v>63</v>
      </c>
      <c r="Y23" s="5" t="s">
        <v>63</v>
      </c>
      <c r="Z23" s="5" t="s">
        <v>63</v>
      </c>
      <c r="AA23" s="5" t="s">
        <v>63</v>
      </c>
      <c r="AB23" s="5" t="s">
        <v>63</v>
      </c>
      <c r="AC23" s="5" t="s">
        <v>63</v>
      </c>
      <c r="AD23" s="5" t="s">
        <v>63</v>
      </c>
      <c r="AE23" s="5" t="s">
        <v>63</v>
      </c>
      <c r="AF23" s="5" t="s">
        <v>63</v>
      </c>
      <c r="AG23" s="5" t="s">
        <v>63</v>
      </c>
      <c r="AH23" s="5" t="s">
        <v>63</v>
      </c>
      <c r="AI23" s="5" t="s">
        <v>63</v>
      </c>
      <c r="AJ23" s="14" t="s">
        <v>64</v>
      </c>
      <c r="AK23" s="5" t="s">
        <v>64</v>
      </c>
      <c r="AL23" s="5" t="s">
        <v>63</v>
      </c>
      <c r="AM23" s="5" t="s">
        <v>64</v>
      </c>
      <c r="AN23" s="5" t="s">
        <v>64</v>
      </c>
      <c r="AO23" s="5" t="s">
        <v>64</v>
      </c>
      <c r="AP23" s="5" t="s">
        <v>63</v>
      </c>
      <c r="AQ23" s="5" t="s">
        <v>63</v>
      </c>
      <c r="AR23" s="5" t="s">
        <v>63</v>
      </c>
      <c r="AS23" s="8" t="s">
        <v>63</v>
      </c>
      <c r="AT23" s="5" t="s">
        <v>63</v>
      </c>
      <c r="AU23" s="5" t="s">
        <v>63</v>
      </c>
      <c r="AV23" s="5" t="s">
        <v>63</v>
      </c>
      <c r="AW23" s="5" t="s">
        <v>63</v>
      </c>
      <c r="AX23" s="5" t="s">
        <v>63</v>
      </c>
      <c r="AY23" s="5" t="s">
        <v>63</v>
      </c>
      <c r="AZ23" s="5" t="s">
        <v>63</v>
      </c>
      <c r="BA23" s="5" t="s">
        <v>63</v>
      </c>
      <c r="BB23" s="5" t="s">
        <v>63</v>
      </c>
      <c r="BC23" s="5" t="s">
        <v>63</v>
      </c>
      <c r="BD23" s="5" t="s">
        <v>63</v>
      </c>
      <c r="BL23" s="5" t="s">
        <v>64</v>
      </c>
      <c r="BN23" s="5" t="s">
        <v>64</v>
      </c>
    </row>
    <row r="24" spans="1:71">
      <c r="A24" s="1" t="str">
        <f t="shared" si="0"/>
        <v>No</v>
      </c>
      <c r="B24" s="1" t="s">
        <v>59</v>
      </c>
      <c r="C24" s="1" t="s">
        <v>109</v>
      </c>
      <c r="D24" s="11" t="s">
        <v>61</v>
      </c>
      <c r="E24" s="1" t="s">
        <v>110</v>
      </c>
      <c r="F24" s="2" t="s">
        <v>63</v>
      </c>
      <c r="G24" s="5" t="s">
        <v>63</v>
      </c>
      <c r="H24" s="5" t="s">
        <v>63</v>
      </c>
      <c r="I24" s="5" t="s">
        <v>63</v>
      </c>
      <c r="J24" s="5" t="s">
        <v>63</v>
      </c>
      <c r="K24" s="5" t="s">
        <v>63</v>
      </c>
      <c r="L24" s="5" t="s">
        <v>63</v>
      </c>
      <c r="M24" s="5" t="s">
        <v>63</v>
      </c>
      <c r="N24" s="5" t="s">
        <v>63</v>
      </c>
      <c r="O24" s="5" t="s">
        <v>63</v>
      </c>
      <c r="P24" s="5" t="s">
        <v>63</v>
      </c>
      <c r="Q24" s="5" t="s">
        <v>63</v>
      </c>
      <c r="R24" s="5" t="s">
        <v>63</v>
      </c>
      <c r="S24" s="5" t="s">
        <v>63</v>
      </c>
      <c r="T24" s="5" t="s">
        <v>63</v>
      </c>
      <c r="U24" s="5" t="s">
        <v>63</v>
      </c>
      <c r="V24" s="5" t="s">
        <v>63</v>
      </c>
      <c r="W24" s="5" t="s">
        <v>63</v>
      </c>
      <c r="X24" s="5" t="s">
        <v>63</v>
      </c>
      <c r="Y24" s="5" t="s">
        <v>63</v>
      </c>
      <c r="Z24" s="5" t="s">
        <v>63</v>
      </c>
      <c r="AA24" s="5" t="s">
        <v>63</v>
      </c>
      <c r="AB24" s="5" t="s">
        <v>63</v>
      </c>
      <c r="AC24" s="5" t="s">
        <v>63</v>
      </c>
      <c r="AD24" s="5" t="s">
        <v>63</v>
      </c>
      <c r="AE24" s="5" t="s">
        <v>63</v>
      </c>
      <c r="AF24" s="5" t="s">
        <v>63</v>
      </c>
      <c r="AG24" s="5" t="s">
        <v>63</v>
      </c>
      <c r="AH24" s="5" t="s">
        <v>63</v>
      </c>
      <c r="AI24" s="5" t="s">
        <v>63</v>
      </c>
      <c r="AJ24" s="14" t="s">
        <v>63</v>
      </c>
      <c r="AK24" s="5" t="s">
        <v>63</v>
      </c>
      <c r="AL24" s="5" t="s">
        <v>63</v>
      </c>
      <c r="AM24" s="5" t="s">
        <v>63</v>
      </c>
      <c r="AN24" s="5" t="s">
        <v>63</v>
      </c>
      <c r="AO24" s="5" t="s">
        <v>64</v>
      </c>
      <c r="AP24" s="5" t="s">
        <v>63</v>
      </c>
      <c r="AQ24" s="5" t="s">
        <v>63</v>
      </c>
      <c r="AR24" s="5" t="s">
        <v>63</v>
      </c>
      <c r="AS24" s="8" t="s">
        <v>63</v>
      </c>
      <c r="AT24" s="5" t="s">
        <v>63</v>
      </c>
      <c r="AU24" s="5" t="s">
        <v>63</v>
      </c>
      <c r="AV24" s="5" t="s">
        <v>63</v>
      </c>
      <c r="AW24" s="5" t="s">
        <v>63</v>
      </c>
      <c r="AX24" s="5" t="s">
        <v>63</v>
      </c>
      <c r="AY24" s="5" t="s">
        <v>63</v>
      </c>
      <c r="AZ24" s="5" t="s">
        <v>63</v>
      </c>
      <c r="BA24" s="5" t="s">
        <v>63</v>
      </c>
      <c r="BB24" s="5" t="s">
        <v>63</v>
      </c>
      <c r="BC24" s="5" t="s">
        <v>63</v>
      </c>
      <c r="BD24" s="5" t="s">
        <v>63</v>
      </c>
      <c r="BN24" s="5" t="s">
        <v>64</v>
      </c>
    </row>
    <row r="25" spans="1:71">
      <c r="A25" s="1" t="str">
        <f t="shared" si="0"/>
        <v>No</v>
      </c>
      <c r="B25" s="1" t="s">
        <v>59</v>
      </c>
      <c r="C25" s="1" t="s">
        <v>109</v>
      </c>
      <c r="D25" s="11" t="s">
        <v>61</v>
      </c>
      <c r="E25" s="1" t="s">
        <v>111</v>
      </c>
      <c r="F25" s="2" t="s">
        <v>63</v>
      </c>
      <c r="G25" s="5" t="s">
        <v>63</v>
      </c>
      <c r="H25" s="5" t="s">
        <v>63</v>
      </c>
      <c r="I25" s="5" t="s">
        <v>63</v>
      </c>
      <c r="J25" s="5" t="s">
        <v>63</v>
      </c>
      <c r="K25" s="5" t="s">
        <v>63</v>
      </c>
      <c r="L25" s="5" t="s">
        <v>63</v>
      </c>
      <c r="M25" s="5" t="s">
        <v>63</v>
      </c>
      <c r="N25" s="5" t="s">
        <v>63</v>
      </c>
      <c r="O25" s="5" t="s">
        <v>63</v>
      </c>
      <c r="P25" s="5" t="s">
        <v>63</v>
      </c>
      <c r="Q25" s="5" t="s">
        <v>63</v>
      </c>
      <c r="R25" s="5" t="s">
        <v>63</v>
      </c>
      <c r="S25" s="5" t="s">
        <v>63</v>
      </c>
      <c r="T25" s="5" t="s">
        <v>63</v>
      </c>
      <c r="U25" s="5" t="s">
        <v>63</v>
      </c>
      <c r="V25" s="5" t="s">
        <v>63</v>
      </c>
      <c r="W25" s="5" t="s">
        <v>63</v>
      </c>
      <c r="X25" s="5" t="s">
        <v>63</v>
      </c>
      <c r="Y25" s="5" t="s">
        <v>63</v>
      </c>
      <c r="Z25" s="5" t="s">
        <v>63</v>
      </c>
      <c r="AA25" s="5" t="s">
        <v>63</v>
      </c>
      <c r="AB25" s="5" t="s">
        <v>63</v>
      </c>
      <c r="AC25" s="5" t="s">
        <v>63</v>
      </c>
      <c r="AD25" s="5" t="s">
        <v>63</v>
      </c>
      <c r="AE25" s="5" t="s">
        <v>63</v>
      </c>
      <c r="AF25" s="5" t="s">
        <v>63</v>
      </c>
      <c r="AG25" s="5" t="s">
        <v>63</v>
      </c>
      <c r="AH25" s="5" t="s">
        <v>63</v>
      </c>
      <c r="AI25" s="5" t="s">
        <v>63</v>
      </c>
      <c r="AJ25" s="14" t="s">
        <v>63</v>
      </c>
      <c r="AK25" s="5" t="s">
        <v>63</v>
      </c>
      <c r="AL25" s="5" t="s">
        <v>63</v>
      </c>
      <c r="AM25" s="5" t="s">
        <v>63</v>
      </c>
      <c r="AN25" s="5" t="s">
        <v>63</v>
      </c>
      <c r="AO25" s="5" t="s">
        <v>63</v>
      </c>
      <c r="AP25" s="5" t="s">
        <v>63</v>
      </c>
      <c r="AQ25" s="5" t="s">
        <v>63</v>
      </c>
      <c r="AR25" s="5" t="s">
        <v>63</v>
      </c>
      <c r="AS25" s="8" t="s">
        <v>63</v>
      </c>
      <c r="AT25" s="5" t="s">
        <v>63</v>
      </c>
      <c r="AU25" s="5" t="s">
        <v>63</v>
      </c>
      <c r="AV25" s="5" t="s">
        <v>63</v>
      </c>
      <c r="AW25" s="5" t="s">
        <v>63</v>
      </c>
      <c r="AX25" s="5" t="s">
        <v>63</v>
      </c>
      <c r="AY25" s="5" t="s">
        <v>63</v>
      </c>
      <c r="AZ25" s="5" t="s">
        <v>63</v>
      </c>
      <c r="BA25" s="5" t="s">
        <v>63</v>
      </c>
      <c r="BB25" s="5" t="s">
        <v>63</v>
      </c>
      <c r="BC25" s="5" t="s">
        <v>63</v>
      </c>
      <c r="BD25" s="5" t="s">
        <v>63</v>
      </c>
    </row>
    <row r="26" spans="1:71">
      <c r="A26" s="1" t="str">
        <f t="shared" si="0"/>
        <v>No</v>
      </c>
      <c r="B26" s="1" t="s">
        <v>59</v>
      </c>
      <c r="C26" s="1" t="s">
        <v>109</v>
      </c>
      <c r="D26" s="11" t="s">
        <v>61</v>
      </c>
      <c r="E26" s="1" t="s">
        <v>112</v>
      </c>
      <c r="F26" s="2" t="s">
        <v>63</v>
      </c>
      <c r="G26" s="5" t="s">
        <v>63</v>
      </c>
      <c r="H26" s="5" t="s">
        <v>63</v>
      </c>
      <c r="I26" s="5" t="s">
        <v>63</v>
      </c>
      <c r="J26" s="5" t="s">
        <v>63</v>
      </c>
      <c r="K26" s="5" t="s">
        <v>63</v>
      </c>
      <c r="L26" s="5" t="s">
        <v>63</v>
      </c>
      <c r="M26" s="5" t="s">
        <v>63</v>
      </c>
      <c r="N26" s="5" t="s">
        <v>63</v>
      </c>
      <c r="O26" s="5" t="s">
        <v>63</v>
      </c>
      <c r="P26" s="5" t="s">
        <v>63</v>
      </c>
      <c r="Q26" s="5" t="s">
        <v>63</v>
      </c>
      <c r="R26" s="5" t="s">
        <v>63</v>
      </c>
      <c r="S26" s="5" t="s">
        <v>63</v>
      </c>
      <c r="T26" s="5" t="s">
        <v>63</v>
      </c>
      <c r="U26" s="5" t="s">
        <v>63</v>
      </c>
      <c r="V26" s="5" t="s">
        <v>63</v>
      </c>
      <c r="W26" s="5" t="s">
        <v>63</v>
      </c>
      <c r="X26" s="5" t="s">
        <v>63</v>
      </c>
      <c r="Y26" s="5" t="s">
        <v>63</v>
      </c>
      <c r="Z26" s="5" t="s">
        <v>63</v>
      </c>
      <c r="AA26" s="5" t="s">
        <v>63</v>
      </c>
      <c r="AB26" s="5" t="s">
        <v>63</v>
      </c>
      <c r="AC26" s="5" t="s">
        <v>63</v>
      </c>
      <c r="AD26" s="5" t="s">
        <v>63</v>
      </c>
      <c r="AE26" s="5" t="s">
        <v>63</v>
      </c>
      <c r="AF26" s="5" t="s">
        <v>63</v>
      </c>
      <c r="AG26" s="5" t="s">
        <v>63</v>
      </c>
      <c r="AH26" s="5" t="s">
        <v>63</v>
      </c>
      <c r="AI26" s="5" t="s">
        <v>63</v>
      </c>
      <c r="AJ26" s="14" t="s">
        <v>63</v>
      </c>
      <c r="AK26" s="5" t="s">
        <v>63</v>
      </c>
      <c r="AL26" s="5" t="s">
        <v>63</v>
      </c>
      <c r="AM26" s="5" t="s">
        <v>63</v>
      </c>
      <c r="AN26" s="5" t="s">
        <v>63</v>
      </c>
      <c r="AO26" s="5" t="s">
        <v>63</v>
      </c>
      <c r="AP26" s="5" t="s">
        <v>63</v>
      </c>
      <c r="AQ26" s="5" t="s">
        <v>63</v>
      </c>
      <c r="AR26" s="5" t="s">
        <v>63</v>
      </c>
      <c r="AS26" s="8" t="s">
        <v>63</v>
      </c>
      <c r="AT26" s="5" t="s">
        <v>63</v>
      </c>
      <c r="AU26" s="5" t="s">
        <v>63</v>
      </c>
      <c r="AV26" s="5" t="s">
        <v>63</v>
      </c>
      <c r="AW26" s="5" t="s">
        <v>63</v>
      </c>
      <c r="AX26" s="5" t="s">
        <v>63</v>
      </c>
      <c r="AY26" s="5" t="s">
        <v>63</v>
      </c>
      <c r="AZ26" s="5" t="s">
        <v>63</v>
      </c>
      <c r="BA26" s="5" t="s">
        <v>63</v>
      </c>
      <c r="BB26" s="5" t="s">
        <v>63</v>
      </c>
      <c r="BC26" s="5" t="s">
        <v>63</v>
      </c>
      <c r="BD26" s="5" t="s">
        <v>63</v>
      </c>
    </row>
    <row r="27" spans="1:71">
      <c r="A27" s="1" t="str">
        <f t="shared" si="0"/>
        <v>No</v>
      </c>
      <c r="B27" s="1" t="s">
        <v>59</v>
      </c>
      <c r="C27" s="1" t="s">
        <v>109</v>
      </c>
      <c r="D27" s="11" t="s">
        <v>61</v>
      </c>
      <c r="E27" s="1" t="s">
        <v>113</v>
      </c>
      <c r="F27" s="2" t="s">
        <v>63</v>
      </c>
      <c r="G27" s="5" t="s">
        <v>63</v>
      </c>
      <c r="H27" s="5" t="s">
        <v>63</v>
      </c>
      <c r="I27" s="5" t="s">
        <v>63</v>
      </c>
      <c r="J27" s="5" t="s">
        <v>63</v>
      </c>
      <c r="K27" s="5" t="s">
        <v>63</v>
      </c>
      <c r="L27" s="5" t="s">
        <v>63</v>
      </c>
      <c r="M27" s="5" t="s">
        <v>63</v>
      </c>
      <c r="N27" s="5" t="s">
        <v>63</v>
      </c>
      <c r="O27" s="5" t="s">
        <v>63</v>
      </c>
      <c r="P27" s="5" t="s">
        <v>63</v>
      </c>
      <c r="Q27" s="5" t="s">
        <v>63</v>
      </c>
      <c r="R27" s="5" t="s">
        <v>63</v>
      </c>
      <c r="S27" s="5" t="s">
        <v>63</v>
      </c>
      <c r="T27" s="5" t="s">
        <v>63</v>
      </c>
      <c r="U27" s="5" t="s">
        <v>63</v>
      </c>
      <c r="V27" s="5" t="s">
        <v>63</v>
      </c>
      <c r="W27" s="5" t="s">
        <v>63</v>
      </c>
      <c r="X27" s="5" t="s">
        <v>63</v>
      </c>
      <c r="Y27" s="5" t="s">
        <v>63</v>
      </c>
      <c r="Z27" s="5" t="s">
        <v>63</v>
      </c>
      <c r="AA27" s="5" t="s">
        <v>63</v>
      </c>
      <c r="AB27" s="5" t="s">
        <v>63</v>
      </c>
      <c r="AC27" s="5" t="s">
        <v>63</v>
      </c>
      <c r="AD27" s="5" t="s">
        <v>63</v>
      </c>
      <c r="AE27" s="5" t="s">
        <v>63</v>
      </c>
      <c r="AF27" s="5" t="s">
        <v>63</v>
      </c>
      <c r="AG27" s="5" t="s">
        <v>63</v>
      </c>
      <c r="AH27" s="5" t="s">
        <v>63</v>
      </c>
      <c r="AI27" s="5" t="s">
        <v>63</v>
      </c>
      <c r="AJ27" s="14" t="s">
        <v>64</v>
      </c>
      <c r="AK27" s="5" t="s">
        <v>64</v>
      </c>
      <c r="AL27" s="5" t="s">
        <v>63</v>
      </c>
      <c r="AM27" s="5" t="s">
        <v>64</v>
      </c>
      <c r="AN27" s="5" t="s">
        <v>64</v>
      </c>
      <c r="AO27" s="5" t="s">
        <v>64</v>
      </c>
      <c r="AP27" s="5" t="s">
        <v>63</v>
      </c>
      <c r="AQ27" s="5" t="s">
        <v>63</v>
      </c>
      <c r="AR27" s="5" t="s">
        <v>63</v>
      </c>
      <c r="AS27" s="8" t="s">
        <v>63</v>
      </c>
      <c r="AT27" s="5" t="s">
        <v>63</v>
      </c>
      <c r="AU27" s="5" t="s">
        <v>63</v>
      </c>
      <c r="AV27" s="5" t="s">
        <v>63</v>
      </c>
      <c r="AW27" s="5" t="s">
        <v>63</v>
      </c>
      <c r="AX27" s="5" t="s">
        <v>63</v>
      </c>
      <c r="AY27" s="5" t="s">
        <v>63</v>
      </c>
      <c r="AZ27" s="5" t="s">
        <v>63</v>
      </c>
      <c r="BA27" s="5" t="s">
        <v>63</v>
      </c>
      <c r="BB27" s="5" t="s">
        <v>63</v>
      </c>
      <c r="BC27" s="5" t="s">
        <v>63</v>
      </c>
      <c r="BD27" s="5" t="s">
        <v>63</v>
      </c>
      <c r="BL27" s="5" t="s">
        <v>64</v>
      </c>
      <c r="BN27" s="5" t="s">
        <v>64</v>
      </c>
    </row>
    <row r="28" spans="1:71">
      <c r="A28" s="1" t="str">
        <f t="shared" si="0"/>
        <v>No</v>
      </c>
      <c r="B28" s="1" t="s">
        <v>59</v>
      </c>
      <c r="C28" s="1" t="s">
        <v>109</v>
      </c>
      <c r="D28" s="11" t="s">
        <v>61</v>
      </c>
      <c r="E28" s="1" t="s">
        <v>114</v>
      </c>
      <c r="F28" s="2" t="s">
        <v>63</v>
      </c>
      <c r="G28" s="5" t="s">
        <v>63</v>
      </c>
      <c r="H28" s="5" t="s">
        <v>63</v>
      </c>
      <c r="I28" s="5" t="s">
        <v>63</v>
      </c>
      <c r="J28" s="5" t="s">
        <v>63</v>
      </c>
      <c r="K28" s="5" t="s">
        <v>63</v>
      </c>
      <c r="L28" s="5" t="s">
        <v>63</v>
      </c>
      <c r="M28" s="5" t="s">
        <v>63</v>
      </c>
      <c r="N28" s="5" t="s">
        <v>63</v>
      </c>
      <c r="O28" s="5" t="s">
        <v>63</v>
      </c>
      <c r="P28" s="5" t="s">
        <v>63</v>
      </c>
      <c r="Q28" s="5" t="s">
        <v>63</v>
      </c>
      <c r="R28" s="5" t="s">
        <v>63</v>
      </c>
      <c r="S28" s="5" t="s">
        <v>63</v>
      </c>
      <c r="T28" s="5" t="s">
        <v>63</v>
      </c>
      <c r="U28" s="5" t="s">
        <v>63</v>
      </c>
      <c r="V28" s="5" t="s">
        <v>63</v>
      </c>
      <c r="W28" s="5" t="s">
        <v>63</v>
      </c>
      <c r="X28" s="5" t="s">
        <v>63</v>
      </c>
      <c r="Y28" s="5" t="s">
        <v>63</v>
      </c>
      <c r="Z28" s="5" t="s">
        <v>63</v>
      </c>
      <c r="AA28" s="5" t="s">
        <v>63</v>
      </c>
      <c r="AB28" s="5" t="s">
        <v>63</v>
      </c>
      <c r="AC28" s="5" t="s">
        <v>63</v>
      </c>
      <c r="AD28" s="5" t="s">
        <v>63</v>
      </c>
      <c r="AE28" s="5" t="s">
        <v>63</v>
      </c>
      <c r="AF28" s="5" t="s">
        <v>64</v>
      </c>
      <c r="AG28" s="5" t="s">
        <v>63</v>
      </c>
      <c r="AH28" s="5" t="s">
        <v>63</v>
      </c>
      <c r="AI28" s="5" t="s">
        <v>63</v>
      </c>
      <c r="AJ28" s="14" t="s">
        <v>63</v>
      </c>
      <c r="AK28" s="5" t="s">
        <v>63</v>
      </c>
      <c r="AL28" s="5" t="s">
        <v>64</v>
      </c>
      <c r="AM28" s="5" t="s">
        <v>63</v>
      </c>
      <c r="AN28" s="5" t="s">
        <v>63</v>
      </c>
      <c r="AO28" s="5" t="s">
        <v>63</v>
      </c>
      <c r="AP28" s="5" t="s">
        <v>63</v>
      </c>
      <c r="AQ28" s="5" t="s">
        <v>63</v>
      </c>
      <c r="AR28" s="5" t="s">
        <v>63</v>
      </c>
      <c r="AS28" s="8" t="s">
        <v>63</v>
      </c>
      <c r="AT28" s="5" t="s">
        <v>63</v>
      </c>
      <c r="AU28" s="5" t="s">
        <v>63</v>
      </c>
      <c r="AV28" s="5" t="s">
        <v>63</v>
      </c>
      <c r="AW28" s="5" t="s">
        <v>63</v>
      </c>
      <c r="AX28" s="5" t="s">
        <v>63</v>
      </c>
      <c r="AY28" s="5" t="s">
        <v>63</v>
      </c>
      <c r="AZ28" s="5" t="s">
        <v>63</v>
      </c>
      <c r="BA28" s="5" t="s">
        <v>64</v>
      </c>
      <c r="BB28" s="5" t="s">
        <v>63</v>
      </c>
      <c r="BC28" s="5" t="s">
        <v>63</v>
      </c>
      <c r="BD28" s="5" t="s">
        <v>63</v>
      </c>
      <c r="BI28" s="5" t="s">
        <v>64</v>
      </c>
      <c r="BM28" s="5" t="s">
        <v>64</v>
      </c>
      <c r="BS28" s="5" t="s">
        <v>64</v>
      </c>
    </row>
    <row r="29" spans="1:71">
      <c r="A29" s="1" t="str">
        <f t="shared" si="0"/>
        <v>No</v>
      </c>
      <c r="B29" s="1" t="s">
        <v>59</v>
      </c>
      <c r="C29" s="1" t="s">
        <v>109</v>
      </c>
      <c r="D29" s="11" t="s">
        <v>61</v>
      </c>
      <c r="E29" s="1" t="s">
        <v>115</v>
      </c>
      <c r="F29" s="2" t="s">
        <v>63</v>
      </c>
      <c r="G29" s="5" t="s">
        <v>63</v>
      </c>
      <c r="H29" s="5" t="s">
        <v>63</v>
      </c>
      <c r="I29" s="5" t="s">
        <v>63</v>
      </c>
      <c r="J29" s="5" t="s">
        <v>63</v>
      </c>
      <c r="K29" s="5" t="s">
        <v>63</v>
      </c>
      <c r="L29" s="5" t="s">
        <v>63</v>
      </c>
      <c r="M29" s="5" t="s">
        <v>63</v>
      </c>
      <c r="N29" s="5" t="s">
        <v>63</v>
      </c>
      <c r="O29" s="5" t="s">
        <v>63</v>
      </c>
      <c r="P29" s="5" t="s">
        <v>63</v>
      </c>
      <c r="Q29" s="5" t="s">
        <v>63</v>
      </c>
      <c r="R29" s="5" t="s">
        <v>63</v>
      </c>
      <c r="S29" s="5" t="s">
        <v>63</v>
      </c>
      <c r="T29" s="5" t="s">
        <v>63</v>
      </c>
      <c r="U29" s="5" t="s">
        <v>63</v>
      </c>
      <c r="V29" s="5" t="s">
        <v>63</v>
      </c>
      <c r="W29" s="5" t="s">
        <v>63</v>
      </c>
      <c r="X29" s="5" t="s">
        <v>63</v>
      </c>
      <c r="Y29" s="5" t="s">
        <v>63</v>
      </c>
      <c r="Z29" s="5" t="s">
        <v>63</v>
      </c>
      <c r="AA29" s="5" t="s">
        <v>63</v>
      </c>
      <c r="AB29" s="5" t="s">
        <v>63</v>
      </c>
      <c r="AC29" s="5" t="s">
        <v>63</v>
      </c>
      <c r="AD29" s="5" t="s">
        <v>63</v>
      </c>
      <c r="AE29" s="5" t="s">
        <v>63</v>
      </c>
      <c r="AF29" s="5" t="s">
        <v>63</v>
      </c>
      <c r="AG29" s="5" t="s">
        <v>63</v>
      </c>
      <c r="AH29" s="5" t="s">
        <v>63</v>
      </c>
      <c r="AI29" s="5" t="s">
        <v>63</v>
      </c>
      <c r="AJ29" s="14" t="s">
        <v>63</v>
      </c>
      <c r="AK29" s="5" t="s">
        <v>63</v>
      </c>
      <c r="AL29" s="5" t="s">
        <v>63</v>
      </c>
      <c r="AM29" s="5" t="s">
        <v>63</v>
      </c>
      <c r="AN29" s="5" t="s">
        <v>63</v>
      </c>
      <c r="AO29" s="5" t="s">
        <v>63</v>
      </c>
      <c r="AP29" s="5" t="s">
        <v>63</v>
      </c>
      <c r="AQ29" s="5" t="s">
        <v>63</v>
      </c>
      <c r="AR29" s="5" t="s">
        <v>63</v>
      </c>
      <c r="AS29" s="8" t="s">
        <v>63</v>
      </c>
      <c r="AT29" s="5" t="s">
        <v>63</v>
      </c>
      <c r="AU29" s="5" t="s">
        <v>63</v>
      </c>
      <c r="AV29" s="5" t="s">
        <v>63</v>
      </c>
      <c r="AW29" s="5" t="s">
        <v>63</v>
      </c>
      <c r="AX29" s="5" t="s">
        <v>63</v>
      </c>
      <c r="AY29" s="5" t="s">
        <v>63</v>
      </c>
      <c r="AZ29" s="5" t="s">
        <v>63</v>
      </c>
      <c r="BA29" s="5" t="s">
        <v>64</v>
      </c>
      <c r="BB29" s="5" t="s">
        <v>63</v>
      </c>
      <c r="BC29" s="5" t="s">
        <v>63</v>
      </c>
      <c r="BD29" s="5" t="s">
        <v>63</v>
      </c>
      <c r="BS29" s="5" t="s">
        <v>64</v>
      </c>
    </row>
    <row r="30" spans="1:71">
      <c r="A30" s="1" t="str">
        <f t="shared" si="0"/>
        <v>Yes</v>
      </c>
      <c r="B30" s="1" t="s">
        <v>116</v>
      </c>
      <c r="C30" s="1" t="s">
        <v>117</v>
      </c>
      <c r="D30" s="11" t="s">
        <v>118</v>
      </c>
      <c r="E30" s="1" t="s">
        <v>119</v>
      </c>
      <c r="F30" s="2">
        <v>2</v>
      </c>
      <c r="G30" s="5" t="s">
        <v>63</v>
      </c>
      <c r="H30" s="5" t="s">
        <v>63</v>
      </c>
      <c r="I30" s="5" t="s">
        <v>63</v>
      </c>
      <c r="J30" s="5" t="s">
        <v>64</v>
      </c>
      <c r="K30" s="5" t="s">
        <v>63</v>
      </c>
      <c r="L30" s="5" t="s">
        <v>63</v>
      </c>
      <c r="M30" s="5" t="s">
        <v>63</v>
      </c>
      <c r="N30" s="5" t="s">
        <v>63</v>
      </c>
      <c r="O30" s="5" t="s">
        <v>64</v>
      </c>
      <c r="P30" s="5" t="s">
        <v>63</v>
      </c>
      <c r="Q30" s="5" t="s">
        <v>63</v>
      </c>
      <c r="R30" s="5" t="s">
        <v>63</v>
      </c>
      <c r="S30" s="5" t="s">
        <v>63</v>
      </c>
      <c r="T30" s="5" t="s">
        <v>63</v>
      </c>
      <c r="U30" s="5" t="s">
        <v>63</v>
      </c>
      <c r="V30" s="5" t="s">
        <v>64</v>
      </c>
      <c r="W30" s="5" t="s">
        <v>63</v>
      </c>
      <c r="X30" s="5" t="s">
        <v>64</v>
      </c>
      <c r="Y30" s="5" t="s">
        <v>63</v>
      </c>
      <c r="Z30" s="5" t="s">
        <v>63</v>
      </c>
      <c r="AA30" s="5" t="s">
        <v>63</v>
      </c>
      <c r="AB30" s="5" t="s">
        <v>63</v>
      </c>
      <c r="AC30" s="5" t="s">
        <v>63</v>
      </c>
      <c r="AD30" s="5" t="s">
        <v>63</v>
      </c>
      <c r="AE30" s="5" t="s">
        <v>63</v>
      </c>
      <c r="AF30" s="5" t="s">
        <v>63</v>
      </c>
      <c r="AG30" s="5" t="s">
        <v>63</v>
      </c>
      <c r="AH30" s="5" t="s">
        <v>63</v>
      </c>
      <c r="AI30" s="5" t="s">
        <v>63</v>
      </c>
      <c r="AJ30" s="14" t="s">
        <v>63</v>
      </c>
      <c r="AK30" s="5" t="s">
        <v>63</v>
      </c>
      <c r="AL30" s="5" t="s">
        <v>63</v>
      </c>
      <c r="AM30" s="5" t="s">
        <v>63</v>
      </c>
      <c r="AN30" s="5" t="s">
        <v>63</v>
      </c>
      <c r="AO30" s="5" t="s">
        <v>63</v>
      </c>
      <c r="AP30" s="5" t="s">
        <v>64</v>
      </c>
      <c r="AQ30" s="5" t="s">
        <v>63</v>
      </c>
      <c r="AR30" s="5" t="s">
        <v>64</v>
      </c>
      <c r="AS30" s="8" t="s">
        <v>63</v>
      </c>
      <c r="AT30" s="5" t="s">
        <v>63</v>
      </c>
      <c r="AU30" s="5" t="s">
        <v>63</v>
      </c>
      <c r="AV30" s="5" t="s">
        <v>63</v>
      </c>
      <c r="AW30" s="5" t="s">
        <v>63</v>
      </c>
      <c r="AX30" s="5" t="s">
        <v>63</v>
      </c>
      <c r="AY30" s="5" t="s">
        <v>63</v>
      </c>
      <c r="AZ30" s="5" t="s">
        <v>63</v>
      </c>
      <c r="BA30" s="5" t="s">
        <v>63</v>
      </c>
      <c r="BB30" s="5" t="s">
        <v>63</v>
      </c>
      <c r="BC30" s="5" t="s">
        <v>63</v>
      </c>
      <c r="BD30" s="5" t="s">
        <v>63</v>
      </c>
      <c r="BE30" s="5" t="s">
        <v>64</v>
      </c>
      <c r="BO30" s="5" t="s">
        <v>64</v>
      </c>
    </row>
    <row r="31" spans="1:71">
      <c r="A31" s="1" t="str">
        <f t="shared" si="0"/>
        <v>No</v>
      </c>
      <c r="B31" s="1" t="s">
        <v>59</v>
      </c>
      <c r="C31" s="1" t="s">
        <v>109</v>
      </c>
      <c r="E31" s="1" t="s">
        <v>120</v>
      </c>
      <c r="F31" s="2" t="s">
        <v>63</v>
      </c>
      <c r="G31" s="5" t="s">
        <v>63</v>
      </c>
      <c r="H31" s="5" t="s">
        <v>63</v>
      </c>
      <c r="I31" s="5" t="s">
        <v>63</v>
      </c>
      <c r="J31" s="5" t="s">
        <v>63</v>
      </c>
      <c r="K31" s="5" t="s">
        <v>63</v>
      </c>
      <c r="L31" s="5" t="s">
        <v>63</v>
      </c>
      <c r="M31" s="5" t="s">
        <v>63</v>
      </c>
      <c r="N31" s="5" t="s">
        <v>63</v>
      </c>
      <c r="O31" s="5" t="s">
        <v>63</v>
      </c>
      <c r="P31" s="5" t="s">
        <v>63</v>
      </c>
      <c r="Q31" s="5" t="s">
        <v>63</v>
      </c>
      <c r="R31" s="5" t="s">
        <v>63</v>
      </c>
      <c r="S31" s="5" t="s">
        <v>63</v>
      </c>
      <c r="T31" s="5" t="s">
        <v>63</v>
      </c>
      <c r="U31" s="5" t="s">
        <v>63</v>
      </c>
      <c r="V31" s="5" t="s">
        <v>63</v>
      </c>
      <c r="W31" s="5" t="s">
        <v>63</v>
      </c>
      <c r="X31" s="5" t="s">
        <v>63</v>
      </c>
      <c r="Y31" s="5" t="s">
        <v>63</v>
      </c>
      <c r="Z31" s="5" t="s">
        <v>63</v>
      </c>
      <c r="AA31" s="5" t="s">
        <v>63</v>
      </c>
      <c r="AB31" s="5" t="s">
        <v>63</v>
      </c>
      <c r="AC31" s="5" t="s">
        <v>63</v>
      </c>
      <c r="AD31" s="5" t="s">
        <v>63</v>
      </c>
      <c r="AE31" s="5" t="s">
        <v>63</v>
      </c>
      <c r="AF31" s="5" t="s">
        <v>63</v>
      </c>
      <c r="AG31" s="5" t="s">
        <v>63</v>
      </c>
      <c r="AH31" s="5" t="s">
        <v>63</v>
      </c>
      <c r="AI31" s="5" t="s">
        <v>63</v>
      </c>
      <c r="AJ31" s="14" t="s">
        <v>63</v>
      </c>
      <c r="AK31" s="5" t="s">
        <v>63</v>
      </c>
      <c r="AL31" s="5" t="s">
        <v>63</v>
      </c>
      <c r="AM31" s="5" t="s">
        <v>63</v>
      </c>
      <c r="AN31" s="5" t="s">
        <v>63</v>
      </c>
      <c r="AO31" s="5" t="s">
        <v>63</v>
      </c>
      <c r="AP31" s="5" t="s">
        <v>63</v>
      </c>
      <c r="AQ31" s="5" t="s">
        <v>63</v>
      </c>
      <c r="AR31" s="5" t="s">
        <v>63</v>
      </c>
      <c r="AS31" s="8" t="s">
        <v>63</v>
      </c>
      <c r="AT31" s="5" t="s">
        <v>63</v>
      </c>
      <c r="AU31" s="5" t="s">
        <v>63</v>
      </c>
      <c r="AV31" s="5" t="s">
        <v>63</v>
      </c>
      <c r="AW31" s="5" t="s">
        <v>63</v>
      </c>
      <c r="AX31" s="5" t="s">
        <v>64</v>
      </c>
      <c r="AY31" s="5" t="s">
        <v>64</v>
      </c>
      <c r="AZ31" s="5" t="s">
        <v>64</v>
      </c>
      <c r="BA31" s="5" t="s">
        <v>64</v>
      </c>
      <c r="BB31" s="5" t="s">
        <v>64</v>
      </c>
      <c r="BC31" s="5" t="s">
        <v>63</v>
      </c>
      <c r="BD31" s="5" t="s">
        <v>63</v>
      </c>
      <c r="BR31" s="5" t="s">
        <v>64</v>
      </c>
      <c r="BS31" s="5" t="s">
        <v>64</v>
      </c>
    </row>
    <row r="32" spans="1:71">
      <c r="A32" s="1" t="str">
        <f t="shared" si="0"/>
        <v>No</v>
      </c>
      <c r="B32" s="1" t="s">
        <v>59</v>
      </c>
      <c r="C32" s="1" t="s">
        <v>121</v>
      </c>
      <c r="D32" s="11" t="s">
        <v>61</v>
      </c>
      <c r="E32" s="1" t="s">
        <v>122</v>
      </c>
      <c r="F32" s="2" t="s">
        <v>63</v>
      </c>
      <c r="G32" s="5" t="s">
        <v>63</v>
      </c>
      <c r="H32" s="5" t="s">
        <v>63</v>
      </c>
      <c r="I32" s="5" t="s">
        <v>63</v>
      </c>
      <c r="J32" s="5" t="s">
        <v>63</v>
      </c>
      <c r="K32" s="5" t="s">
        <v>63</v>
      </c>
      <c r="L32" s="5" t="s">
        <v>63</v>
      </c>
      <c r="M32" s="5" t="s">
        <v>63</v>
      </c>
      <c r="N32" s="5" t="s">
        <v>63</v>
      </c>
      <c r="O32" s="5" t="s">
        <v>63</v>
      </c>
      <c r="P32" s="5" t="s">
        <v>63</v>
      </c>
      <c r="Q32" s="5" t="s">
        <v>63</v>
      </c>
      <c r="R32" s="5" t="s">
        <v>63</v>
      </c>
      <c r="S32" s="5" t="s">
        <v>63</v>
      </c>
      <c r="T32" s="5" t="s">
        <v>63</v>
      </c>
      <c r="U32" s="5" t="s">
        <v>63</v>
      </c>
      <c r="V32" s="5" t="s">
        <v>63</v>
      </c>
      <c r="W32" s="5" t="s">
        <v>63</v>
      </c>
      <c r="X32" s="5" t="s">
        <v>63</v>
      </c>
      <c r="Y32" s="5" t="s">
        <v>63</v>
      </c>
      <c r="Z32" s="5" t="s">
        <v>63</v>
      </c>
      <c r="AA32" s="5" t="s">
        <v>63</v>
      </c>
      <c r="AB32" s="5" t="s">
        <v>63</v>
      </c>
      <c r="AC32" s="5" t="s">
        <v>63</v>
      </c>
      <c r="AD32" s="5" t="s">
        <v>63</v>
      </c>
      <c r="AE32" s="5" t="s">
        <v>63</v>
      </c>
      <c r="AF32" s="5" t="s">
        <v>64</v>
      </c>
      <c r="AG32" s="5" t="s">
        <v>63</v>
      </c>
      <c r="AH32" s="5" t="s">
        <v>63</v>
      </c>
      <c r="AI32" s="5" t="s">
        <v>63</v>
      </c>
      <c r="AJ32" s="14" t="s">
        <v>63</v>
      </c>
      <c r="AK32" s="5" t="s">
        <v>63</v>
      </c>
      <c r="AL32" s="5" t="s">
        <v>64</v>
      </c>
      <c r="AM32" s="5" t="s">
        <v>63</v>
      </c>
      <c r="AN32" s="5" t="s">
        <v>63</v>
      </c>
      <c r="AO32" s="5" t="s">
        <v>63</v>
      </c>
      <c r="AP32" s="5" t="s">
        <v>63</v>
      </c>
      <c r="AQ32" s="5" t="s">
        <v>63</v>
      </c>
      <c r="AR32" s="5" t="s">
        <v>63</v>
      </c>
      <c r="AS32" s="8" t="s">
        <v>63</v>
      </c>
      <c r="AT32" s="5" t="s">
        <v>63</v>
      </c>
      <c r="AU32" s="5" t="s">
        <v>63</v>
      </c>
      <c r="AV32" s="5" t="s">
        <v>63</v>
      </c>
      <c r="AW32" s="5" t="s">
        <v>63</v>
      </c>
      <c r="AX32" s="5" t="s">
        <v>63</v>
      </c>
      <c r="AY32" s="5" t="s">
        <v>63</v>
      </c>
      <c r="AZ32" s="5" t="s">
        <v>63</v>
      </c>
      <c r="BA32" s="5" t="s">
        <v>63</v>
      </c>
      <c r="BB32" s="5" t="s">
        <v>63</v>
      </c>
      <c r="BC32" s="5" t="s">
        <v>63</v>
      </c>
      <c r="BD32" s="5" t="s">
        <v>63</v>
      </c>
      <c r="BI32" s="5" t="s">
        <v>64</v>
      </c>
      <c r="BM32" s="5" t="s">
        <v>64</v>
      </c>
    </row>
    <row r="33" spans="1:71">
      <c r="A33" s="1" t="str">
        <f t="shared" si="0"/>
        <v>No</v>
      </c>
      <c r="B33" s="1" t="s">
        <v>59</v>
      </c>
      <c r="C33" s="1" t="s">
        <v>123</v>
      </c>
      <c r="D33" s="11" t="s">
        <v>61</v>
      </c>
      <c r="E33" s="1" t="s">
        <v>124</v>
      </c>
      <c r="F33" s="2" t="s">
        <v>63</v>
      </c>
      <c r="G33" s="5" t="s">
        <v>63</v>
      </c>
      <c r="H33" s="5" t="s">
        <v>63</v>
      </c>
      <c r="I33" s="5" t="s">
        <v>63</v>
      </c>
      <c r="J33" s="5" t="s">
        <v>63</v>
      </c>
      <c r="K33" s="5" t="s">
        <v>63</v>
      </c>
      <c r="L33" s="5" t="s">
        <v>63</v>
      </c>
      <c r="M33" s="5" t="s">
        <v>63</v>
      </c>
      <c r="N33" s="5" t="s">
        <v>63</v>
      </c>
      <c r="O33" s="5" t="s">
        <v>63</v>
      </c>
      <c r="P33" s="5" t="s">
        <v>63</v>
      </c>
      <c r="Q33" s="5" t="s">
        <v>63</v>
      </c>
      <c r="R33" s="5" t="s">
        <v>63</v>
      </c>
      <c r="S33" s="5" t="s">
        <v>63</v>
      </c>
      <c r="T33" s="5" t="s">
        <v>63</v>
      </c>
      <c r="U33" s="5" t="s">
        <v>63</v>
      </c>
      <c r="V33" s="5" t="s">
        <v>63</v>
      </c>
      <c r="W33" s="5" t="s">
        <v>63</v>
      </c>
      <c r="X33" s="5" t="s">
        <v>63</v>
      </c>
      <c r="Y33" s="5" t="s">
        <v>63</v>
      </c>
      <c r="Z33" s="5" t="s">
        <v>63</v>
      </c>
      <c r="AA33" s="5" t="s">
        <v>63</v>
      </c>
      <c r="AB33" s="5" t="s">
        <v>63</v>
      </c>
      <c r="AC33" s="5" t="s">
        <v>63</v>
      </c>
      <c r="AD33" s="5" t="s">
        <v>63</v>
      </c>
      <c r="AE33" s="5" t="s">
        <v>63</v>
      </c>
      <c r="AF33" s="5" t="s">
        <v>63</v>
      </c>
      <c r="AG33" s="5" t="s">
        <v>63</v>
      </c>
      <c r="AH33" s="5" t="s">
        <v>63</v>
      </c>
      <c r="AI33" s="5" t="s">
        <v>63</v>
      </c>
      <c r="AJ33" s="14" t="s">
        <v>63</v>
      </c>
      <c r="AK33" s="5" t="s">
        <v>63</v>
      </c>
      <c r="AL33" s="5" t="s">
        <v>63</v>
      </c>
      <c r="AM33" s="5" t="s">
        <v>63</v>
      </c>
      <c r="AN33" s="5" t="s">
        <v>63</v>
      </c>
      <c r="AO33" s="5" t="s">
        <v>63</v>
      </c>
      <c r="AP33" s="5" t="s">
        <v>63</v>
      </c>
      <c r="AQ33" s="5" t="s">
        <v>63</v>
      </c>
      <c r="AR33" s="5" t="s">
        <v>63</v>
      </c>
      <c r="AS33" s="8" t="s">
        <v>63</v>
      </c>
      <c r="AT33" s="5" t="s">
        <v>63</v>
      </c>
      <c r="AU33" s="5" t="s">
        <v>63</v>
      </c>
      <c r="AV33" s="5" t="s">
        <v>63</v>
      </c>
      <c r="AW33" s="5" t="s">
        <v>63</v>
      </c>
      <c r="AX33" s="5" t="s">
        <v>63</v>
      </c>
      <c r="AY33" s="5" t="s">
        <v>63</v>
      </c>
      <c r="AZ33" s="5" t="s">
        <v>63</v>
      </c>
      <c r="BA33" s="5" t="s">
        <v>63</v>
      </c>
      <c r="BB33" s="5" t="s">
        <v>63</v>
      </c>
      <c r="BC33" s="5" t="s">
        <v>63</v>
      </c>
      <c r="BD33" s="5" t="s">
        <v>63</v>
      </c>
    </row>
    <row r="34" spans="1:71">
      <c r="A34" s="1" t="str">
        <f t="shared" si="0"/>
        <v>No</v>
      </c>
      <c r="B34" s="1" t="s">
        <v>59</v>
      </c>
      <c r="C34" s="1" t="s">
        <v>125</v>
      </c>
      <c r="D34" s="11" t="s">
        <v>61</v>
      </c>
      <c r="E34" s="1" t="s">
        <v>126</v>
      </c>
      <c r="F34" s="2" t="s">
        <v>63</v>
      </c>
      <c r="G34" s="5" t="s">
        <v>63</v>
      </c>
      <c r="H34" s="5" t="s">
        <v>63</v>
      </c>
      <c r="I34" s="5" t="s">
        <v>63</v>
      </c>
      <c r="J34" s="5" t="s">
        <v>63</v>
      </c>
      <c r="K34" s="5" t="s">
        <v>63</v>
      </c>
      <c r="L34" s="5" t="s">
        <v>63</v>
      </c>
      <c r="M34" s="5" t="s">
        <v>63</v>
      </c>
      <c r="N34" s="5" t="s">
        <v>63</v>
      </c>
      <c r="O34" s="5" t="s">
        <v>63</v>
      </c>
      <c r="P34" s="5" t="s">
        <v>63</v>
      </c>
      <c r="Q34" s="5" t="s">
        <v>63</v>
      </c>
      <c r="R34" s="5" t="s">
        <v>63</v>
      </c>
      <c r="S34" s="5" t="s">
        <v>63</v>
      </c>
      <c r="T34" s="5" t="s">
        <v>63</v>
      </c>
      <c r="U34" s="5" t="s">
        <v>63</v>
      </c>
      <c r="V34" s="5" t="s">
        <v>63</v>
      </c>
      <c r="W34" s="5" t="s">
        <v>63</v>
      </c>
      <c r="X34" s="5" t="s">
        <v>63</v>
      </c>
      <c r="Y34" s="5" t="s">
        <v>63</v>
      </c>
      <c r="Z34" s="5" t="s">
        <v>63</v>
      </c>
      <c r="AA34" s="5" t="s">
        <v>63</v>
      </c>
      <c r="AB34" s="5" t="s">
        <v>63</v>
      </c>
      <c r="AC34" s="5" t="s">
        <v>63</v>
      </c>
      <c r="AD34" s="5" t="s">
        <v>63</v>
      </c>
      <c r="AE34" s="5" t="s">
        <v>63</v>
      </c>
      <c r="AF34" s="5" t="s">
        <v>63</v>
      </c>
      <c r="AG34" s="5" t="s">
        <v>63</v>
      </c>
      <c r="AH34" s="5" t="s">
        <v>63</v>
      </c>
      <c r="AI34" s="5" t="s">
        <v>63</v>
      </c>
      <c r="AJ34" s="14" t="s">
        <v>63</v>
      </c>
      <c r="AK34" s="5" t="s">
        <v>63</v>
      </c>
      <c r="AL34" s="5" t="s">
        <v>63</v>
      </c>
      <c r="AM34" s="5" t="s">
        <v>63</v>
      </c>
      <c r="AN34" s="5" t="s">
        <v>63</v>
      </c>
      <c r="AO34" s="5" t="s">
        <v>63</v>
      </c>
      <c r="AP34" s="5" t="s">
        <v>63</v>
      </c>
      <c r="AQ34" s="5" t="s">
        <v>63</v>
      </c>
      <c r="AR34" s="5" t="s">
        <v>63</v>
      </c>
      <c r="AS34" s="8" t="s">
        <v>63</v>
      </c>
      <c r="AT34" s="5" t="s">
        <v>63</v>
      </c>
      <c r="AU34" s="5" t="s">
        <v>63</v>
      </c>
      <c r="AV34" s="5" t="s">
        <v>63</v>
      </c>
      <c r="AW34" s="5" t="s">
        <v>63</v>
      </c>
      <c r="AX34" s="5" t="s">
        <v>63</v>
      </c>
      <c r="AY34" s="5" t="s">
        <v>63</v>
      </c>
      <c r="AZ34" s="5" t="s">
        <v>63</v>
      </c>
      <c r="BA34" s="5" t="s">
        <v>63</v>
      </c>
      <c r="BB34" s="5" t="s">
        <v>63</v>
      </c>
      <c r="BC34" s="5" t="s">
        <v>63</v>
      </c>
      <c r="BD34" s="5" t="s">
        <v>63</v>
      </c>
    </row>
    <row r="35" spans="1:71">
      <c r="A35" s="1" t="str">
        <f t="shared" si="0"/>
        <v>No</v>
      </c>
      <c r="B35" s="1" t="s">
        <v>59</v>
      </c>
      <c r="C35" s="1" t="s">
        <v>127</v>
      </c>
      <c r="D35" s="11" t="s">
        <v>61</v>
      </c>
      <c r="E35" s="1" t="s">
        <v>128</v>
      </c>
      <c r="F35" s="2" t="s">
        <v>63</v>
      </c>
      <c r="G35" s="5" t="s">
        <v>63</v>
      </c>
      <c r="H35" s="5" t="s">
        <v>63</v>
      </c>
      <c r="I35" s="5" t="s">
        <v>63</v>
      </c>
      <c r="J35" s="5" t="s">
        <v>63</v>
      </c>
      <c r="K35" s="5" t="s">
        <v>63</v>
      </c>
      <c r="L35" s="5" t="s">
        <v>63</v>
      </c>
      <c r="M35" s="5" t="s">
        <v>63</v>
      </c>
      <c r="N35" s="5" t="s">
        <v>63</v>
      </c>
      <c r="O35" s="5" t="s">
        <v>63</v>
      </c>
      <c r="P35" s="5" t="s">
        <v>63</v>
      </c>
      <c r="Q35" s="5" t="s">
        <v>63</v>
      </c>
      <c r="R35" s="5" t="s">
        <v>63</v>
      </c>
      <c r="S35" s="5" t="s">
        <v>63</v>
      </c>
      <c r="T35" s="5" t="s">
        <v>63</v>
      </c>
      <c r="U35" s="5" t="s">
        <v>63</v>
      </c>
      <c r="V35" s="5" t="s">
        <v>63</v>
      </c>
      <c r="W35" s="5" t="s">
        <v>63</v>
      </c>
      <c r="X35" s="5" t="s">
        <v>63</v>
      </c>
      <c r="Y35" s="5" t="s">
        <v>63</v>
      </c>
      <c r="Z35" s="5" t="s">
        <v>63</v>
      </c>
      <c r="AA35" s="5" t="s">
        <v>63</v>
      </c>
      <c r="AB35" s="5" t="s">
        <v>63</v>
      </c>
      <c r="AC35" s="5" t="s">
        <v>63</v>
      </c>
      <c r="AD35" s="5" t="s">
        <v>63</v>
      </c>
      <c r="AE35" s="5" t="s">
        <v>63</v>
      </c>
      <c r="AF35" s="5" t="s">
        <v>63</v>
      </c>
      <c r="AG35" s="5" t="s">
        <v>63</v>
      </c>
      <c r="AH35" s="5" t="s">
        <v>63</v>
      </c>
      <c r="AI35" s="5" t="s">
        <v>63</v>
      </c>
      <c r="AJ35" s="14" t="s">
        <v>64</v>
      </c>
      <c r="AK35" s="5" t="s">
        <v>64</v>
      </c>
      <c r="AL35" s="5" t="s">
        <v>63</v>
      </c>
      <c r="AM35" s="5" t="s">
        <v>64</v>
      </c>
      <c r="AN35" s="5" t="s">
        <v>64</v>
      </c>
      <c r="AO35" s="5" t="s">
        <v>64</v>
      </c>
      <c r="AP35" s="5" t="s">
        <v>64</v>
      </c>
      <c r="AQ35" s="5" t="s">
        <v>63</v>
      </c>
      <c r="AR35" s="5" t="s">
        <v>63</v>
      </c>
      <c r="AS35" s="8" t="s">
        <v>63</v>
      </c>
      <c r="AT35" s="5" t="s">
        <v>63</v>
      </c>
      <c r="AU35" s="5" t="s">
        <v>63</v>
      </c>
      <c r="AV35" s="5" t="s">
        <v>63</v>
      </c>
      <c r="AW35" s="5" t="s">
        <v>63</v>
      </c>
      <c r="AX35" s="5" t="s">
        <v>63</v>
      </c>
      <c r="AY35" s="5" t="s">
        <v>63</v>
      </c>
      <c r="AZ35" s="5" t="s">
        <v>63</v>
      </c>
      <c r="BA35" s="5" t="s">
        <v>63</v>
      </c>
      <c r="BB35" s="5" t="s">
        <v>63</v>
      </c>
      <c r="BC35" s="5" t="s">
        <v>63</v>
      </c>
      <c r="BD35" s="5" t="s">
        <v>63</v>
      </c>
      <c r="BL35" s="5" t="s">
        <v>64</v>
      </c>
      <c r="BN35" s="5" t="s">
        <v>64</v>
      </c>
      <c r="BO35" s="5" t="s">
        <v>64</v>
      </c>
    </row>
    <row r="36" spans="1:71">
      <c r="A36" s="1" t="str">
        <f t="shared" si="0"/>
        <v>No</v>
      </c>
      <c r="B36" s="1" t="s">
        <v>59</v>
      </c>
      <c r="C36" s="1" t="s">
        <v>129</v>
      </c>
      <c r="D36" s="11" t="s">
        <v>61</v>
      </c>
      <c r="E36" s="1" t="s">
        <v>130</v>
      </c>
      <c r="F36" s="2" t="s">
        <v>63</v>
      </c>
      <c r="G36" s="5" t="s">
        <v>63</v>
      </c>
      <c r="H36" s="5" t="s">
        <v>63</v>
      </c>
      <c r="I36" s="5" t="s">
        <v>63</v>
      </c>
      <c r="J36" s="5" t="s">
        <v>63</v>
      </c>
      <c r="K36" s="5" t="s">
        <v>63</v>
      </c>
      <c r="L36" s="5" t="s">
        <v>63</v>
      </c>
      <c r="M36" s="5" t="s">
        <v>63</v>
      </c>
      <c r="N36" s="5" t="s">
        <v>63</v>
      </c>
      <c r="O36" s="5" t="s">
        <v>63</v>
      </c>
      <c r="P36" s="5" t="s">
        <v>63</v>
      </c>
      <c r="Q36" s="5" t="s">
        <v>63</v>
      </c>
      <c r="R36" s="5" t="s">
        <v>63</v>
      </c>
      <c r="S36" s="5" t="s">
        <v>63</v>
      </c>
      <c r="T36" s="5" t="s">
        <v>63</v>
      </c>
      <c r="U36" s="5" t="s">
        <v>63</v>
      </c>
      <c r="V36" s="5" t="s">
        <v>63</v>
      </c>
      <c r="W36" s="5" t="s">
        <v>63</v>
      </c>
      <c r="X36" s="5" t="s">
        <v>63</v>
      </c>
      <c r="Y36" s="5" t="s">
        <v>63</v>
      </c>
      <c r="Z36" s="5" t="s">
        <v>63</v>
      </c>
      <c r="AA36" s="5" t="s">
        <v>63</v>
      </c>
      <c r="AB36" s="5" t="s">
        <v>63</v>
      </c>
      <c r="AC36" s="5" t="s">
        <v>63</v>
      </c>
      <c r="AD36" s="5" t="s">
        <v>63</v>
      </c>
      <c r="AE36" s="5" t="s">
        <v>63</v>
      </c>
      <c r="AF36" s="5" t="s">
        <v>64</v>
      </c>
      <c r="AG36" s="5" t="s">
        <v>63</v>
      </c>
      <c r="AH36" s="5" t="s">
        <v>63</v>
      </c>
      <c r="AI36" s="5" t="s">
        <v>63</v>
      </c>
      <c r="AJ36" s="14" t="s">
        <v>63</v>
      </c>
      <c r="AK36" s="5" t="s">
        <v>63</v>
      </c>
      <c r="AL36" s="5" t="s">
        <v>63</v>
      </c>
      <c r="AM36" s="5" t="s">
        <v>63</v>
      </c>
      <c r="AN36" s="5" t="s">
        <v>63</v>
      </c>
      <c r="AO36" s="5" t="s">
        <v>63</v>
      </c>
      <c r="AP36" s="5" t="s">
        <v>63</v>
      </c>
      <c r="AQ36" s="5" t="s">
        <v>63</v>
      </c>
      <c r="AR36" s="5" t="s">
        <v>63</v>
      </c>
      <c r="AS36" s="8" t="s">
        <v>63</v>
      </c>
      <c r="AT36" s="5" t="s">
        <v>63</v>
      </c>
      <c r="AU36" s="5" t="s">
        <v>63</v>
      </c>
      <c r="AV36" s="5" t="s">
        <v>63</v>
      </c>
      <c r="AW36" s="5" t="s">
        <v>63</v>
      </c>
      <c r="AX36" s="5" t="s">
        <v>64</v>
      </c>
      <c r="AY36" s="5" t="s">
        <v>63</v>
      </c>
      <c r="AZ36" s="5" t="s">
        <v>63</v>
      </c>
      <c r="BA36" s="5" t="s">
        <v>63</v>
      </c>
      <c r="BB36" s="5" t="s">
        <v>63</v>
      </c>
      <c r="BC36" s="5" t="s">
        <v>63</v>
      </c>
      <c r="BD36" s="5" t="s">
        <v>63</v>
      </c>
      <c r="BI36" s="5" t="s">
        <v>64</v>
      </c>
      <c r="BR36" s="5" t="s">
        <v>64</v>
      </c>
    </row>
    <row r="37" spans="1:71">
      <c r="A37" s="1" t="str">
        <f t="shared" si="0"/>
        <v>No</v>
      </c>
      <c r="B37" s="1" t="s">
        <v>59</v>
      </c>
      <c r="C37" s="1" t="s">
        <v>131</v>
      </c>
      <c r="D37" s="11" t="s">
        <v>61</v>
      </c>
      <c r="E37" s="1" t="s">
        <v>132</v>
      </c>
      <c r="F37" s="2" t="s">
        <v>63</v>
      </c>
      <c r="G37" s="5" t="s">
        <v>63</v>
      </c>
      <c r="H37" s="5" t="s">
        <v>63</v>
      </c>
      <c r="I37" s="5" t="s">
        <v>63</v>
      </c>
      <c r="J37" s="5" t="s">
        <v>63</v>
      </c>
      <c r="K37" s="5" t="s">
        <v>63</v>
      </c>
      <c r="L37" s="5" t="s">
        <v>63</v>
      </c>
      <c r="M37" s="5" t="s">
        <v>63</v>
      </c>
      <c r="N37" s="5" t="s">
        <v>63</v>
      </c>
      <c r="O37" s="5" t="s">
        <v>63</v>
      </c>
      <c r="P37" s="5" t="s">
        <v>63</v>
      </c>
      <c r="Q37" s="5" t="s">
        <v>63</v>
      </c>
      <c r="R37" s="5" t="s">
        <v>63</v>
      </c>
      <c r="S37" s="5" t="s">
        <v>63</v>
      </c>
      <c r="T37" s="5" t="s">
        <v>63</v>
      </c>
      <c r="U37" s="5" t="s">
        <v>63</v>
      </c>
      <c r="V37" s="5" t="s">
        <v>63</v>
      </c>
      <c r="W37" s="5" t="s">
        <v>63</v>
      </c>
      <c r="X37" s="5" t="s">
        <v>63</v>
      </c>
      <c r="Y37" s="5" t="s">
        <v>63</v>
      </c>
      <c r="Z37" s="5" t="s">
        <v>63</v>
      </c>
      <c r="AA37" s="5" t="s">
        <v>63</v>
      </c>
      <c r="AB37" s="5" t="s">
        <v>63</v>
      </c>
      <c r="AC37" s="5" t="s">
        <v>63</v>
      </c>
      <c r="AD37" s="5" t="s">
        <v>63</v>
      </c>
      <c r="AE37" s="5" t="s">
        <v>63</v>
      </c>
      <c r="AF37" s="5" t="s">
        <v>63</v>
      </c>
      <c r="AG37" s="5" t="s">
        <v>63</v>
      </c>
      <c r="AH37" s="5" t="s">
        <v>63</v>
      </c>
      <c r="AI37" s="5" t="s">
        <v>63</v>
      </c>
      <c r="AJ37" s="14" t="s">
        <v>63</v>
      </c>
      <c r="AK37" s="5" t="s">
        <v>63</v>
      </c>
      <c r="AL37" s="5" t="s">
        <v>63</v>
      </c>
      <c r="AM37" s="5" t="s">
        <v>63</v>
      </c>
      <c r="AN37" s="5" t="s">
        <v>63</v>
      </c>
      <c r="AO37" s="5" t="s">
        <v>64</v>
      </c>
      <c r="AP37" s="5" t="s">
        <v>63</v>
      </c>
      <c r="AQ37" s="5" t="s">
        <v>63</v>
      </c>
      <c r="AR37" s="5" t="s">
        <v>63</v>
      </c>
      <c r="AS37" s="8" t="s">
        <v>63</v>
      </c>
      <c r="AT37" s="5" t="s">
        <v>63</v>
      </c>
      <c r="AU37" s="5" t="s">
        <v>63</v>
      </c>
      <c r="AV37" s="5" t="s">
        <v>63</v>
      </c>
      <c r="AW37" s="5" t="s">
        <v>63</v>
      </c>
      <c r="AX37" s="5" t="s">
        <v>63</v>
      </c>
      <c r="AY37" s="5" t="s">
        <v>63</v>
      </c>
      <c r="AZ37" s="5" t="s">
        <v>63</v>
      </c>
      <c r="BA37" s="5" t="s">
        <v>63</v>
      </c>
      <c r="BB37" s="5" t="s">
        <v>63</v>
      </c>
      <c r="BC37" s="5" t="s">
        <v>63</v>
      </c>
      <c r="BD37" s="5" t="s">
        <v>63</v>
      </c>
      <c r="BN37" s="5" t="s">
        <v>64</v>
      </c>
    </row>
    <row r="38" spans="1:71">
      <c r="A38" s="1" t="str">
        <f t="shared" si="0"/>
        <v>Yes</v>
      </c>
      <c r="B38" s="1" t="s">
        <v>116</v>
      </c>
      <c r="C38" s="1" t="s">
        <v>133</v>
      </c>
      <c r="D38" s="11" t="s">
        <v>134</v>
      </c>
      <c r="E38" s="1" t="s">
        <v>135</v>
      </c>
      <c r="F38" s="2">
        <v>4</v>
      </c>
      <c r="G38" s="5" t="s">
        <v>63</v>
      </c>
      <c r="H38" s="5" t="s">
        <v>63</v>
      </c>
      <c r="I38" s="5" t="s">
        <v>63</v>
      </c>
      <c r="J38" s="5" t="s">
        <v>63</v>
      </c>
      <c r="K38" s="5" t="s">
        <v>63</v>
      </c>
      <c r="L38" s="5" t="s">
        <v>63</v>
      </c>
      <c r="M38" s="5" t="s">
        <v>63</v>
      </c>
      <c r="N38" s="5" t="s">
        <v>63</v>
      </c>
      <c r="O38" s="5" t="s">
        <v>63</v>
      </c>
      <c r="P38" s="5" t="s">
        <v>63</v>
      </c>
      <c r="Q38" s="5" t="s">
        <v>63</v>
      </c>
      <c r="R38" s="5" t="s">
        <v>63</v>
      </c>
      <c r="S38" s="5" t="s">
        <v>63</v>
      </c>
      <c r="T38" s="5" t="s">
        <v>63</v>
      </c>
      <c r="U38" s="5" t="s">
        <v>63</v>
      </c>
      <c r="V38" s="5" t="s">
        <v>64</v>
      </c>
      <c r="W38" s="5" t="s">
        <v>63</v>
      </c>
      <c r="X38" s="5" t="s">
        <v>63</v>
      </c>
      <c r="Y38" s="5" t="s">
        <v>63</v>
      </c>
      <c r="Z38" s="5" t="s">
        <v>63</v>
      </c>
      <c r="AA38" s="5" t="s">
        <v>63</v>
      </c>
      <c r="AB38" s="5" t="s">
        <v>63</v>
      </c>
      <c r="AC38" s="5" t="s">
        <v>63</v>
      </c>
      <c r="AD38" s="5" t="s">
        <v>63</v>
      </c>
      <c r="AE38" s="5" t="s">
        <v>63</v>
      </c>
      <c r="AF38" s="5" t="s">
        <v>63</v>
      </c>
      <c r="AG38" s="5" t="s">
        <v>63</v>
      </c>
      <c r="AH38" s="5" t="s">
        <v>63</v>
      </c>
      <c r="AI38" s="5" t="s">
        <v>63</v>
      </c>
      <c r="AJ38" s="14" t="s">
        <v>63</v>
      </c>
      <c r="AK38" s="5" t="s">
        <v>63</v>
      </c>
      <c r="AL38" s="5" t="s">
        <v>63</v>
      </c>
      <c r="AM38" s="5" t="s">
        <v>63</v>
      </c>
      <c r="AN38" s="5" t="s">
        <v>63</v>
      </c>
      <c r="AO38" s="5" t="s">
        <v>63</v>
      </c>
      <c r="AP38" s="5" t="s">
        <v>64</v>
      </c>
      <c r="AQ38" s="5" t="s">
        <v>63</v>
      </c>
      <c r="AR38" s="5" t="s">
        <v>64</v>
      </c>
      <c r="AS38" s="8" t="s">
        <v>63</v>
      </c>
      <c r="AT38" s="5" t="s">
        <v>63</v>
      </c>
      <c r="AU38" s="5" t="s">
        <v>63</v>
      </c>
      <c r="AV38" s="5" t="s">
        <v>63</v>
      </c>
      <c r="AW38" s="5" t="s">
        <v>63</v>
      </c>
      <c r="AX38" s="5" t="s">
        <v>63</v>
      </c>
      <c r="AY38" s="5" t="s">
        <v>63</v>
      </c>
      <c r="AZ38" s="5" t="s">
        <v>63</v>
      </c>
      <c r="BA38" s="5" t="s">
        <v>63</v>
      </c>
      <c r="BB38" s="5" t="s">
        <v>63</v>
      </c>
      <c r="BC38" s="5" t="s">
        <v>63</v>
      </c>
      <c r="BD38" s="5" t="s">
        <v>63</v>
      </c>
      <c r="BE38" s="5" t="s">
        <v>64</v>
      </c>
      <c r="BO38" s="5" t="s">
        <v>64</v>
      </c>
    </row>
    <row r="39" spans="1:71">
      <c r="A39" s="1" t="str">
        <f t="shared" si="0"/>
        <v>Yes</v>
      </c>
      <c r="B39" s="1" t="s">
        <v>116</v>
      </c>
      <c r="C39" s="1" t="s">
        <v>136</v>
      </c>
      <c r="E39" s="1" t="s">
        <v>137</v>
      </c>
      <c r="F39" s="2">
        <v>3</v>
      </c>
      <c r="G39" s="5" t="s">
        <v>63</v>
      </c>
      <c r="H39" s="5" t="s">
        <v>63</v>
      </c>
      <c r="I39" s="5" t="s">
        <v>63</v>
      </c>
      <c r="J39" s="5" t="s">
        <v>63</v>
      </c>
      <c r="K39" s="5" t="s">
        <v>64</v>
      </c>
      <c r="L39" s="5" t="s">
        <v>63</v>
      </c>
      <c r="M39" s="5" t="s">
        <v>64</v>
      </c>
      <c r="N39" s="5" t="s">
        <v>63</v>
      </c>
      <c r="O39" s="5" t="s">
        <v>63</v>
      </c>
      <c r="P39" s="5" t="s">
        <v>63</v>
      </c>
      <c r="Q39" s="5" t="s">
        <v>63</v>
      </c>
      <c r="R39" s="5" t="s">
        <v>63</v>
      </c>
      <c r="S39" s="5" t="s">
        <v>63</v>
      </c>
      <c r="T39" s="5" t="s">
        <v>63</v>
      </c>
      <c r="U39" s="5" t="s">
        <v>63</v>
      </c>
      <c r="V39" s="5" t="s">
        <v>64</v>
      </c>
      <c r="W39" s="5" t="s">
        <v>63</v>
      </c>
      <c r="X39" s="5" t="s">
        <v>63</v>
      </c>
      <c r="Y39" s="5" t="s">
        <v>63</v>
      </c>
      <c r="Z39" s="5" t="s">
        <v>63</v>
      </c>
      <c r="AA39" s="5" t="s">
        <v>63</v>
      </c>
      <c r="AB39" s="5" t="s">
        <v>63</v>
      </c>
      <c r="AC39" s="5" t="s">
        <v>63</v>
      </c>
      <c r="AD39" s="5" t="s">
        <v>63</v>
      </c>
      <c r="AE39" s="5" t="s">
        <v>63</v>
      </c>
      <c r="AF39" s="5" t="s">
        <v>63</v>
      </c>
      <c r="AG39" s="5" t="s">
        <v>63</v>
      </c>
      <c r="AH39" s="5" t="s">
        <v>63</v>
      </c>
      <c r="AI39" s="5" t="s">
        <v>63</v>
      </c>
      <c r="AJ39" s="14" t="s">
        <v>63</v>
      </c>
      <c r="AK39" s="5" t="s">
        <v>63</v>
      </c>
      <c r="AL39" s="5" t="s">
        <v>63</v>
      </c>
      <c r="AM39" s="5" t="s">
        <v>63</v>
      </c>
      <c r="AN39" s="5" t="s">
        <v>63</v>
      </c>
      <c r="AO39" s="5" t="s">
        <v>63</v>
      </c>
      <c r="AP39" s="5" t="s">
        <v>63</v>
      </c>
      <c r="AQ39" s="5" t="s">
        <v>63</v>
      </c>
      <c r="AR39" s="5" t="s">
        <v>63</v>
      </c>
      <c r="AS39" s="8" t="s">
        <v>63</v>
      </c>
      <c r="AT39" s="5" t="s">
        <v>63</v>
      </c>
      <c r="AU39" s="5" t="s">
        <v>63</v>
      </c>
      <c r="AV39" s="5" t="s">
        <v>63</v>
      </c>
      <c r="AW39" s="5" t="s">
        <v>63</v>
      </c>
      <c r="AX39" s="5" t="s">
        <v>63</v>
      </c>
      <c r="AY39" s="5" t="s">
        <v>63</v>
      </c>
      <c r="AZ39" s="5" t="s">
        <v>63</v>
      </c>
      <c r="BA39" s="5" t="s">
        <v>63</v>
      </c>
      <c r="BB39" s="5" t="s">
        <v>63</v>
      </c>
      <c r="BC39" s="5" t="s">
        <v>63</v>
      </c>
      <c r="BD39" s="5" t="s">
        <v>63</v>
      </c>
      <c r="BE39" s="5" t="s">
        <v>64</v>
      </c>
    </row>
    <row r="40" spans="1:71">
      <c r="A40" s="1" t="str">
        <f t="shared" si="0"/>
        <v>No</v>
      </c>
      <c r="B40" s="1" t="s">
        <v>59</v>
      </c>
      <c r="C40" s="1" t="s">
        <v>138</v>
      </c>
      <c r="D40" s="11" t="s">
        <v>139</v>
      </c>
      <c r="E40" s="1" t="s">
        <v>140</v>
      </c>
      <c r="F40" s="2">
        <v>3</v>
      </c>
      <c r="G40" s="5" t="s">
        <v>63</v>
      </c>
      <c r="H40" s="5" t="s">
        <v>63</v>
      </c>
      <c r="I40" s="5" t="s">
        <v>63</v>
      </c>
      <c r="J40" s="5" t="s">
        <v>63</v>
      </c>
      <c r="K40" s="5" t="s">
        <v>63</v>
      </c>
      <c r="L40" s="5" t="s">
        <v>63</v>
      </c>
      <c r="M40" s="5" t="s">
        <v>63</v>
      </c>
      <c r="N40" s="5" t="s">
        <v>63</v>
      </c>
      <c r="O40" s="5" t="s">
        <v>63</v>
      </c>
      <c r="P40" s="5" t="s">
        <v>63</v>
      </c>
      <c r="Q40" s="5" t="s">
        <v>63</v>
      </c>
      <c r="R40" s="5" t="s">
        <v>63</v>
      </c>
      <c r="S40" s="5" t="s">
        <v>63</v>
      </c>
      <c r="T40" s="5" t="s">
        <v>63</v>
      </c>
      <c r="U40" s="5" t="s">
        <v>63</v>
      </c>
      <c r="V40" s="5" t="s">
        <v>63</v>
      </c>
      <c r="W40" s="5" t="s">
        <v>63</v>
      </c>
      <c r="X40" s="5" t="s">
        <v>63</v>
      </c>
      <c r="Y40" s="5" t="s">
        <v>63</v>
      </c>
      <c r="Z40" s="5" t="s">
        <v>63</v>
      </c>
      <c r="AA40" s="5" t="s">
        <v>63</v>
      </c>
      <c r="AB40" s="5" t="s">
        <v>63</v>
      </c>
      <c r="AC40" s="5" t="s">
        <v>64</v>
      </c>
      <c r="AD40" s="5" t="s">
        <v>63</v>
      </c>
      <c r="AE40" s="5" t="s">
        <v>63</v>
      </c>
      <c r="AF40" s="5" t="s">
        <v>63</v>
      </c>
      <c r="AG40" s="5" t="s">
        <v>63</v>
      </c>
      <c r="AH40" s="5" t="s">
        <v>63</v>
      </c>
      <c r="AI40" s="5" t="s">
        <v>63</v>
      </c>
      <c r="AJ40" s="14" t="s">
        <v>63</v>
      </c>
      <c r="AK40" s="5" t="s">
        <v>64</v>
      </c>
      <c r="AL40" s="5" t="s">
        <v>63</v>
      </c>
      <c r="AM40" s="5" t="s">
        <v>63</v>
      </c>
      <c r="AN40" s="5" t="s">
        <v>63</v>
      </c>
      <c r="AO40" s="5" t="s">
        <v>63</v>
      </c>
      <c r="AP40" s="5" t="s">
        <v>63</v>
      </c>
      <c r="AQ40" s="5" t="s">
        <v>63</v>
      </c>
      <c r="AR40" s="5" t="s">
        <v>63</v>
      </c>
      <c r="AS40" s="8" t="s">
        <v>63</v>
      </c>
      <c r="AT40" s="5" t="s">
        <v>63</v>
      </c>
      <c r="AU40" s="5" t="s">
        <v>63</v>
      </c>
      <c r="AV40" s="5" t="s">
        <v>63</v>
      </c>
      <c r="AW40" s="5" t="s">
        <v>63</v>
      </c>
      <c r="AX40" s="5" t="s">
        <v>63</v>
      </c>
      <c r="AY40" s="5" t="s">
        <v>63</v>
      </c>
      <c r="AZ40" s="5" t="s">
        <v>63</v>
      </c>
      <c r="BA40" s="5" t="s">
        <v>63</v>
      </c>
      <c r="BB40" s="5"/>
      <c r="BC40" s="5" t="s">
        <v>63</v>
      </c>
      <c r="BD40" s="5" t="s">
        <v>63</v>
      </c>
      <c r="BH40" s="5" t="s">
        <v>64</v>
      </c>
      <c r="BL40" s="5" t="s">
        <v>64</v>
      </c>
      <c r="BS40" s="5" t="s">
        <v>64</v>
      </c>
    </row>
    <row r="41" spans="1:71">
      <c r="A41" s="1" t="str">
        <f t="shared" si="0"/>
        <v>No</v>
      </c>
      <c r="B41" s="1" t="s">
        <v>59</v>
      </c>
      <c r="C41" s="1" t="s">
        <v>141</v>
      </c>
      <c r="D41" s="11" t="s">
        <v>139</v>
      </c>
      <c r="E41" s="1" t="s">
        <v>142</v>
      </c>
      <c r="F41" s="2">
        <v>4</v>
      </c>
      <c r="G41" s="5" t="s">
        <v>63</v>
      </c>
      <c r="H41" s="5" t="s">
        <v>63</v>
      </c>
      <c r="I41" s="5" t="s">
        <v>63</v>
      </c>
      <c r="J41" s="5" t="s">
        <v>63</v>
      </c>
      <c r="K41" s="5" t="s">
        <v>63</v>
      </c>
      <c r="L41" s="5" t="s">
        <v>63</v>
      </c>
      <c r="M41" s="5" t="s">
        <v>63</v>
      </c>
      <c r="N41" s="5" t="s">
        <v>63</v>
      </c>
      <c r="O41" s="5" t="s">
        <v>63</v>
      </c>
      <c r="P41" s="5" t="s">
        <v>63</v>
      </c>
      <c r="Q41" s="5" t="s">
        <v>63</v>
      </c>
      <c r="R41" s="5" t="s">
        <v>63</v>
      </c>
      <c r="S41" s="5" t="s">
        <v>63</v>
      </c>
      <c r="T41" s="5" t="s">
        <v>63</v>
      </c>
      <c r="U41" s="5" t="s">
        <v>63</v>
      </c>
      <c r="V41" s="5" t="s">
        <v>63</v>
      </c>
      <c r="W41" s="5" t="s">
        <v>63</v>
      </c>
      <c r="X41" s="5" t="s">
        <v>63</v>
      </c>
      <c r="Y41" s="5" t="s">
        <v>63</v>
      </c>
      <c r="Z41" s="5" t="s">
        <v>63</v>
      </c>
      <c r="AA41" s="5" t="s">
        <v>63</v>
      </c>
      <c r="AB41" s="5" t="s">
        <v>63</v>
      </c>
      <c r="AC41" s="5" t="s">
        <v>63</v>
      </c>
      <c r="AD41" s="5" t="s">
        <v>63</v>
      </c>
      <c r="AE41" s="5" t="s">
        <v>63</v>
      </c>
      <c r="AF41" s="5" t="s">
        <v>63</v>
      </c>
      <c r="AG41" s="5" t="s">
        <v>63</v>
      </c>
      <c r="AH41" s="5" t="s">
        <v>63</v>
      </c>
      <c r="AI41" s="5" t="s">
        <v>63</v>
      </c>
      <c r="AJ41" s="14" t="s">
        <v>63</v>
      </c>
      <c r="AK41" s="5" t="s">
        <v>63</v>
      </c>
      <c r="AL41" s="5" t="s">
        <v>63</v>
      </c>
      <c r="AM41" s="5" t="s">
        <v>63</v>
      </c>
      <c r="AN41" s="5" t="s">
        <v>63</v>
      </c>
      <c r="AO41" s="5" t="s">
        <v>63</v>
      </c>
      <c r="AP41" s="5" t="s">
        <v>63</v>
      </c>
      <c r="AQ41" s="5" t="s">
        <v>63</v>
      </c>
      <c r="AR41" s="5" t="s">
        <v>63</v>
      </c>
      <c r="AS41" s="8" t="s">
        <v>63</v>
      </c>
      <c r="AT41" s="5" t="s">
        <v>63</v>
      </c>
      <c r="AU41" s="5" t="s">
        <v>63</v>
      </c>
      <c r="AV41" s="5" t="s">
        <v>63</v>
      </c>
      <c r="AW41" s="5" t="s">
        <v>63</v>
      </c>
      <c r="AX41" s="5" t="s">
        <v>63</v>
      </c>
      <c r="AY41" s="5" t="s">
        <v>63</v>
      </c>
      <c r="AZ41" s="5" t="s">
        <v>63</v>
      </c>
      <c r="BA41" s="5" t="s">
        <v>63</v>
      </c>
      <c r="BB41" s="5" t="s">
        <v>63</v>
      </c>
      <c r="BC41" s="5" t="s">
        <v>63</v>
      </c>
      <c r="BD41" s="5" t="s">
        <v>63</v>
      </c>
    </row>
    <row r="42" spans="1:71">
      <c r="A42" s="1" t="str">
        <f t="shared" si="0"/>
        <v>No</v>
      </c>
      <c r="B42" s="1" t="s">
        <v>59</v>
      </c>
      <c r="C42" s="1" t="s">
        <v>143</v>
      </c>
      <c r="D42" s="11" t="s">
        <v>139</v>
      </c>
      <c r="E42" s="1" t="s">
        <v>144</v>
      </c>
      <c r="F42" s="2">
        <v>3</v>
      </c>
      <c r="G42" s="5" t="s">
        <v>63</v>
      </c>
      <c r="H42" s="5" t="s">
        <v>63</v>
      </c>
      <c r="I42" s="5" t="s">
        <v>63</v>
      </c>
      <c r="J42" s="5" t="s">
        <v>63</v>
      </c>
      <c r="K42" s="5" t="s">
        <v>63</v>
      </c>
      <c r="L42" s="5" t="s">
        <v>63</v>
      </c>
      <c r="M42" s="5" t="s">
        <v>63</v>
      </c>
      <c r="N42" s="5" t="s">
        <v>63</v>
      </c>
      <c r="O42" s="5" t="s">
        <v>63</v>
      </c>
      <c r="P42" s="5" t="s">
        <v>63</v>
      </c>
      <c r="Q42" s="5" t="s">
        <v>63</v>
      </c>
      <c r="R42" s="5" t="s">
        <v>63</v>
      </c>
      <c r="S42" s="5" t="s">
        <v>63</v>
      </c>
      <c r="T42" s="5" t="s">
        <v>63</v>
      </c>
      <c r="U42" s="5" t="s">
        <v>63</v>
      </c>
      <c r="V42" s="5" t="s">
        <v>63</v>
      </c>
      <c r="W42" s="5" t="s">
        <v>63</v>
      </c>
      <c r="X42" s="5" t="s">
        <v>63</v>
      </c>
      <c r="Y42" s="5" t="s">
        <v>63</v>
      </c>
      <c r="Z42" s="5" t="s">
        <v>63</v>
      </c>
      <c r="AA42" s="5" t="s">
        <v>63</v>
      </c>
      <c r="AB42" s="5" t="s">
        <v>63</v>
      </c>
      <c r="AC42" s="5" t="s">
        <v>63</v>
      </c>
      <c r="AD42" s="5" t="s">
        <v>63</v>
      </c>
      <c r="AE42" s="5" t="s">
        <v>63</v>
      </c>
      <c r="AF42" s="5" t="s">
        <v>64</v>
      </c>
      <c r="AG42" s="5" t="s">
        <v>63</v>
      </c>
      <c r="AH42" s="5" t="s">
        <v>63</v>
      </c>
      <c r="AI42" s="5" t="s">
        <v>63</v>
      </c>
      <c r="AJ42" s="14" t="s">
        <v>63</v>
      </c>
      <c r="AK42" s="5" t="s">
        <v>63</v>
      </c>
      <c r="AL42" s="5" t="s">
        <v>63</v>
      </c>
      <c r="AM42" s="5" t="s">
        <v>64</v>
      </c>
      <c r="AN42" s="5" t="s">
        <v>64</v>
      </c>
      <c r="AO42" s="5" t="s">
        <v>64</v>
      </c>
      <c r="AP42" s="5" t="s">
        <v>63</v>
      </c>
      <c r="AQ42" s="5" t="s">
        <v>63</v>
      </c>
      <c r="AR42" s="5" t="s">
        <v>63</v>
      </c>
      <c r="AS42" s="8" t="s">
        <v>63</v>
      </c>
      <c r="AT42" s="5" t="s">
        <v>63</v>
      </c>
      <c r="AU42" s="5" t="s">
        <v>63</v>
      </c>
      <c r="AV42" s="5" t="s">
        <v>63</v>
      </c>
      <c r="AW42" s="5" t="s">
        <v>63</v>
      </c>
      <c r="AX42" s="5" t="s">
        <v>63</v>
      </c>
      <c r="AY42" s="5" t="s">
        <v>63</v>
      </c>
      <c r="AZ42" s="5" t="s">
        <v>63</v>
      </c>
      <c r="BA42" s="5" t="s">
        <v>63</v>
      </c>
      <c r="BB42" s="5" t="s">
        <v>63</v>
      </c>
      <c r="BC42" s="5" t="s">
        <v>63</v>
      </c>
      <c r="BD42" s="5" t="s">
        <v>63</v>
      </c>
      <c r="BI42" s="5" t="s">
        <v>64</v>
      </c>
      <c r="BN42" s="5" t="s">
        <v>64</v>
      </c>
    </row>
    <row r="43" spans="1:71">
      <c r="A43" s="1" t="str">
        <f t="shared" si="0"/>
        <v>No</v>
      </c>
      <c r="B43" s="1" t="s">
        <v>59</v>
      </c>
      <c r="C43" s="1" t="s">
        <v>145</v>
      </c>
      <c r="D43" s="11" t="s">
        <v>139</v>
      </c>
      <c r="E43" s="1" t="s">
        <v>146</v>
      </c>
      <c r="F43" s="2">
        <v>3</v>
      </c>
      <c r="G43" s="5" t="s">
        <v>63</v>
      </c>
      <c r="H43" s="5" t="s">
        <v>63</v>
      </c>
      <c r="I43" s="5" t="s">
        <v>63</v>
      </c>
      <c r="J43" s="5" t="s">
        <v>63</v>
      </c>
      <c r="K43" s="5" t="s">
        <v>63</v>
      </c>
      <c r="L43" s="5" t="s">
        <v>63</v>
      </c>
      <c r="M43" s="5" t="s">
        <v>63</v>
      </c>
      <c r="N43" s="5" t="s">
        <v>63</v>
      </c>
      <c r="O43" s="5" t="s">
        <v>63</v>
      </c>
      <c r="P43" s="5" t="s">
        <v>63</v>
      </c>
      <c r="Q43" s="5" t="s">
        <v>63</v>
      </c>
      <c r="R43" s="5" t="s">
        <v>63</v>
      </c>
      <c r="S43" s="5" t="s">
        <v>63</v>
      </c>
      <c r="T43" s="5" t="s">
        <v>63</v>
      </c>
      <c r="U43" s="5" t="s">
        <v>63</v>
      </c>
      <c r="V43" s="5" t="s">
        <v>63</v>
      </c>
      <c r="W43" s="5" t="s">
        <v>63</v>
      </c>
      <c r="X43" s="5" t="s">
        <v>63</v>
      </c>
      <c r="Y43" s="5" t="s">
        <v>63</v>
      </c>
      <c r="Z43" s="5" t="s">
        <v>63</v>
      </c>
      <c r="AA43" s="5" t="s">
        <v>63</v>
      </c>
      <c r="AB43" s="5" t="s">
        <v>63</v>
      </c>
      <c r="AC43" s="5" t="s">
        <v>63</v>
      </c>
      <c r="AD43" s="5" t="s">
        <v>63</v>
      </c>
      <c r="AE43" s="5" t="s">
        <v>63</v>
      </c>
      <c r="AF43" s="5" t="s">
        <v>64</v>
      </c>
      <c r="AG43" s="5" t="s">
        <v>63</v>
      </c>
      <c r="AH43" s="5" t="s">
        <v>63</v>
      </c>
      <c r="AI43" s="5" t="s">
        <v>63</v>
      </c>
      <c r="AJ43" s="14" t="s">
        <v>63</v>
      </c>
      <c r="AK43" s="5" t="s">
        <v>63</v>
      </c>
      <c r="AL43" s="5" t="s">
        <v>63</v>
      </c>
      <c r="AM43" s="5" t="s">
        <v>64</v>
      </c>
      <c r="AN43" s="5" t="s">
        <v>64</v>
      </c>
      <c r="AO43" s="5" t="s">
        <v>64</v>
      </c>
      <c r="AP43" s="5" t="s">
        <v>63</v>
      </c>
      <c r="AQ43" s="5" t="s">
        <v>63</v>
      </c>
      <c r="AR43" s="5" t="s">
        <v>63</v>
      </c>
      <c r="AS43" s="8" t="s">
        <v>63</v>
      </c>
      <c r="AT43" s="5" t="s">
        <v>63</v>
      </c>
      <c r="AU43" s="5" t="s">
        <v>63</v>
      </c>
      <c r="AV43" s="5" t="s">
        <v>63</v>
      </c>
      <c r="AW43" s="5" t="s">
        <v>63</v>
      </c>
      <c r="AX43" s="5" t="s">
        <v>63</v>
      </c>
      <c r="AY43" s="5" t="s">
        <v>63</v>
      </c>
      <c r="AZ43" s="5" t="s">
        <v>63</v>
      </c>
      <c r="BA43" s="5" t="s">
        <v>63</v>
      </c>
      <c r="BB43" s="5" t="s">
        <v>63</v>
      </c>
      <c r="BC43" s="5" t="s">
        <v>63</v>
      </c>
      <c r="BD43" s="5" t="s">
        <v>63</v>
      </c>
      <c r="BI43" s="5" t="s">
        <v>64</v>
      </c>
      <c r="BN43" s="5" t="s">
        <v>64</v>
      </c>
    </row>
    <row r="44" spans="1:71">
      <c r="A44" s="1" t="str">
        <f t="shared" si="0"/>
        <v>No</v>
      </c>
      <c r="B44" s="1" t="s">
        <v>59</v>
      </c>
      <c r="C44" s="1" t="s">
        <v>147</v>
      </c>
      <c r="D44" s="11" t="s">
        <v>139</v>
      </c>
      <c r="E44" s="1" t="s">
        <v>148</v>
      </c>
      <c r="F44" s="2">
        <v>4</v>
      </c>
      <c r="G44" s="5" t="s">
        <v>63</v>
      </c>
      <c r="H44" s="5" t="s">
        <v>63</v>
      </c>
      <c r="I44" s="5" t="s">
        <v>63</v>
      </c>
      <c r="J44" s="5" t="s">
        <v>63</v>
      </c>
      <c r="K44" s="5" t="s">
        <v>63</v>
      </c>
      <c r="L44" s="5" t="s">
        <v>63</v>
      </c>
      <c r="M44" s="5" t="s">
        <v>63</v>
      </c>
      <c r="N44" s="5" t="s">
        <v>63</v>
      </c>
      <c r="O44" s="5" t="s">
        <v>63</v>
      </c>
      <c r="P44" s="5" t="s">
        <v>63</v>
      </c>
      <c r="Q44" s="5" t="s">
        <v>63</v>
      </c>
      <c r="R44" s="5" t="s">
        <v>63</v>
      </c>
      <c r="S44" s="5" t="s">
        <v>63</v>
      </c>
      <c r="T44" s="5" t="s">
        <v>63</v>
      </c>
      <c r="U44" s="5" t="s">
        <v>63</v>
      </c>
      <c r="V44" s="5" t="s">
        <v>63</v>
      </c>
      <c r="W44" s="5" t="s">
        <v>63</v>
      </c>
      <c r="X44" s="5" t="s">
        <v>63</v>
      </c>
      <c r="Y44" s="5" t="s">
        <v>63</v>
      </c>
      <c r="Z44" s="5" t="s">
        <v>63</v>
      </c>
      <c r="AA44" s="5" t="s">
        <v>63</v>
      </c>
      <c r="AB44" s="5" t="s">
        <v>63</v>
      </c>
      <c r="AC44" s="5" t="s">
        <v>64</v>
      </c>
      <c r="AD44" s="5" t="s">
        <v>63</v>
      </c>
      <c r="AE44" s="5" t="s">
        <v>63</v>
      </c>
      <c r="AF44" s="5" t="s">
        <v>63</v>
      </c>
      <c r="AG44" s="5" t="s">
        <v>63</v>
      </c>
      <c r="AH44" s="5" t="s">
        <v>63</v>
      </c>
      <c r="AI44" s="5" t="s">
        <v>63</v>
      </c>
      <c r="AJ44" s="14" t="s">
        <v>63</v>
      </c>
      <c r="AK44" s="5" t="s">
        <v>64</v>
      </c>
      <c r="AL44" s="5" t="s">
        <v>63</v>
      </c>
      <c r="AM44" s="5" t="s">
        <v>63</v>
      </c>
      <c r="AN44" s="5" t="s">
        <v>63</v>
      </c>
      <c r="AO44" s="5" t="s">
        <v>63</v>
      </c>
      <c r="AP44" s="5" t="s">
        <v>63</v>
      </c>
      <c r="AQ44" s="5" t="s">
        <v>63</v>
      </c>
      <c r="AR44" s="5" t="s">
        <v>63</v>
      </c>
      <c r="AS44" s="8" t="s">
        <v>63</v>
      </c>
      <c r="AT44" s="5" t="s">
        <v>63</v>
      </c>
      <c r="AU44" s="5" t="s">
        <v>63</v>
      </c>
      <c r="AV44" s="5" t="s">
        <v>63</v>
      </c>
      <c r="AW44" s="5" t="s">
        <v>63</v>
      </c>
      <c r="AX44" s="5" t="s">
        <v>63</v>
      </c>
      <c r="AY44" s="5" t="s">
        <v>63</v>
      </c>
      <c r="AZ44" s="5" t="s">
        <v>63</v>
      </c>
      <c r="BA44" s="5" t="s">
        <v>63</v>
      </c>
      <c r="BB44" s="5"/>
      <c r="BC44" s="5" t="s">
        <v>63</v>
      </c>
      <c r="BD44" s="5" t="s">
        <v>63</v>
      </c>
      <c r="BH44" s="5" t="s">
        <v>64</v>
      </c>
      <c r="BL44" s="5" t="s">
        <v>64</v>
      </c>
      <c r="BS44" s="5" t="s">
        <v>64</v>
      </c>
    </row>
    <row r="45" spans="1:71">
      <c r="A45" s="1" t="str">
        <f t="shared" si="0"/>
        <v>Yes</v>
      </c>
      <c r="B45" s="1" t="s">
        <v>116</v>
      </c>
      <c r="C45" s="1" t="s">
        <v>149</v>
      </c>
      <c r="E45" s="1" t="s">
        <v>150</v>
      </c>
      <c r="F45" s="2">
        <v>3</v>
      </c>
      <c r="G45" s="5" t="s">
        <v>63</v>
      </c>
      <c r="H45" s="5" t="s">
        <v>63</v>
      </c>
      <c r="I45" s="5" t="s">
        <v>64</v>
      </c>
      <c r="J45" s="5" t="s">
        <v>63</v>
      </c>
      <c r="K45" s="5" t="s">
        <v>63</v>
      </c>
      <c r="L45" s="5" t="s">
        <v>63</v>
      </c>
      <c r="M45" s="5" t="s">
        <v>64</v>
      </c>
      <c r="N45" s="5" t="s">
        <v>63</v>
      </c>
      <c r="O45" s="5" t="s">
        <v>63</v>
      </c>
      <c r="P45" s="5" t="s">
        <v>63</v>
      </c>
      <c r="Q45" s="5" t="s">
        <v>63</v>
      </c>
      <c r="R45" s="5" t="s">
        <v>63</v>
      </c>
      <c r="S45" s="5" t="s">
        <v>63</v>
      </c>
      <c r="T45" s="5" t="s">
        <v>63</v>
      </c>
      <c r="U45" s="5" t="s">
        <v>63</v>
      </c>
      <c r="V45" s="5" t="s">
        <v>64</v>
      </c>
      <c r="W45" s="5" t="s">
        <v>63</v>
      </c>
      <c r="X45" s="5" t="s">
        <v>63</v>
      </c>
      <c r="Y45" s="5" t="s">
        <v>63</v>
      </c>
      <c r="Z45" s="5" t="s">
        <v>63</v>
      </c>
      <c r="AA45" s="5" t="s">
        <v>63</v>
      </c>
      <c r="AB45" s="5" t="s">
        <v>63</v>
      </c>
      <c r="AC45" s="5" t="s">
        <v>63</v>
      </c>
      <c r="AD45" s="5" t="s">
        <v>63</v>
      </c>
      <c r="AE45" s="5" t="s">
        <v>63</v>
      </c>
      <c r="AF45" s="5" t="s">
        <v>63</v>
      </c>
      <c r="AG45" s="5" t="s">
        <v>63</v>
      </c>
      <c r="AH45" s="5" t="s">
        <v>63</v>
      </c>
      <c r="AI45" s="5" t="s">
        <v>63</v>
      </c>
      <c r="AJ45" s="14" t="s">
        <v>63</v>
      </c>
      <c r="AK45" s="5" t="s">
        <v>63</v>
      </c>
      <c r="AL45" s="5" t="s">
        <v>63</v>
      </c>
      <c r="AM45" s="5" t="s">
        <v>63</v>
      </c>
      <c r="AN45" s="5" t="s">
        <v>63</v>
      </c>
      <c r="AO45" s="5" t="s">
        <v>63</v>
      </c>
      <c r="AP45" s="5" t="s">
        <v>63</v>
      </c>
      <c r="AQ45" s="5" t="s">
        <v>63</v>
      </c>
      <c r="AR45" s="5" t="s">
        <v>63</v>
      </c>
      <c r="AS45" s="8" t="s">
        <v>63</v>
      </c>
      <c r="AT45" s="5" t="s">
        <v>63</v>
      </c>
      <c r="AU45" s="5" t="s">
        <v>63</v>
      </c>
      <c r="AV45" s="5" t="s">
        <v>63</v>
      </c>
      <c r="AW45" s="5" t="s">
        <v>63</v>
      </c>
      <c r="AX45" s="5" t="s">
        <v>63</v>
      </c>
      <c r="AY45" s="5" t="s">
        <v>63</v>
      </c>
      <c r="AZ45" s="5" t="s">
        <v>63</v>
      </c>
      <c r="BA45" s="5" t="s">
        <v>63</v>
      </c>
      <c r="BB45" s="5" t="s">
        <v>63</v>
      </c>
      <c r="BC45" s="5" t="s">
        <v>63</v>
      </c>
      <c r="BD45" s="5" t="s">
        <v>63</v>
      </c>
      <c r="BE45" s="5" t="s">
        <v>64</v>
      </c>
    </row>
    <row r="46" spans="1:71">
      <c r="A46" s="1" t="str">
        <f t="shared" si="0"/>
        <v>No</v>
      </c>
      <c r="B46" s="1" t="s">
        <v>59</v>
      </c>
      <c r="C46" s="1" t="s">
        <v>151</v>
      </c>
      <c r="D46" s="11" t="s">
        <v>139</v>
      </c>
      <c r="E46" s="1" t="s">
        <v>152</v>
      </c>
      <c r="F46" s="2">
        <v>3</v>
      </c>
      <c r="G46" s="5" t="s">
        <v>63</v>
      </c>
      <c r="H46" s="5" t="s">
        <v>63</v>
      </c>
      <c r="I46" s="5" t="s">
        <v>63</v>
      </c>
      <c r="J46" s="5" t="s">
        <v>63</v>
      </c>
      <c r="K46" s="5" t="s">
        <v>63</v>
      </c>
      <c r="L46" s="5" t="s">
        <v>63</v>
      </c>
      <c r="M46" s="5" t="s">
        <v>63</v>
      </c>
      <c r="N46" s="5" t="s">
        <v>63</v>
      </c>
      <c r="O46" s="5" t="s">
        <v>63</v>
      </c>
      <c r="P46" s="5" t="s">
        <v>63</v>
      </c>
      <c r="Q46" s="5" t="s">
        <v>63</v>
      </c>
      <c r="R46" s="5" t="s">
        <v>63</v>
      </c>
      <c r="S46" s="5" t="s">
        <v>63</v>
      </c>
      <c r="T46" s="5" t="s">
        <v>63</v>
      </c>
      <c r="U46" s="5" t="s">
        <v>63</v>
      </c>
      <c r="V46" s="5" t="s">
        <v>63</v>
      </c>
      <c r="W46" s="5" t="s">
        <v>63</v>
      </c>
      <c r="X46" s="5" t="s">
        <v>63</v>
      </c>
      <c r="Y46" s="5" t="s">
        <v>63</v>
      </c>
      <c r="Z46" s="5" t="s">
        <v>63</v>
      </c>
      <c r="AA46" s="5" t="s">
        <v>64</v>
      </c>
      <c r="AB46" s="5" t="s">
        <v>63</v>
      </c>
      <c r="AC46" s="5" t="s">
        <v>63</v>
      </c>
      <c r="AD46" s="5" t="s">
        <v>63</v>
      </c>
      <c r="AE46" s="5" t="s">
        <v>63</v>
      </c>
      <c r="AF46" s="5" t="s">
        <v>63</v>
      </c>
      <c r="AG46" s="5" t="s">
        <v>63</v>
      </c>
      <c r="AH46" s="5" t="s">
        <v>63</v>
      </c>
      <c r="AI46" s="5" t="s">
        <v>63</v>
      </c>
      <c r="AJ46" s="14" t="s">
        <v>63</v>
      </c>
      <c r="AK46" s="5" t="s">
        <v>63</v>
      </c>
      <c r="AL46" s="5" t="s">
        <v>63</v>
      </c>
      <c r="AM46" s="5" t="s">
        <v>63</v>
      </c>
      <c r="AN46" s="5" t="s">
        <v>63</v>
      </c>
      <c r="AO46" s="5" t="s">
        <v>63</v>
      </c>
      <c r="AP46" s="5" t="s">
        <v>63</v>
      </c>
      <c r="AQ46" s="5" t="s">
        <v>63</v>
      </c>
      <c r="AR46" s="5" t="s">
        <v>63</v>
      </c>
      <c r="AS46" s="8" t="s">
        <v>63</v>
      </c>
      <c r="AT46" s="5"/>
      <c r="AU46" s="5" t="s">
        <v>63</v>
      </c>
      <c r="AV46" s="5" t="s">
        <v>63</v>
      </c>
      <c r="AW46" s="5" t="s">
        <v>63</v>
      </c>
      <c r="AX46" s="5" t="s">
        <v>63</v>
      </c>
      <c r="AY46" s="5" t="s">
        <v>63</v>
      </c>
      <c r="AZ46" s="5" t="s">
        <v>63</v>
      </c>
      <c r="BA46" s="5" t="s">
        <v>63</v>
      </c>
      <c r="BB46" s="5" t="s">
        <v>63</v>
      </c>
      <c r="BC46" s="5" t="s">
        <v>63</v>
      </c>
      <c r="BD46" s="5" t="s">
        <v>63</v>
      </c>
      <c r="BF46" s="5" t="s">
        <v>64</v>
      </c>
      <c r="BP46" s="5" t="s">
        <v>64</v>
      </c>
    </row>
    <row r="47" spans="1:71">
      <c r="A47" s="1" t="str">
        <f t="shared" si="0"/>
        <v>No</v>
      </c>
      <c r="B47" s="1" t="s">
        <v>59</v>
      </c>
      <c r="C47" s="1" t="s">
        <v>153</v>
      </c>
      <c r="D47" s="11" t="s">
        <v>139</v>
      </c>
      <c r="E47" s="1" t="s">
        <v>154</v>
      </c>
      <c r="F47" s="2">
        <v>1</v>
      </c>
      <c r="G47" s="5" t="s">
        <v>63</v>
      </c>
      <c r="H47" s="5" t="s">
        <v>63</v>
      </c>
      <c r="I47" s="5" t="s">
        <v>63</v>
      </c>
      <c r="J47" s="5" t="s">
        <v>63</v>
      </c>
      <c r="K47" s="5" t="s">
        <v>63</v>
      </c>
      <c r="L47" s="5" t="s">
        <v>63</v>
      </c>
      <c r="M47" s="5" t="s">
        <v>63</v>
      </c>
      <c r="N47" s="5" t="s">
        <v>63</v>
      </c>
      <c r="O47" s="5" t="s">
        <v>63</v>
      </c>
      <c r="P47" s="5" t="s">
        <v>63</v>
      </c>
      <c r="Q47" s="5" t="s">
        <v>63</v>
      </c>
      <c r="R47" s="5" t="s">
        <v>63</v>
      </c>
      <c r="S47" s="5" t="s">
        <v>63</v>
      </c>
      <c r="T47" s="5" t="s">
        <v>63</v>
      </c>
      <c r="U47" s="5" t="s">
        <v>63</v>
      </c>
      <c r="V47" s="5" t="s">
        <v>63</v>
      </c>
      <c r="W47" s="5" t="s">
        <v>63</v>
      </c>
      <c r="X47" s="5" t="s">
        <v>63</v>
      </c>
      <c r="Y47" s="5" t="s">
        <v>63</v>
      </c>
      <c r="Z47" s="5" t="s">
        <v>63</v>
      </c>
      <c r="AA47" s="5" t="s">
        <v>63</v>
      </c>
      <c r="AB47" s="5" t="s">
        <v>63</v>
      </c>
      <c r="AC47" s="5" t="s">
        <v>63</v>
      </c>
      <c r="AD47" s="5" t="s">
        <v>63</v>
      </c>
      <c r="AE47" s="5" t="s">
        <v>63</v>
      </c>
      <c r="AF47" s="5" t="s">
        <v>64</v>
      </c>
      <c r="AG47" s="5" t="s">
        <v>63</v>
      </c>
      <c r="AH47" s="5" t="s">
        <v>63</v>
      </c>
      <c r="AI47" s="5" t="s">
        <v>63</v>
      </c>
      <c r="AJ47" s="14" t="s">
        <v>63</v>
      </c>
      <c r="AK47" s="5" t="s">
        <v>63</v>
      </c>
      <c r="AL47" s="5" t="s">
        <v>63</v>
      </c>
      <c r="AM47" s="5" t="s">
        <v>63</v>
      </c>
      <c r="AN47" s="5" t="s">
        <v>63</v>
      </c>
      <c r="AO47" s="5" t="s">
        <v>63</v>
      </c>
      <c r="AP47" s="5" t="s">
        <v>63</v>
      </c>
      <c r="AQ47" s="5" t="s">
        <v>63</v>
      </c>
      <c r="AR47" s="5" t="s">
        <v>63</v>
      </c>
      <c r="AS47" s="8" t="s">
        <v>63</v>
      </c>
      <c r="AT47" s="5"/>
      <c r="AU47" s="5" t="s">
        <v>63</v>
      </c>
      <c r="AV47" s="5" t="s">
        <v>63</v>
      </c>
      <c r="AW47" s="5" t="s">
        <v>63</v>
      </c>
      <c r="AX47" s="5" t="s">
        <v>63</v>
      </c>
      <c r="AY47" s="5" t="s">
        <v>63</v>
      </c>
      <c r="AZ47" s="5" t="s">
        <v>63</v>
      </c>
      <c r="BA47" s="5" t="s">
        <v>63</v>
      </c>
      <c r="BB47" s="5" t="s">
        <v>63</v>
      </c>
      <c r="BC47" s="5" t="s">
        <v>63</v>
      </c>
      <c r="BD47" s="5" t="s">
        <v>63</v>
      </c>
      <c r="BI47" s="5" t="s">
        <v>64</v>
      </c>
      <c r="BP47" s="5" t="s">
        <v>64</v>
      </c>
    </row>
    <row r="48" spans="1:71">
      <c r="A48" s="1" t="str">
        <f t="shared" si="0"/>
        <v>No</v>
      </c>
      <c r="B48" s="1" t="s">
        <v>59</v>
      </c>
      <c r="C48" s="1" t="s">
        <v>155</v>
      </c>
      <c r="D48" s="11" t="s">
        <v>139</v>
      </c>
      <c r="E48" s="1" t="s">
        <v>156</v>
      </c>
      <c r="F48" s="2">
        <v>3</v>
      </c>
      <c r="G48" s="5" t="s">
        <v>63</v>
      </c>
      <c r="H48" s="5" t="s">
        <v>63</v>
      </c>
      <c r="I48" s="5" t="s">
        <v>63</v>
      </c>
      <c r="J48" s="5" t="s">
        <v>63</v>
      </c>
      <c r="K48" s="5" t="s">
        <v>63</v>
      </c>
      <c r="L48" s="5" t="s">
        <v>63</v>
      </c>
      <c r="M48" s="5" t="s">
        <v>63</v>
      </c>
      <c r="N48" s="5" t="s">
        <v>63</v>
      </c>
      <c r="O48" s="5" t="s">
        <v>63</v>
      </c>
      <c r="P48" s="5" t="s">
        <v>63</v>
      </c>
      <c r="Q48" s="5" t="s">
        <v>63</v>
      </c>
      <c r="R48" s="5" t="s">
        <v>63</v>
      </c>
      <c r="S48" s="5" t="s">
        <v>63</v>
      </c>
      <c r="T48" s="5" t="s">
        <v>63</v>
      </c>
      <c r="U48" s="5" t="s">
        <v>63</v>
      </c>
      <c r="V48" s="5" t="s">
        <v>63</v>
      </c>
      <c r="W48" s="5" t="s">
        <v>63</v>
      </c>
      <c r="X48" s="5" t="s">
        <v>63</v>
      </c>
      <c r="Y48" s="5" t="s">
        <v>63</v>
      </c>
      <c r="Z48" s="5" t="s">
        <v>63</v>
      </c>
      <c r="AA48" s="5" t="s">
        <v>63</v>
      </c>
      <c r="AB48" s="5" t="s">
        <v>63</v>
      </c>
      <c r="AC48" s="5" t="s">
        <v>63</v>
      </c>
      <c r="AD48" s="5" t="s">
        <v>63</v>
      </c>
      <c r="AE48" s="5" t="s">
        <v>63</v>
      </c>
      <c r="AF48" s="5" t="s">
        <v>63</v>
      </c>
      <c r="AG48" s="5" t="s">
        <v>63</v>
      </c>
      <c r="AH48" s="5" t="s">
        <v>63</v>
      </c>
      <c r="AI48" s="5" t="s">
        <v>63</v>
      </c>
      <c r="AJ48" s="14" t="s">
        <v>63</v>
      </c>
      <c r="AK48" s="5" t="s">
        <v>63</v>
      </c>
      <c r="AL48" s="5" t="s">
        <v>63</v>
      </c>
      <c r="AM48" s="5" t="s">
        <v>64</v>
      </c>
      <c r="AN48" s="5" t="s">
        <v>63</v>
      </c>
      <c r="AO48" s="5" t="s">
        <v>64</v>
      </c>
      <c r="AP48" s="5" t="s">
        <v>63</v>
      </c>
      <c r="AQ48" s="5" t="s">
        <v>63</v>
      </c>
      <c r="AR48" s="5" t="s">
        <v>63</v>
      </c>
      <c r="AS48" s="8" t="s">
        <v>63</v>
      </c>
      <c r="AT48" s="5" t="s">
        <v>63</v>
      </c>
      <c r="AU48" s="5" t="s">
        <v>63</v>
      </c>
      <c r="AV48" s="5" t="s">
        <v>63</v>
      </c>
      <c r="AW48" s="5" t="s">
        <v>63</v>
      </c>
      <c r="AX48" s="5" t="s">
        <v>63</v>
      </c>
      <c r="AY48" s="5" t="s">
        <v>63</v>
      </c>
      <c r="AZ48" s="5" t="s">
        <v>63</v>
      </c>
      <c r="BA48" s="5" t="s">
        <v>63</v>
      </c>
      <c r="BB48" s="5" t="s">
        <v>63</v>
      </c>
      <c r="BC48" s="5" t="s">
        <v>63</v>
      </c>
      <c r="BD48" s="5" t="s">
        <v>63</v>
      </c>
      <c r="BN48" s="5" t="s">
        <v>64</v>
      </c>
    </row>
    <row r="49" spans="1:71">
      <c r="A49" s="1" t="str">
        <f t="shared" si="0"/>
        <v>No</v>
      </c>
      <c r="B49" s="1" t="s">
        <v>59</v>
      </c>
      <c r="C49" s="1" t="s">
        <v>157</v>
      </c>
      <c r="D49" s="11" t="s">
        <v>139</v>
      </c>
      <c r="E49" s="1" t="s">
        <v>158</v>
      </c>
      <c r="F49" s="2">
        <v>1</v>
      </c>
      <c r="G49" s="5" t="s">
        <v>63</v>
      </c>
      <c r="H49" s="5" t="s">
        <v>63</v>
      </c>
      <c r="I49" s="5" t="s">
        <v>63</v>
      </c>
      <c r="J49" s="5" t="s">
        <v>63</v>
      </c>
      <c r="K49" s="5" t="s">
        <v>63</v>
      </c>
      <c r="L49" s="5" t="s">
        <v>63</v>
      </c>
      <c r="M49" s="5" t="s">
        <v>63</v>
      </c>
      <c r="N49" s="5" t="s">
        <v>63</v>
      </c>
      <c r="O49" s="5" t="s">
        <v>63</v>
      </c>
      <c r="P49" s="5" t="s">
        <v>63</v>
      </c>
      <c r="Q49" s="5" t="s">
        <v>63</v>
      </c>
      <c r="R49" s="5" t="s">
        <v>63</v>
      </c>
      <c r="S49" s="5" t="s">
        <v>63</v>
      </c>
      <c r="T49" s="5" t="s">
        <v>63</v>
      </c>
      <c r="U49" s="5" t="s">
        <v>63</v>
      </c>
      <c r="V49" s="5" t="s">
        <v>63</v>
      </c>
      <c r="W49" s="5" t="s">
        <v>63</v>
      </c>
      <c r="X49" s="5" t="s">
        <v>63</v>
      </c>
      <c r="Y49" s="5" t="s">
        <v>63</v>
      </c>
      <c r="Z49" s="5" t="s">
        <v>63</v>
      </c>
      <c r="AA49" s="5" t="s">
        <v>63</v>
      </c>
      <c r="AB49" s="5" t="s">
        <v>63</v>
      </c>
      <c r="AC49" s="5" t="s">
        <v>63</v>
      </c>
      <c r="AD49" s="5" t="s">
        <v>63</v>
      </c>
      <c r="AE49" s="5" t="s">
        <v>63</v>
      </c>
      <c r="AF49" s="5" t="s">
        <v>64</v>
      </c>
      <c r="AG49" s="5" t="s">
        <v>63</v>
      </c>
      <c r="AH49" s="5" t="s">
        <v>63</v>
      </c>
      <c r="AI49" s="5" t="s">
        <v>63</v>
      </c>
      <c r="AJ49" s="14" t="s">
        <v>63</v>
      </c>
      <c r="AK49" s="5" t="s">
        <v>63</v>
      </c>
      <c r="AL49" s="5" t="s">
        <v>63</v>
      </c>
      <c r="AM49" s="5" t="s">
        <v>63</v>
      </c>
      <c r="AN49" s="5" t="s">
        <v>63</v>
      </c>
      <c r="AO49" s="5" t="s">
        <v>63</v>
      </c>
      <c r="AP49" s="5" t="s">
        <v>63</v>
      </c>
      <c r="AQ49" s="5" t="s">
        <v>63</v>
      </c>
      <c r="AR49" s="5" t="s">
        <v>63</v>
      </c>
      <c r="AS49" s="8" t="s">
        <v>63</v>
      </c>
      <c r="AT49" s="5" t="s">
        <v>63</v>
      </c>
      <c r="AU49" s="5" t="s">
        <v>63</v>
      </c>
      <c r="AV49" s="5" t="s">
        <v>63</v>
      </c>
      <c r="AW49" s="5" t="s">
        <v>63</v>
      </c>
      <c r="AX49" s="5" t="s">
        <v>63</v>
      </c>
      <c r="AY49" s="5" t="s">
        <v>63</v>
      </c>
      <c r="AZ49" s="5" t="s">
        <v>63</v>
      </c>
      <c r="BA49" s="5" t="s">
        <v>63</v>
      </c>
      <c r="BB49" s="5" t="s">
        <v>63</v>
      </c>
      <c r="BC49" s="5" t="s">
        <v>63</v>
      </c>
      <c r="BD49" s="5" t="s">
        <v>63</v>
      </c>
      <c r="BI49" s="5" t="s">
        <v>64</v>
      </c>
    </row>
    <row r="50" spans="1:71">
      <c r="A50" s="1" t="str">
        <f t="shared" si="0"/>
        <v>No</v>
      </c>
      <c r="B50" s="1" t="s">
        <v>59</v>
      </c>
      <c r="C50" s="1" t="s">
        <v>159</v>
      </c>
      <c r="D50" s="11" t="s">
        <v>139</v>
      </c>
      <c r="E50" s="1" t="s">
        <v>160</v>
      </c>
      <c r="F50" s="2">
        <v>4</v>
      </c>
      <c r="G50" s="5" t="s">
        <v>63</v>
      </c>
      <c r="H50" s="5" t="s">
        <v>63</v>
      </c>
      <c r="I50" s="5" t="s">
        <v>63</v>
      </c>
      <c r="J50" s="5" t="s">
        <v>63</v>
      </c>
      <c r="K50" s="5" t="s">
        <v>63</v>
      </c>
      <c r="L50" s="5" t="s">
        <v>63</v>
      </c>
      <c r="M50" s="5" t="s">
        <v>63</v>
      </c>
      <c r="N50" s="5" t="s">
        <v>63</v>
      </c>
      <c r="O50" s="5" t="s">
        <v>63</v>
      </c>
      <c r="P50" s="5" t="s">
        <v>63</v>
      </c>
      <c r="Q50" s="5" t="s">
        <v>63</v>
      </c>
      <c r="R50" s="5" t="s">
        <v>63</v>
      </c>
      <c r="S50" s="5" t="s">
        <v>63</v>
      </c>
      <c r="T50" s="5" t="s">
        <v>63</v>
      </c>
      <c r="U50" s="5" t="s">
        <v>63</v>
      </c>
      <c r="V50" s="5" t="s">
        <v>63</v>
      </c>
      <c r="W50" s="5" t="s">
        <v>63</v>
      </c>
      <c r="X50" s="5" t="s">
        <v>63</v>
      </c>
      <c r="Y50" s="5" t="s">
        <v>63</v>
      </c>
      <c r="Z50" s="5" t="s">
        <v>63</v>
      </c>
      <c r="AA50" s="5" t="s">
        <v>63</v>
      </c>
      <c r="AB50" s="5" t="s">
        <v>63</v>
      </c>
      <c r="AC50" s="5" t="s">
        <v>64</v>
      </c>
      <c r="AD50" s="5" t="s">
        <v>63</v>
      </c>
      <c r="AE50" s="5" t="s">
        <v>63</v>
      </c>
      <c r="AF50" s="5" t="s">
        <v>63</v>
      </c>
      <c r="AG50" s="5" t="s">
        <v>63</v>
      </c>
      <c r="AH50" s="5" t="s">
        <v>63</v>
      </c>
      <c r="AI50" s="5" t="s">
        <v>63</v>
      </c>
      <c r="AJ50" s="14" t="s">
        <v>63</v>
      </c>
      <c r="AK50" s="5" t="s">
        <v>64</v>
      </c>
      <c r="AL50" s="5" t="s">
        <v>63</v>
      </c>
      <c r="AM50" s="5" t="s">
        <v>63</v>
      </c>
      <c r="AN50" s="5" t="s">
        <v>63</v>
      </c>
      <c r="AO50" s="5" t="s">
        <v>63</v>
      </c>
      <c r="AP50" s="5" t="s">
        <v>63</v>
      </c>
      <c r="AQ50" s="5" t="s">
        <v>63</v>
      </c>
      <c r="AR50" s="5" t="s">
        <v>63</v>
      </c>
      <c r="AS50" s="8" t="s">
        <v>63</v>
      </c>
      <c r="AT50" s="5" t="s">
        <v>63</v>
      </c>
      <c r="AU50" s="5" t="s">
        <v>63</v>
      </c>
      <c r="AV50" s="5" t="s">
        <v>63</v>
      </c>
      <c r="AW50" s="5" t="s">
        <v>63</v>
      </c>
      <c r="AX50" s="5" t="s">
        <v>63</v>
      </c>
      <c r="AY50" s="5" t="s">
        <v>63</v>
      </c>
      <c r="AZ50" s="5" t="s">
        <v>63</v>
      </c>
      <c r="BA50" s="5" t="s">
        <v>63</v>
      </c>
      <c r="BB50" s="5" t="s">
        <v>64</v>
      </c>
      <c r="BC50" s="5" t="s">
        <v>63</v>
      </c>
      <c r="BD50" s="5" t="s">
        <v>63</v>
      </c>
      <c r="BH50" s="5" t="s">
        <v>64</v>
      </c>
      <c r="BL50" s="5" t="s">
        <v>64</v>
      </c>
      <c r="BS50" s="5" t="s">
        <v>64</v>
      </c>
    </row>
    <row r="51" spans="1:71">
      <c r="A51" s="1" t="str">
        <f t="shared" si="0"/>
        <v>No</v>
      </c>
      <c r="B51" s="1" t="s">
        <v>59</v>
      </c>
      <c r="C51" s="1" t="s">
        <v>161</v>
      </c>
      <c r="D51" s="11" t="s">
        <v>139</v>
      </c>
      <c r="E51" s="1" t="s">
        <v>162</v>
      </c>
      <c r="F51" s="2">
        <v>3</v>
      </c>
      <c r="G51" s="5" t="s">
        <v>63</v>
      </c>
      <c r="H51" s="5" t="s">
        <v>63</v>
      </c>
      <c r="I51" s="5" t="s">
        <v>63</v>
      </c>
      <c r="J51" s="5" t="s">
        <v>63</v>
      </c>
      <c r="K51" s="5" t="s">
        <v>63</v>
      </c>
      <c r="L51" s="5" t="s">
        <v>63</v>
      </c>
      <c r="M51" s="5" t="s">
        <v>63</v>
      </c>
      <c r="N51" s="5" t="s">
        <v>63</v>
      </c>
      <c r="O51" s="5" t="s">
        <v>63</v>
      </c>
      <c r="P51" s="5" t="s">
        <v>63</v>
      </c>
      <c r="Q51" s="5" t="s">
        <v>63</v>
      </c>
      <c r="R51" s="5" t="s">
        <v>63</v>
      </c>
      <c r="S51" s="5" t="s">
        <v>63</v>
      </c>
      <c r="T51" s="5" t="s">
        <v>63</v>
      </c>
      <c r="U51" s="5" t="s">
        <v>63</v>
      </c>
      <c r="V51" s="5" t="s">
        <v>63</v>
      </c>
      <c r="W51" s="5" t="s">
        <v>63</v>
      </c>
      <c r="X51" s="5" t="s">
        <v>63</v>
      </c>
      <c r="Y51" s="5" t="s">
        <v>63</v>
      </c>
      <c r="Z51" s="5" t="s">
        <v>63</v>
      </c>
      <c r="AA51" s="5" t="s">
        <v>63</v>
      </c>
      <c r="AB51" s="5" t="s">
        <v>63</v>
      </c>
      <c r="AC51" s="5" t="s">
        <v>63</v>
      </c>
      <c r="AD51" s="5" t="s">
        <v>63</v>
      </c>
      <c r="AE51" s="5" t="s">
        <v>63</v>
      </c>
      <c r="AF51" s="5" t="s">
        <v>63</v>
      </c>
      <c r="AG51" s="5" t="s">
        <v>63</v>
      </c>
      <c r="AH51" s="5" t="s">
        <v>63</v>
      </c>
      <c r="AI51" s="5" t="s">
        <v>63</v>
      </c>
      <c r="AJ51" s="14" t="s">
        <v>63</v>
      </c>
      <c r="AK51" s="5" t="s">
        <v>63</v>
      </c>
      <c r="AL51" s="5" t="s">
        <v>63</v>
      </c>
      <c r="AM51" s="5" t="s">
        <v>64</v>
      </c>
      <c r="AN51" s="5" t="s">
        <v>63</v>
      </c>
      <c r="AO51" s="5" t="s">
        <v>64</v>
      </c>
      <c r="AP51" s="5" t="s">
        <v>63</v>
      </c>
      <c r="AQ51" s="5" t="s">
        <v>63</v>
      </c>
      <c r="AR51" s="5" t="s">
        <v>63</v>
      </c>
      <c r="AS51" s="8" t="s">
        <v>63</v>
      </c>
      <c r="AT51" s="5" t="s">
        <v>63</v>
      </c>
      <c r="AU51" s="5" t="s">
        <v>63</v>
      </c>
      <c r="AV51" s="5" t="s">
        <v>63</v>
      </c>
      <c r="AW51" s="5" t="s">
        <v>63</v>
      </c>
      <c r="AX51" s="5" t="s">
        <v>63</v>
      </c>
      <c r="AY51" s="5" t="s">
        <v>63</v>
      </c>
      <c r="AZ51" s="5" t="s">
        <v>63</v>
      </c>
      <c r="BA51" s="5" t="s">
        <v>63</v>
      </c>
      <c r="BB51" s="5" t="s">
        <v>63</v>
      </c>
      <c r="BC51" s="5" t="s">
        <v>63</v>
      </c>
      <c r="BD51" s="5" t="s">
        <v>63</v>
      </c>
      <c r="BN51" s="5" t="s">
        <v>64</v>
      </c>
    </row>
    <row r="52" spans="1:71">
      <c r="A52" s="1" t="str">
        <f t="shared" si="0"/>
        <v>No</v>
      </c>
      <c r="B52" s="1" t="s">
        <v>59</v>
      </c>
      <c r="C52" s="1" t="s">
        <v>163</v>
      </c>
      <c r="D52" s="11" t="s">
        <v>139</v>
      </c>
      <c r="E52" s="1" t="s">
        <v>164</v>
      </c>
      <c r="F52" s="2">
        <v>3</v>
      </c>
      <c r="G52" s="5" t="s">
        <v>63</v>
      </c>
      <c r="H52" s="5" t="s">
        <v>63</v>
      </c>
      <c r="I52" s="5" t="s">
        <v>63</v>
      </c>
      <c r="J52" s="5" t="s">
        <v>63</v>
      </c>
      <c r="K52" s="5" t="s">
        <v>63</v>
      </c>
      <c r="L52" s="5" t="s">
        <v>63</v>
      </c>
      <c r="M52" s="5" t="s">
        <v>63</v>
      </c>
      <c r="N52" s="5" t="s">
        <v>63</v>
      </c>
      <c r="O52" s="5" t="s">
        <v>63</v>
      </c>
      <c r="P52" s="5" t="s">
        <v>63</v>
      </c>
      <c r="Q52" s="5" t="s">
        <v>63</v>
      </c>
      <c r="R52" s="5" t="s">
        <v>63</v>
      </c>
      <c r="S52" s="5" t="s">
        <v>63</v>
      </c>
      <c r="T52" s="5" t="s">
        <v>63</v>
      </c>
      <c r="U52" s="5" t="s">
        <v>63</v>
      </c>
      <c r="V52" s="5" t="s">
        <v>63</v>
      </c>
      <c r="W52" s="5" t="s">
        <v>63</v>
      </c>
      <c r="X52" s="5" t="s">
        <v>63</v>
      </c>
      <c r="Y52" s="5" t="s">
        <v>63</v>
      </c>
      <c r="Z52" s="5" t="s">
        <v>63</v>
      </c>
      <c r="AA52" s="5" t="s">
        <v>63</v>
      </c>
      <c r="AB52" s="5" t="s">
        <v>63</v>
      </c>
      <c r="AC52" s="5" t="s">
        <v>63</v>
      </c>
      <c r="AD52" s="5" t="s">
        <v>63</v>
      </c>
      <c r="AE52" s="5" t="s">
        <v>63</v>
      </c>
      <c r="AF52" s="5" t="s">
        <v>63</v>
      </c>
      <c r="AG52" s="5" t="s">
        <v>63</v>
      </c>
      <c r="AH52" s="5" t="s">
        <v>63</v>
      </c>
      <c r="AI52" s="5" t="s">
        <v>63</v>
      </c>
      <c r="AJ52" s="14" t="s">
        <v>63</v>
      </c>
      <c r="AK52" s="5" t="s">
        <v>63</v>
      </c>
      <c r="AL52" s="5" t="s">
        <v>63</v>
      </c>
      <c r="AM52" s="5" t="s">
        <v>63</v>
      </c>
      <c r="AN52" s="5" t="s">
        <v>64</v>
      </c>
      <c r="AO52" s="5" t="s">
        <v>64</v>
      </c>
      <c r="AP52" s="5" t="s">
        <v>63</v>
      </c>
      <c r="AQ52" s="5" t="s">
        <v>63</v>
      </c>
      <c r="AR52" s="5" t="s">
        <v>63</v>
      </c>
      <c r="AS52" s="8" t="s">
        <v>63</v>
      </c>
      <c r="AT52" s="5" t="s">
        <v>63</v>
      </c>
      <c r="AU52" s="5" t="s">
        <v>63</v>
      </c>
      <c r="AV52" s="5" t="s">
        <v>63</v>
      </c>
      <c r="AW52" s="5" t="s">
        <v>63</v>
      </c>
      <c r="AX52" s="5" t="s">
        <v>63</v>
      </c>
      <c r="AY52" s="5" t="s">
        <v>63</v>
      </c>
      <c r="AZ52" s="5" t="s">
        <v>63</v>
      </c>
      <c r="BA52" s="5" t="s">
        <v>63</v>
      </c>
      <c r="BB52" s="5" t="s">
        <v>63</v>
      </c>
      <c r="BC52" s="5" t="s">
        <v>63</v>
      </c>
      <c r="BD52" s="5" t="s">
        <v>63</v>
      </c>
      <c r="BN52" s="5" t="s">
        <v>64</v>
      </c>
    </row>
    <row r="53" spans="1:71">
      <c r="A53" s="1" t="str">
        <f t="shared" si="0"/>
        <v>No</v>
      </c>
      <c r="B53" s="1" t="s">
        <v>59</v>
      </c>
      <c r="C53" s="1" t="s">
        <v>165</v>
      </c>
      <c r="D53" s="11" t="s">
        <v>139</v>
      </c>
      <c r="E53" s="1" t="s">
        <v>166</v>
      </c>
      <c r="F53" s="2" t="s">
        <v>63</v>
      </c>
      <c r="G53" s="5" t="s">
        <v>63</v>
      </c>
      <c r="H53" s="5" t="s">
        <v>63</v>
      </c>
      <c r="I53" s="5" t="s">
        <v>63</v>
      </c>
      <c r="J53" s="5" t="s">
        <v>63</v>
      </c>
      <c r="K53" s="5" t="s">
        <v>63</v>
      </c>
      <c r="L53" s="5" t="s">
        <v>63</v>
      </c>
      <c r="M53" s="5" t="s">
        <v>63</v>
      </c>
      <c r="N53" s="5" t="s">
        <v>63</v>
      </c>
      <c r="O53" s="5" t="s">
        <v>63</v>
      </c>
      <c r="P53" s="5" t="s">
        <v>63</v>
      </c>
      <c r="Q53" s="5" t="s">
        <v>63</v>
      </c>
      <c r="R53" s="5" t="s">
        <v>63</v>
      </c>
      <c r="S53" s="5" t="s">
        <v>63</v>
      </c>
      <c r="T53" s="5" t="s">
        <v>63</v>
      </c>
      <c r="U53" s="5" t="s">
        <v>63</v>
      </c>
      <c r="V53" s="5" t="s">
        <v>63</v>
      </c>
      <c r="W53" s="5" t="s">
        <v>63</v>
      </c>
      <c r="X53" s="5" t="s">
        <v>63</v>
      </c>
      <c r="Y53" s="5" t="s">
        <v>63</v>
      </c>
      <c r="Z53" s="5" t="s">
        <v>63</v>
      </c>
      <c r="AA53" s="5" t="s">
        <v>63</v>
      </c>
      <c r="AB53" s="5" t="s">
        <v>63</v>
      </c>
      <c r="AC53" s="5" t="s">
        <v>63</v>
      </c>
      <c r="AD53" s="5" t="s">
        <v>63</v>
      </c>
      <c r="AE53" s="5" t="s">
        <v>63</v>
      </c>
      <c r="AF53" s="5" t="s">
        <v>64</v>
      </c>
      <c r="AG53" s="5" t="s">
        <v>63</v>
      </c>
      <c r="AH53" s="5" t="s">
        <v>63</v>
      </c>
      <c r="AI53" s="5" t="s">
        <v>63</v>
      </c>
      <c r="AJ53" s="14" t="s">
        <v>63</v>
      </c>
      <c r="AK53" s="5" t="s">
        <v>63</v>
      </c>
      <c r="AL53" s="5" t="s">
        <v>63</v>
      </c>
      <c r="AM53" s="5" t="s">
        <v>63</v>
      </c>
      <c r="AN53" s="5" t="s">
        <v>63</v>
      </c>
      <c r="AO53" s="5" t="s">
        <v>63</v>
      </c>
      <c r="AP53" s="5" t="s">
        <v>63</v>
      </c>
      <c r="AQ53" s="5" t="s">
        <v>63</v>
      </c>
      <c r="AR53" s="5" t="s">
        <v>63</v>
      </c>
      <c r="AS53" s="8" t="s">
        <v>63</v>
      </c>
      <c r="AT53" s="5" t="s">
        <v>63</v>
      </c>
      <c r="AU53" s="5" t="s">
        <v>63</v>
      </c>
      <c r="AV53" s="5" t="s">
        <v>63</v>
      </c>
      <c r="AW53" s="5" t="s">
        <v>63</v>
      </c>
      <c r="AX53" s="5" t="s">
        <v>63</v>
      </c>
      <c r="AY53" s="5" t="s">
        <v>63</v>
      </c>
      <c r="AZ53" s="5" t="s">
        <v>63</v>
      </c>
      <c r="BA53" s="5" t="s">
        <v>63</v>
      </c>
      <c r="BB53" s="5" t="s">
        <v>63</v>
      </c>
      <c r="BC53" s="5" t="s">
        <v>63</v>
      </c>
      <c r="BD53" s="5" t="s">
        <v>63</v>
      </c>
      <c r="BI53" s="5" t="s">
        <v>64</v>
      </c>
    </row>
    <row r="54" spans="1:71">
      <c r="A54" s="1" t="str">
        <f t="shared" si="0"/>
        <v>No</v>
      </c>
      <c r="B54" s="1" t="s">
        <v>59</v>
      </c>
      <c r="C54" s="1" t="s">
        <v>167</v>
      </c>
      <c r="D54" s="11" t="s">
        <v>139</v>
      </c>
      <c r="E54" s="1" t="s">
        <v>168</v>
      </c>
      <c r="F54" s="2">
        <v>3</v>
      </c>
      <c r="G54" s="5" t="s">
        <v>63</v>
      </c>
      <c r="H54" s="5" t="s">
        <v>63</v>
      </c>
      <c r="I54" s="5" t="s">
        <v>63</v>
      </c>
      <c r="J54" s="5" t="s">
        <v>63</v>
      </c>
      <c r="K54" s="5" t="s">
        <v>63</v>
      </c>
      <c r="L54" s="5" t="s">
        <v>63</v>
      </c>
      <c r="M54" s="5" t="s">
        <v>63</v>
      </c>
      <c r="N54" s="5" t="s">
        <v>63</v>
      </c>
      <c r="O54" s="5" t="s">
        <v>63</v>
      </c>
      <c r="P54" s="5" t="s">
        <v>63</v>
      </c>
      <c r="Q54" s="5" t="s">
        <v>63</v>
      </c>
      <c r="R54" s="5" t="s">
        <v>63</v>
      </c>
      <c r="S54" s="5" t="s">
        <v>63</v>
      </c>
      <c r="T54" s="5" t="s">
        <v>63</v>
      </c>
      <c r="U54" s="5" t="s">
        <v>63</v>
      </c>
      <c r="V54" s="5" t="s">
        <v>63</v>
      </c>
      <c r="W54" s="5" t="s">
        <v>63</v>
      </c>
      <c r="X54" s="5" t="s">
        <v>63</v>
      </c>
      <c r="Y54" s="5" t="s">
        <v>63</v>
      </c>
      <c r="Z54" s="5" t="s">
        <v>63</v>
      </c>
      <c r="AA54" s="5" t="s">
        <v>63</v>
      </c>
      <c r="AB54" s="5" t="s">
        <v>63</v>
      </c>
      <c r="AC54" s="5" t="s">
        <v>63</v>
      </c>
      <c r="AD54" s="5" t="s">
        <v>63</v>
      </c>
      <c r="AE54" s="5" t="s">
        <v>63</v>
      </c>
      <c r="AF54" s="5" t="s">
        <v>63</v>
      </c>
      <c r="AG54" s="5" t="s">
        <v>63</v>
      </c>
      <c r="AH54" s="5" t="s">
        <v>63</v>
      </c>
      <c r="AI54" s="5" t="s">
        <v>63</v>
      </c>
      <c r="AJ54" s="14" t="s">
        <v>63</v>
      </c>
      <c r="AK54" s="5" t="s">
        <v>63</v>
      </c>
      <c r="AL54" s="5" t="s">
        <v>63</v>
      </c>
      <c r="AM54" s="5" t="s">
        <v>63</v>
      </c>
      <c r="AN54" s="5" t="s">
        <v>63</v>
      </c>
      <c r="AO54" s="5" t="s">
        <v>63</v>
      </c>
      <c r="AP54" s="5" t="s">
        <v>63</v>
      </c>
      <c r="AQ54" s="5" t="s">
        <v>63</v>
      </c>
      <c r="AR54" s="5" t="s">
        <v>63</v>
      </c>
      <c r="AS54" s="8" t="s">
        <v>63</v>
      </c>
      <c r="AT54" s="5" t="s">
        <v>63</v>
      </c>
      <c r="AU54" s="5" t="s">
        <v>63</v>
      </c>
      <c r="AV54" s="5" t="s">
        <v>63</v>
      </c>
      <c r="AW54" s="5" t="s">
        <v>63</v>
      </c>
      <c r="AX54" s="5" t="s">
        <v>64</v>
      </c>
      <c r="AY54" s="5" t="s">
        <v>63</v>
      </c>
      <c r="AZ54" s="5" t="s">
        <v>63</v>
      </c>
      <c r="BA54" s="5" t="s">
        <v>63</v>
      </c>
      <c r="BB54" s="5" t="s">
        <v>63</v>
      </c>
      <c r="BC54" s="5" t="s">
        <v>63</v>
      </c>
      <c r="BD54" s="5" t="s">
        <v>63</v>
      </c>
      <c r="BR54" s="5" t="s">
        <v>64</v>
      </c>
    </row>
    <row r="55" spans="1:71">
      <c r="A55" s="1" t="str">
        <f t="shared" si="0"/>
        <v>No</v>
      </c>
      <c r="B55" s="1" t="s">
        <v>59</v>
      </c>
      <c r="C55" s="1" t="s">
        <v>169</v>
      </c>
      <c r="D55" s="11" t="s">
        <v>139</v>
      </c>
      <c r="E55" s="1" t="s">
        <v>170</v>
      </c>
      <c r="F55" s="2">
        <v>3</v>
      </c>
      <c r="G55" s="5" t="s">
        <v>63</v>
      </c>
      <c r="H55" s="5" t="s">
        <v>63</v>
      </c>
      <c r="I55" s="5" t="s">
        <v>63</v>
      </c>
      <c r="J55" s="5" t="s">
        <v>63</v>
      </c>
      <c r="K55" s="5" t="s">
        <v>63</v>
      </c>
      <c r="L55" s="5" t="s">
        <v>63</v>
      </c>
      <c r="M55" s="5" t="s">
        <v>63</v>
      </c>
      <c r="N55" s="5" t="s">
        <v>63</v>
      </c>
      <c r="O55" s="5" t="s">
        <v>63</v>
      </c>
      <c r="P55" s="5" t="s">
        <v>63</v>
      </c>
      <c r="Q55" s="5" t="s">
        <v>63</v>
      </c>
      <c r="R55" s="5" t="s">
        <v>63</v>
      </c>
      <c r="S55" s="5" t="s">
        <v>63</v>
      </c>
      <c r="T55" s="5" t="s">
        <v>63</v>
      </c>
      <c r="U55" s="5" t="s">
        <v>63</v>
      </c>
      <c r="V55" s="5" t="s">
        <v>63</v>
      </c>
      <c r="W55" s="5" t="s">
        <v>63</v>
      </c>
      <c r="X55" s="5" t="s">
        <v>63</v>
      </c>
      <c r="Y55" s="5" t="s">
        <v>63</v>
      </c>
      <c r="Z55" s="5" t="s">
        <v>63</v>
      </c>
      <c r="AA55" s="5" t="s">
        <v>63</v>
      </c>
      <c r="AB55" s="5" t="s">
        <v>63</v>
      </c>
      <c r="AC55" s="5" t="s">
        <v>63</v>
      </c>
      <c r="AD55" s="5" t="s">
        <v>63</v>
      </c>
      <c r="AE55" s="5" t="s">
        <v>63</v>
      </c>
      <c r="AF55" s="5" t="s">
        <v>63</v>
      </c>
      <c r="AG55" s="5" t="s">
        <v>63</v>
      </c>
      <c r="AH55" s="5" t="s">
        <v>63</v>
      </c>
      <c r="AI55" s="5" t="s">
        <v>63</v>
      </c>
      <c r="AJ55" s="14" t="s">
        <v>63</v>
      </c>
      <c r="AK55" s="5" t="s">
        <v>63</v>
      </c>
      <c r="AL55" s="5" t="s">
        <v>63</v>
      </c>
      <c r="AM55" s="5" t="s">
        <v>63</v>
      </c>
      <c r="AN55" s="5" t="s">
        <v>64</v>
      </c>
      <c r="AO55" s="5" t="s">
        <v>64</v>
      </c>
      <c r="AP55" s="5" t="s">
        <v>63</v>
      </c>
      <c r="AQ55" s="5" t="s">
        <v>63</v>
      </c>
      <c r="AR55" s="5" t="s">
        <v>63</v>
      </c>
      <c r="AS55" s="8" t="s">
        <v>63</v>
      </c>
      <c r="AT55" s="5" t="s">
        <v>63</v>
      </c>
      <c r="AU55" s="5" t="s">
        <v>63</v>
      </c>
      <c r="AV55" s="5" t="s">
        <v>63</v>
      </c>
      <c r="AW55" s="5" t="s">
        <v>63</v>
      </c>
      <c r="AX55" s="5" t="s">
        <v>63</v>
      </c>
      <c r="AY55" s="5" t="s">
        <v>63</v>
      </c>
      <c r="AZ55" s="5" t="s">
        <v>63</v>
      </c>
      <c r="BA55" s="5" t="s">
        <v>63</v>
      </c>
      <c r="BB55" s="5" t="s">
        <v>63</v>
      </c>
      <c r="BC55" s="5" t="s">
        <v>63</v>
      </c>
      <c r="BD55" s="5" t="s">
        <v>63</v>
      </c>
      <c r="BN55" s="5" t="s">
        <v>64</v>
      </c>
    </row>
    <row r="56" spans="1:71">
      <c r="A56" s="1" t="str">
        <f t="shared" si="0"/>
        <v>No</v>
      </c>
      <c r="B56" s="1" t="s">
        <v>59</v>
      </c>
      <c r="C56" s="1" t="s">
        <v>171</v>
      </c>
      <c r="D56" s="11" t="s">
        <v>139</v>
      </c>
      <c r="E56" s="1" t="s">
        <v>172</v>
      </c>
      <c r="F56" s="2" t="s">
        <v>63</v>
      </c>
      <c r="G56" s="5" t="s">
        <v>63</v>
      </c>
      <c r="H56" s="5" t="s">
        <v>63</v>
      </c>
      <c r="I56" s="5" t="s">
        <v>63</v>
      </c>
      <c r="J56" s="5" t="s">
        <v>63</v>
      </c>
      <c r="K56" s="5" t="s">
        <v>63</v>
      </c>
      <c r="L56" s="5" t="s">
        <v>63</v>
      </c>
      <c r="M56" s="5" t="s">
        <v>63</v>
      </c>
      <c r="N56" s="5" t="s">
        <v>63</v>
      </c>
      <c r="O56" s="5" t="s">
        <v>63</v>
      </c>
      <c r="P56" s="5" t="s">
        <v>63</v>
      </c>
      <c r="Q56" s="5" t="s">
        <v>63</v>
      </c>
      <c r="R56" s="5" t="s">
        <v>63</v>
      </c>
      <c r="S56" s="5" t="s">
        <v>63</v>
      </c>
      <c r="T56" s="5" t="s">
        <v>63</v>
      </c>
      <c r="U56" s="5" t="s">
        <v>63</v>
      </c>
      <c r="V56" s="5" t="s">
        <v>63</v>
      </c>
      <c r="W56" s="5" t="s">
        <v>63</v>
      </c>
      <c r="X56" s="5" t="s">
        <v>63</v>
      </c>
      <c r="Y56" s="5" t="s">
        <v>63</v>
      </c>
      <c r="Z56" s="5" t="s">
        <v>63</v>
      </c>
      <c r="AA56" s="5" t="s">
        <v>63</v>
      </c>
      <c r="AB56" s="5" t="s">
        <v>63</v>
      </c>
      <c r="AC56" s="5" t="s">
        <v>63</v>
      </c>
      <c r="AD56" s="5" t="s">
        <v>63</v>
      </c>
      <c r="AE56" s="5" t="s">
        <v>63</v>
      </c>
      <c r="AF56" s="5" t="s">
        <v>64</v>
      </c>
      <c r="AG56" s="5" t="s">
        <v>63</v>
      </c>
      <c r="AH56" s="5" t="s">
        <v>63</v>
      </c>
      <c r="AI56" s="5" t="s">
        <v>63</v>
      </c>
      <c r="AJ56" s="14" t="s">
        <v>63</v>
      </c>
      <c r="AK56" s="5" t="s">
        <v>63</v>
      </c>
      <c r="AL56" s="5" t="s">
        <v>63</v>
      </c>
      <c r="AM56" s="5" t="s">
        <v>63</v>
      </c>
      <c r="AN56" s="5" t="s">
        <v>63</v>
      </c>
      <c r="AO56" s="5" t="s">
        <v>63</v>
      </c>
      <c r="AP56" s="5" t="s">
        <v>63</v>
      </c>
      <c r="AQ56" s="5" t="s">
        <v>63</v>
      </c>
      <c r="AR56" s="5" t="s">
        <v>63</v>
      </c>
      <c r="AS56" s="8" t="s">
        <v>63</v>
      </c>
      <c r="AT56" s="5" t="s">
        <v>63</v>
      </c>
      <c r="AU56" s="5" t="s">
        <v>63</v>
      </c>
      <c r="AV56" s="5" t="s">
        <v>63</v>
      </c>
      <c r="AW56" s="5" t="s">
        <v>63</v>
      </c>
      <c r="AX56" s="5" t="s">
        <v>63</v>
      </c>
      <c r="AY56" s="5" t="s">
        <v>63</v>
      </c>
      <c r="AZ56" s="5" t="s">
        <v>63</v>
      </c>
      <c r="BA56" s="5" t="s">
        <v>63</v>
      </c>
      <c r="BB56" s="5" t="s">
        <v>63</v>
      </c>
      <c r="BC56" s="5" t="s">
        <v>63</v>
      </c>
      <c r="BD56" s="5" t="s">
        <v>63</v>
      </c>
      <c r="BI56" s="5" t="s">
        <v>64</v>
      </c>
    </row>
    <row r="57" spans="1:71">
      <c r="A57" s="1" t="str">
        <f t="shared" si="0"/>
        <v>No</v>
      </c>
      <c r="B57" s="1" t="s">
        <v>59</v>
      </c>
      <c r="C57" s="1" t="s">
        <v>173</v>
      </c>
      <c r="D57" s="11" t="s">
        <v>139</v>
      </c>
      <c r="E57" s="1" t="s">
        <v>174</v>
      </c>
      <c r="F57" s="2">
        <v>3</v>
      </c>
      <c r="G57" s="5" t="s">
        <v>63</v>
      </c>
      <c r="H57" s="5" t="s">
        <v>63</v>
      </c>
      <c r="I57" s="5" t="s">
        <v>63</v>
      </c>
      <c r="J57" s="5" t="s">
        <v>63</v>
      </c>
      <c r="K57" s="5" t="s">
        <v>63</v>
      </c>
      <c r="L57" s="5" t="s">
        <v>63</v>
      </c>
      <c r="M57" s="5" t="s">
        <v>63</v>
      </c>
      <c r="N57" s="5" t="s">
        <v>63</v>
      </c>
      <c r="O57" s="5" t="s">
        <v>63</v>
      </c>
      <c r="P57" s="5" t="s">
        <v>63</v>
      </c>
      <c r="Q57" s="5" t="s">
        <v>63</v>
      </c>
      <c r="R57" s="5" t="s">
        <v>63</v>
      </c>
      <c r="S57" s="5" t="s">
        <v>63</v>
      </c>
      <c r="T57" s="5" t="s">
        <v>63</v>
      </c>
      <c r="U57" s="5" t="s">
        <v>63</v>
      </c>
      <c r="V57" s="5" t="s">
        <v>63</v>
      </c>
      <c r="W57" s="5" t="s">
        <v>63</v>
      </c>
      <c r="X57" s="5" t="s">
        <v>63</v>
      </c>
      <c r="Y57" s="5" t="s">
        <v>63</v>
      </c>
      <c r="Z57" s="5" t="s">
        <v>63</v>
      </c>
      <c r="AA57" s="5" t="s">
        <v>64</v>
      </c>
      <c r="AB57" s="5" t="s">
        <v>63</v>
      </c>
      <c r="AC57" s="5" t="s">
        <v>64</v>
      </c>
      <c r="AD57" s="5" t="s">
        <v>63</v>
      </c>
      <c r="AE57" s="5" t="s">
        <v>63</v>
      </c>
      <c r="AF57" s="5" t="s">
        <v>63</v>
      </c>
      <c r="AG57" s="5" t="s">
        <v>63</v>
      </c>
      <c r="AH57" s="5" t="s">
        <v>63</v>
      </c>
      <c r="AI57" s="5" t="s">
        <v>63</v>
      </c>
      <c r="AJ57" s="14" t="s">
        <v>63</v>
      </c>
      <c r="AK57" s="5" t="s">
        <v>64</v>
      </c>
      <c r="AL57" s="5" t="s">
        <v>63</v>
      </c>
      <c r="AM57" s="5" t="s">
        <v>63</v>
      </c>
      <c r="AN57" s="5" t="s">
        <v>63</v>
      </c>
      <c r="AO57" s="5" t="s">
        <v>63</v>
      </c>
      <c r="AP57" s="5" t="s">
        <v>63</v>
      </c>
      <c r="AQ57" s="5" t="s">
        <v>63</v>
      </c>
      <c r="AR57" s="5" t="s">
        <v>63</v>
      </c>
      <c r="AS57" s="8" t="s">
        <v>63</v>
      </c>
      <c r="AT57" s="5" t="s">
        <v>63</v>
      </c>
      <c r="AU57" s="5" t="s">
        <v>63</v>
      </c>
      <c r="AV57" s="5" t="s">
        <v>63</v>
      </c>
      <c r="AW57" s="5" t="s">
        <v>63</v>
      </c>
      <c r="AX57" s="5" t="s">
        <v>63</v>
      </c>
      <c r="AY57" s="5" t="s">
        <v>63</v>
      </c>
      <c r="AZ57" s="5" t="s">
        <v>63</v>
      </c>
      <c r="BA57" s="5" t="s">
        <v>63</v>
      </c>
      <c r="BB57" s="5" t="s">
        <v>63</v>
      </c>
      <c r="BC57" s="5" t="s">
        <v>63</v>
      </c>
      <c r="BD57" s="5" t="s">
        <v>63</v>
      </c>
      <c r="BF57" s="5" t="s">
        <v>64</v>
      </c>
      <c r="BH57" s="5" t="s">
        <v>64</v>
      </c>
      <c r="BL57" s="5" t="s">
        <v>64</v>
      </c>
    </row>
    <row r="58" spans="1:71">
      <c r="A58" s="1" t="str">
        <f t="shared" si="0"/>
        <v>No</v>
      </c>
      <c r="B58" s="1" t="s">
        <v>59</v>
      </c>
      <c r="C58" s="1" t="s">
        <v>175</v>
      </c>
      <c r="D58" s="11" t="s">
        <v>139</v>
      </c>
      <c r="E58" s="1" t="s">
        <v>176</v>
      </c>
      <c r="F58" s="2">
        <v>3</v>
      </c>
      <c r="G58" s="5" t="s">
        <v>63</v>
      </c>
      <c r="H58" s="5" t="s">
        <v>63</v>
      </c>
      <c r="I58" s="5" t="s">
        <v>63</v>
      </c>
      <c r="J58" s="5" t="s">
        <v>63</v>
      </c>
      <c r="K58" s="5" t="s">
        <v>63</v>
      </c>
      <c r="L58" s="5" t="s">
        <v>63</v>
      </c>
      <c r="M58" s="5" t="s">
        <v>63</v>
      </c>
      <c r="N58" s="5" t="s">
        <v>63</v>
      </c>
      <c r="O58" s="5" t="s">
        <v>63</v>
      </c>
      <c r="P58" s="5" t="s">
        <v>63</v>
      </c>
      <c r="Q58" s="5" t="s">
        <v>63</v>
      </c>
      <c r="R58" s="5" t="s">
        <v>63</v>
      </c>
      <c r="S58" s="5" t="s">
        <v>63</v>
      </c>
      <c r="T58" s="5" t="s">
        <v>63</v>
      </c>
      <c r="U58" s="5" t="s">
        <v>63</v>
      </c>
      <c r="V58" s="5" t="s">
        <v>63</v>
      </c>
      <c r="W58" s="5" t="s">
        <v>63</v>
      </c>
      <c r="X58" s="5" t="s">
        <v>63</v>
      </c>
      <c r="Y58" s="5" t="s">
        <v>63</v>
      </c>
      <c r="Z58" s="5" t="s">
        <v>63</v>
      </c>
      <c r="AA58" s="5" t="s">
        <v>63</v>
      </c>
      <c r="AB58" s="5" t="s">
        <v>63</v>
      </c>
      <c r="AC58" s="5" t="s">
        <v>64</v>
      </c>
      <c r="AD58" s="5" t="s">
        <v>63</v>
      </c>
      <c r="AE58" s="5" t="s">
        <v>63</v>
      </c>
      <c r="AF58" s="5" t="s">
        <v>63</v>
      </c>
      <c r="AG58" s="5" t="s">
        <v>63</v>
      </c>
      <c r="AH58" s="5" t="s">
        <v>63</v>
      </c>
      <c r="AI58" s="5" t="s">
        <v>63</v>
      </c>
      <c r="AJ58" s="14" t="s">
        <v>63</v>
      </c>
      <c r="AK58" s="5" t="s">
        <v>64</v>
      </c>
      <c r="AL58" s="5" t="s">
        <v>63</v>
      </c>
      <c r="AM58" s="5" t="s">
        <v>63</v>
      </c>
      <c r="AN58" s="5" t="s">
        <v>63</v>
      </c>
      <c r="AO58" s="5" t="s">
        <v>63</v>
      </c>
      <c r="AP58" s="5" t="s">
        <v>63</v>
      </c>
      <c r="AQ58" s="5" t="s">
        <v>63</v>
      </c>
      <c r="AR58" s="5" t="s">
        <v>63</v>
      </c>
      <c r="AS58" s="8" t="s">
        <v>63</v>
      </c>
      <c r="AT58" s="5" t="s">
        <v>63</v>
      </c>
      <c r="AU58" s="5" t="s">
        <v>63</v>
      </c>
      <c r="AV58" s="5" t="s">
        <v>63</v>
      </c>
      <c r="AW58" s="5" t="s">
        <v>63</v>
      </c>
      <c r="AX58" s="5" t="s">
        <v>63</v>
      </c>
      <c r="AY58" s="5" t="s">
        <v>63</v>
      </c>
      <c r="AZ58" s="5" t="s">
        <v>63</v>
      </c>
      <c r="BA58" s="5" t="s">
        <v>63</v>
      </c>
      <c r="BB58" s="5" t="s">
        <v>64</v>
      </c>
      <c r="BC58" s="5" t="s">
        <v>63</v>
      </c>
      <c r="BD58" s="5" t="s">
        <v>63</v>
      </c>
      <c r="BH58" s="5" t="s">
        <v>64</v>
      </c>
      <c r="BL58" s="5" t="s">
        <v>64</v>
      </c>
      <c r="BS58" s="5" t="s">
        <v>64</v>
      </c>
    </row>
    <row r="59" spans="1:71">
      <c r="A59" s="1" t="str">
        <f t="shared" si="0"/>
        <v>No</v>
      </c>
      <c r="B59" s="1" t="s">
        <v>59</v>
      </c>
      <c r="C59" s="1" t="s">
        <v>177</v>
      </c>
      <c r="D59" s="11" t="s">
        <v>139</v>
      </c>
      <c r="E59" s="1" t="s">
        <v>178</v>
      </c>
      <c r="F59" s="2">
        <v>3</v>
      </c>
      <c r="G59" s="5" t="s">
        <v>63</v>
      </c>
      <c r="H59" s="5" t="s">
        <v>63</v>
      </c>
      <c r="I59" s="5" t="s">
        <v>63</v>
      </c>
      <c r="J59" s="5" t="s">
        <v>63</v>
      </c>
      <c r="K59" s="5" t="s">
        <v>63</v>
      </c>
      <c r="L59" s="5" t="s">
        <v>63</v>
      </c>
      <c r="M59" s="5" t="s">
        <v>63</v>
      </c>
      <c r="N59" s="5" t="s">
        <v>63</v>
      </c>
      <c r="O59" s="5" t="s">
        <v>63</v>
      </c>
      <c r="P59" s="5" t="s">
        <v>63</v>
      </c>
      <c r="Q59" s="5" t="s">
        <v>63</v>
      </c>
      <c r="R59" s="5" t="s">
        <v>63</v>
      </c>
      <c r="S59" s="5" t="s">
        <v>63</v>
      </c>
      <c r="T59" s="5" t="s">
        <v>63</v>
      </c>
      <c r="U59" s="5" t="s">
        <v>63</v>
      </c>
      <c r="V59" s="5" t="s">
        <v>63</v>
      </c>
      <c r="W59" s="5" t="s">
        <v>63</v>
      </c>
      <c r="X59" s="5" t="s">
        <v>63</v>
      </c>
      <c r="Y59" s="5" t="s">
        <v>63</v>
      </c>
      <c r="Z59" s="5" t="s">
        <v>63</v>
      </c>
      <c r="AA59" s="5" t="s">
        <v>63</v>
      </c>
      <c r="AB59" s="5" t="s">
        <v>63</v>
      </c>
      <c r="AC59" s="5" t="s">
        <v>63</v>
      </c>
      <c r="AD59" s="5" t="s">
        <v>63</v>
      </c>
      <c r="AE59" s="5" t="s">
        <v>63</v>
      </c>
      <c r="AF59" s="5" t="s">
        <v>63</v>
      </c>
      <c r="AG59" s="5" t="s">
        <v>63</v>
      </c>
      <c r="AH59" s="5" t="s">
        <v>63</v>
      </c>
      <c r="AI59" s="5" t="s">
        <v>63</v>
      </c>
      <c r="AJ59" s="14" t="s">
        <v>63</v>
      </c>
      <c r="AK59" s="5" t="s">
        <v>63</v>
      </c>
      <c r="AL59" s="5" t="s">
        <v>63</v>
      </c>
      <c r="AM59" s="5" t="s">
        <v>64</v>
      </c>
      <c r="AN59" s="5" t="s">
        <v>63</v>
      </c>
      <c r="AO59" s="5" t="s">
        <v>64</v>
      </c>
      <c r="AP59" s="5" t="s">
        <v>63</v>
      </c>
      <c r="AQ59" s="5" t="s">
        <v>63</v>
      </c>
      <c r="AR59" s="5" t="s">
        <v>63</v>
      </c>
      <c r="AS59" s="8" t="s">
        <v>63</v>
      </c>
      <c r="AT59" s="5" t="s">
        <v>63</v>
      </c>
      <c r="AU59" s="5" t="s">
        <v>63</v>
      </c>
      <c r="AV59" s="5" t="s">
        <v>63</v>
      </c>
      <c r="AW59" s="5" t="s">
        <v>63</v>
      </c>
      <c r="AX59" s="5" t="s">
        <v>63</v>
      </c>
      <c r="AY59" s="5" t="s">
        <v>63</v>
      </c>
      <c r="AZ59" s="5" t="s">
        <v>63</v>
      </c>
      <c r="BA59" s="5" t="s">
        <v>63</v>
      </c>
      <c r="BB59" s="5" t="s">
        <v>63</v>
      </c>
      <c r="BC59" s="5" t="s">
        <v>63</v>
      </c>
      <c r="BD59" s="5" t="s">
        <v>63</v>
      </c>
      <c r="BN59" s="5" t="s">
        <v>64</v>
      </c>
    </row>
    <row r="60" spans="1:71">
      <c r="A60" s="1" t="str">
        <f t="shared" si="0"/>
        <v>No</v>
      </c>
      <c r="B60" s="1" t="s">
        <v>59</v>
      </c>
      <c r="C60" s="1" t="s">
        <v>179</v>
      </c>
      <c r="D60" s="11" t="s">
        <v>139</v>
      </c>
      <c r="E60" s="1" t="s">
        <v>180</v>
      </c>
      <c r="F60" s="2">
        <v>3</v>
      </c>
      <c r="G60" s="5" t="s">
        <v>63</v>
      </c>
      <c r="H60" s="5" t="s">
        <v>63</v>
      </c>
      <c r="I60" s="5" t="s">
        <v>63</v>
      </c>
      <c r="J60" s="5" t="s">
        <v>63</v>
      </c>
      <c r="K60" s="5" t="s">
        <v>63</v>
      </c>
      <c r="L60" s="5" t="s">
        <v>63</v>
      </c>
      <c r="M60" s="5" t="s">
        <v>63</v>
      </c>
      <c r="N60" s="5" t="s">
        <v>63</v>
      </c>
      <c r="O60" s="5" t="s">
        <v>63</v>
      </c>
      <c r="P60" s="5" t="s">
        <v>63</v>
      </c>
      <c r="Q60" s="5" t="s">
        <v>63</v>
      </c>
      <c r="R60" s="5" t="s">
        <v>63</v>
      </c>
      <c r="S60" s="5" t="s">
        <v>63</v>
      </c>
      <c r="T60" s="5" t="s">
        <v>63</v>
      </c>
      <c r="U60" s="5" t="s">
        <v>63</v>
      </c>
      <c r="V60" s="5" t="s">
        <v>63</v>
      </c>
      <c r="W60" s="5" t="s">
        <v>63</v>
      </c>
      <c r="X60" s="5" t="s">
        <v>63</v>
      </c>
      <c r="Y60" s="5" t="s">
        <v>63</v>
      </c>
      <c r="Z60" s="5" t="s">
        <v>63</v>
      </c>
      <c r="AA60" s="5" t="s">
        <v>63</v>
      </c>
      <c r="AB60" s="5" t="s">
        <v>63</v>
      </c>
      <c r="AC60" s="5" t="s">
        <v>63</v>
      </c>
      <c r="AD60" s="5" t="s">
        <v>63</v>
      </c>
      <c r="AE60" s="5" t="s">
        <v>63</v>
      </c>
      <c r="AF60" s="5" t="s">
        <v>63</v>
      </c>
      <c r="AG60" s="5" t="s">
        <v>63</v>
      </c>
      <c r="AH60" s="5" t="s">
        <v>63</v>
      </c>
      <c r="AI60" s="5" t="s">
        <v>63</v>
      </c>
      <c r="AJ60" s="14" t="s">
        <v>63</v>
      </c>
      <c r="AK60" s="5" t="s">
        <v>63</v>
      </c>
      <c r="AL60" s="5" t="s">
        <v>63</v>
      </c>
      <c r="AM60" s="5" t="s">
        <v>64</v>
      </c>
      <c r="AN60" s="5" t="s">
        <v>63</v>
      </c>
      <c r="AO60" s="5" t="s">
        <v>64</v>
      </c>
      <c r="AP60" s="5" t="s">
        <v>63</v>
      </c>
      <c r="AQ60" s="5" t="s">
        <v>63</v>
      </c>
      <c r="AR60" s="5" t="s">
        <v>63</v>
      </c>
      <c r="AS60" s="8" t="s">
        <v>63</v>
      </c>
      <c r="AT60" s="5" t="s">
        <v>63</v>
      </c>
      <c r="AU60" s="5" t="s">
        <v>63</v>
      </c>
      <c r="AV60" s="5" t="s">
        <v>63</v>
      </c>
      <c r="AW60" s="5" t="s">
        <v>63</v>
      </c>
      <c r="AX60" s="5" t="s">
        <v>63</v>
      </c>
      <c r="AY60" s="5" t="s">
        <v>63</v>
      </c>
      <c r="AZ60" s="5" t="s">
        <v>63</v>
      </c>
      <c r="BA60" s="5" t="s">
        <v>63</v>
      </c>
      <c r="BB60" s="5" t="s">
        <v>63</v>
      </c>
      <c r="BC60" s="5" t="s">
        <v>63</v>
      </c>
      <c r="BD60" s="5" t="s">
        <v>63</v>
      </c>
      <c r="BN60" s="5" t="s">
        <v>64</v>
      </c>
    </row>
    <row r="61" spans="1:71">
      <c r="A61" s="1" t="str">
        <f t="shared" si="0"/>
        <v>Yes</v>
      </c>
      <c r="B61" s="1" t="s">
        <v>116</v>
      </c>
      <c r="C61" s="1" t="s">
        <v>181</v>
      </c>
      <c r="D61" s="11" t="s">
        <v>182</v>
      </c>
      <c r="E61" s="1" t="s">
        <v>183</v>
      </c>
      <c r="F61" s="2">
        <v>3</v>
      </c>
      <c r="G61" s="5" t="s">
        <v>63</v>
      </c>
      <c r="H61" s="5" t="s">
        <v>63</v>
      </c>
      <c r="I61" s="5" t="s">
        <v>64</v>
      </c>
      <c r="J61" s="5" t="s">
        <v>63</v>
      </c>
      <c r="K61" s="5" t="s">
        <v>63</v>
      </c>
      <c r="L61" s="5" t="s">
        <v>63</v>
      </c>
      <c r="M61" s="5" t="s">
        <v>63</v>
      </c>
      <c r="N61" s="5" t="s">
        <v>63</v>
      </c>
      <c r="O61" s="5" t="s">
        <v>63</v>
      </c>
      <c r="P61" s="5" t="s">
        <v>63</v>
      </c>
      <c r="Q61" s="5" t="s">
        <v>63</v>
      </c>
      <c r="R61" s="5" t="s">
        <v>64</v>
      </c>
      <c r="S61" s="5" t="s">
        <v>63</v>
      </c>
      <c r="T61" s="5" t="s">
        <v>63</v>
      </c>
      <c r="U61" s="5" t="s">
        <v>63</v>
      </c>
      <c r="V61" s="5" t="s">
        <v>63</v>
      </c>
      <c r="W61" s="5" t="s">
        <v>63</v>
      </c>
      <c r="X61" s="5" t="s">
        <v>63</v>
      </c>
      <c r="Y61" s="5" t="s">
        <v>63</v>
      </c>
      <c r="Z61" s="5" t="s">
        <v>63</v>
      </c>
      <c r="AA61" s="5" t="s">
        <v>63</v>
      </c>
      <c r="AB61" s="5" t="s">
        <v>63</v>
      </c>
      <c r="AC61" s="5" t="s">
        <v>63</v>
      </c>
      <c r="AD61" s="5" t="s">
        <v>63</v>
      </c>
      <c r="AE61" s="5" t="s">
        <v>63</v>
      </c>
      <c r="AF61" s="5" t="s">
        <v>63</v>
      </c>
      <c r="AG61" s="5" t="s">
        <v>63</v>
      </c>
      <c r="AH61" s="5" t="s">
        <v>63</v>
      </c>
      <c r="AI61" s="5" t="s">
        <v>63</v>
      </c>
      <c r="AJ61" s="14" t="s">
        <v>63</v>
      </c>
      <c r="AK61" s="5" t="s">
        <v>63</v>
      </c>
      <c r="AL61" s="5" t="s">
        <v>63</v>
      </c>
      <c r="AM61" s="5" t="s">
        <v>63</v>
      </c>
      <c r="AN61" s="5" t="s">
        <v>63</v>
      </c>
      <c r="AO61" s="5" t="s">
        <v>63</v>
      </c>
      <c r="AP61" s="5" t="s">
        <v>63</v>
      </c>
      <c r="AQ61" s="5" t="s">
        <v>63</v>
      </c>
      <c r="AR61" s="5" t="s">
        <v>63</v>
      </c>
      <c r="AS61" s="8" t="s">
        <v>63</v>
      </c>
      <c r="AT61" s="5" t="s">
        <v>63</v>
      </c>
      <c r="AU61" s="5" t="s">
        <v>63</v>
      </c>
      <c r="AV61" s="5" t="s">
        <v>63</v>
      </c>
      <c r="AW61" s="5" t="s">
        <v>63</v>
      </c>
      <c r="AX61" s="5" t="s">
        <v>63</v>
      </c>
      <c r="AY61" s="5" t="s">
        <v>63</v>
      </c>
      <c r="AZ61" s="5" t="s">
        <v>63</v>
      </c>
      <c r="BA61" s="5" t="s">
        <v>63</v>
      </c>
      <c r="BB61" s="5" t="s">
        <v>63</v>
      </c>
      <c r="BC61" s="5" t="s">
        <v>63</v>
      </c>
      <c r="BD61" s="5" t="s">
        <v>63</v>
      </c>
      <c r="BE61" s="5" t="s">
        <v>64</v>
      </c>
    </row>
    <row r="62" spans="1:71">
      <c r="A62" s="1" t="str">
        <f t="shared" si="0"/>
        <v>No</v>
      </c>
      <c r="B62" s="1" t="s">
        <v>59</v>
      </c>
      <c r="C62" s="1" t="s">
        <v>184</v>
      </c>
      <c r="D62" s="11" t="s">
        <v>139</v>
      </c>
      <c r="E62" s="1" t="s">
        <v>185</v>
      </c>
      <c r="F62" s="2">
        <v>3</v>
      </c>
      <c r="G62" s="5" t="s">
        <v>63</v>
      </c>
      <c r="H62" s="5" t="s">
        <v>63</v>
      </c>
      <c r="I62" s="5" t="s">
        <v>63</v>
      </c>
      <c r="J62" s="5" t="s">
        <v>63</v>
      </c>
      <c r="K62" s="5" t="s">
        <v>63</v>
      </c>
      <c r="L62" s="5" t="s">
        <v>63</v>
      </c>
      <c r="M62" s="5" t="s">
        <v>63</v>
      </c>
      <c r="N62" s="5" t="s">
        <v>63</v>
      </c>
      <c r="O62" s="5" t="s">
        <v>63</v>
      </c>
      <c r="P62" s="5" t="s">
        <v>63</v>
      </c>
      <c r="Q62" s="5" t="s">
        <v>63</v>
      </c>
      <c r="R62" s="5" t="s">
        <v>63</v>
      </c>
      <c r="S62" s="5" t="s">
        <v>63</v>
      </c>
      <c r="T62" s="5" t="s">
        <v>63</v>
      </c>
      <c r="U62" s="5" t="s">
        <v>63</v>
      </c>
      <c r="V62" s="5" t="s">
        <v>63</v>
      </c>
      <c r="W62" s="5" t="s">
        <v>63</v>
      </c>
      <c r="X62" s="5" t="s">
        <v>63</v>
      </c>
      <c r="Y62" s="5" t="s">
        <v>63</v>
      </c>
      <c r="Z62" s="5" t="s">
        <v>63</v>
      </c>
      <c r="AA62" s="5" t="s">
        <v>63</v>
      </c>
      <c r="AB62" s="5" t="s">
        <v>63</v>
      </c>
      <c r="AC62" s="5" t="s">
        <v>63</v>
      </c>
      <c r="AD62" s="5" t="s">
        <v>63</v>
      </c>
      <c r="AE62" s="5" t="s">
        <v>63</v>
      </c>
      <c r="AF62" s="5" t="s">
        <v>63</v>
      </c>
      <c r="AG62" s="5" t="s">
        <v>63</v>
      </c>
      <c r="AH62" s="5" t="s">
        <v>63</v>
      </c>
      <c r="AI62" s="5" t="s">
        <v>63</v>
      </c>
      <c r="AJ62" s="14" t="s">
        <v>63</v>
      </c>
      <c r="AK62" s="5" t="s">
        <v>63</v>
      </c>
      <c r="AL62" s="5" t="s">
        <v>63</v>
      </c>
      <c r="AM62" s="5" t="s">
        <v>64</v>
      </c>
      <c r="AN62" s="5" t="s">
        <v>63</v>
      </c>
      <c r="AO62" s="5" t="s">
        <v>64</v>
      </c>
      <c r="AP62" s="5" t="s">
        <v>63</v>
      </c>
      <c r="AQ62" s="5" t="s">
        <v>63</v>
      </c>
      <c r="AR62" s="5" t="s">
        <v>63</v>
      </c>
      <c r="AS62" s="8" t="s">
        <v>63</v>
      </c>
      <c r="AT62" s="5" t="s">
        <v>63</v>
      </c>
      <c r="AU62" s="5" t="s">
        <v>63</v>
      </c>
      <c r="AV62" s="5" t="s">
        <v>63</v>
      </c>
      <c r="AW62" s="5" t="s">
        <v>63</v>
      </c>
      <c r="AX62" s="5" t="s">
        <v>63</v>
      </c>
      <c r="AY62" s="5" t="s">
        <v>63</v>
      </c>
      <c r="AZ62" s="5" t="s">
        <v>63</v>
      </c>
      <c r="BA62" s="5" t="s">
        <v>63</v>
      </c>
      <c r="BB62" s="5" t="s">
        <v>63</v>
      </c>
      <c r="BC62" s="5" t="s">
        <v>63</v>
      </c>
      <c r="BD62" s="5" t="s">
        <v>63</v>
      </c>
      <c r="BN62" s="5" t="s">
        <v>64</v>
      </c>
    </row>
    <row r="63" spans="1:71">
      <c r="A63" s="1" t="str">
        <f t="shared" si="0"/>
        <v>No</v>
      </c>
      <c r="B63" s="1" t="s">
        <v>59</v>
      </c>
      <c r="C63" s="1" t="s">
        <v>186</v>
      </c>
      <c r="D63" s="11" t="s">
        <v>139</v>
      </c>
      <c r="E63" s="1" t="s">
        <v>187</v>
      </c>
      <c r="F63" s="2">
        <v>3</v>
      </c>
      <c r="G63" s="5" t="s">
        <v>63</v>
      </c>
      <c r="H63" s="5" t="s">
        <v>63</v>
      </c>
      <c r="I63" s="5" t="s">
        <v>63</v>
      </c>
      <c r="J63" s="5" t="s">
        <v>63</v>
      </c>
      <c r="K63" s="5" t="s">
        <v>63</v>
      </c>
      <c r="L63" s="5" t="s">
        <v>63</v>
      </c>
      <c r="M63" s="5" t="s">
        <v>63</v>
      </c>
      <c r="N63" s="5" t="s">
        <v>63</v>
      </c>
      <c r="O63" s="5" t="s">
        <v>63</v>
      </c>
      <c r="P63" s="5" t="s">
        <v>63</v>
      </c>
      <c r="Q63" s="5" t="s">
        <v>63</v>
      </c>
      <c r="R63" s="5" t="s">
        <v>63</v>
      </c>
      <c r="S63" s="5" t="s">
        <v>63</v>
      </c>
      <c r="T63" s="5" t="s">
        <v>63</v>
      </c>
      <c r="U63" s="5" t="s">
        <v>63</v>
      </c>
      <c r="V63" s="5" t="s">
        <v>63</v>
      </c>
      <c r="W63" s="5" t="s">
        <v>63</v>
      </c>
      <c r="X63" s="5" t="s">
        <v>63</v>
      </c>
      <c r="Y63" s="5" t="s">
        <v>63</v>
      </c>
      <c r="Z63" s="5" t="s">
        <v>63</v>
      </c>
      <c r="AA63" s="5" t="s">
        <v>63</v>
      </c>
      <c r="AB63" s="5" t="s">
        <v>63</v>
      </c>
      <c r="AC63" s="5" t="s">
        <v>63</v>
      </c>
      <c r="AD63" s="5" t="s">
        <v>63</v>
      </c>
      <c r="AE63" s="5" t="s">
        <v>63</v>
      </c>
      <c r="AF63" s="5" t="s">
        <v>63</v>
      </c>
      <c r="AG63" s="5" t="s">
        <v>63</v>
      </c>
      <c r="AH63" s="5" t="s">
        <v>63</v>
      </c>
      <c r="AI63" s="5" t="s">
        <v>63</v>
      </c>
      <c r="AJ63" s="14" t="s">
        <v>63</v>
      </c>
      <c r="AK63" s="5" t="s">
        <v>63</v>
      </c>
      <c r="AL63" s="5" t="s">
        <v>63</v>
      </c>
      <c r="AM63" s="5" t="s">
        <v>64</v>
      </c>
      <c r="AN63" s="5" t="s">
        <v>63</v>
      </c>
      <c r="AO63" s="5" t="s">
        <v>64</v>
      </c>
      <c r="AP63" s="5" t="s">
        <v>63</v>
      </c>
      <c r="AQ63" s="5" t="s">
        <v>63</v>
      </c>
      <c r="AR63" s="5" t="s">
        <v>63</v>
      </c>
      <c r="AS63" s="8" t="s">
        <v>63</v>
      </c>
      <c r="AT63" s="5" t="s">
        <v>63</v>
      </c>
      <c r="AU63" s="5" t="s">
        <v>63</v>
      </c>
      <c r="AV63" s="5" t="s">
        <v>63</v>
      </c>
      <c r="AW63" s="5" t="s">
        <v>63</v>
      </c>
      <c r="AX63" s="5" t="s">
        <v>63</v>
      </c>
      <c r="AY63" s="5" t="s">
        <v>63</v>
      </c>
      <c r="AZ63" s="5" t="s">
        <v>63</v>
      </c>
      <c r="BA63" s="5" t="s">
        <v>63</v>
      </c>
      <c r="BB63" s="5" t="s">
        <v>63</v>
      </c>
      <c r="BC63" s="5" t="s">
        <v>63</v>
      </c>
      <c r="BD63" s="5" t="s">
        <v>63</v>
      </c>
      <c r="BN63" s="5" t="s">
        <v>64</v>
      </c>
    </row>
    <row r="64" spans="1:71">
      <c r="A64" s="1" t="str">
        <f t="shared" si="0"/>
        <v>No</v>
      </c>
      <c r="B64" s="1" t="s">
        <v>59</v>
      </c>
      <c r="C64" s="1" t="s">
        <v>188</v>
      </c>
      <c r="D64" s="11" t="s">
        <v>139</v>
      </c>
      <c r="E64" s="1" t="s">
        <v>189</v>
      </c>
      <c r="F64" s="2">
        <v>3</v>
      </c>
      <c r="G64" s="5" t="s">
        <v>63</v>
      </c>
      <c r="H64" s="5" t="s">
        <v>63</v>
      </c>
      <c r="I64" s="5" t="s">
        <v>63</v>
      </c>
      <c r="J64" s="5" t="s">
        <v>63</v>
      </c>
      <c r="K64" s="5" t="s">
        <v>63</v>
      </c>
      <c r="L64" s="5" t="s">
        <v>63</v>
      </c>
      <c r="M64" s="5" t="s">
        <v>63</v>
      </c>
      <c r="N64" s="5" t="s">
        <v>63</v>
      </c>
      <c r="O64" s="5" t="s">
        <v>63</v>
      </c>
      <c r="P64" s="5" t="s">
        <v>63</v>
      </c>
      <c r="Q64" s="5" t="s">
        <v>63</v>
      </c>
      <c r="R64" s="5" t="s">
        <v>63</v>
      </c>
      <c r="S64" s="5" t="s">
        <v>63</v>
      </c>
      <c r="T64" s="5" t="s">
        <v>63</v>
      </c>
      <c r="U64" s="5" t="s">
        <v>63</v>
      </c>
      <c r="V64" s="5" t="s">
        <v>63</v>
      </c>
      <c r="W64" s="5" t="s">
        <v>63</v>
      </c>
      <c r="X64" s="5" t="s">
        <v>63</v>
      </c>
      <c r="Y64" s="5" t="s">
        <v>63</v>
      </c>
      <c r="Z64" s="5" t="s">
        <v>63</v>
      </c>
      <c r="AA64" s="5" t="s">
        <v>63</v>
      </c>
      <c r="AB64" s="5" t="s">
        <v>63</v>
      </c>
      <c r="AC64" s="5" t="s">
        <v>63</v>
      </c>
      <c r="AD64" s="5" t="s">
        <v>63</v>
      </c>
      <c r="AE64" s="5" t="s">
        <v>63</v>
      </c>
      <c r="AF64" s="5" t="s">
        <v>63</v>
      </c>
      <c r="AG64" s="5" t="s">
        <v>63</v>
      </c>
      <c r="AH64" s="5" t="s">
        <v>63</v>
      </c>
      <c r="AI64" s="5" t="s">
        <v>63</v>
      </c>
      <c r="AJ64" s="14" t="s">
        <v>63</v>
      </c>
      <c r="AK64" s="5" t="s">
        <v>63</v>
      </c>
      <c r="AL64" s="5" t="s">
        <v>63</v>
      </c>
      <c r="AM64" s="5" t="s">
        <v>64</v>
      </c>
      <c r="AN64" s="5" t="s">
        <v>63</v>
      </c>
      <c r="AO64" s="5" t="s">
        <v>64</v>
      </c>
      <c r="AP64" s="5" t="s">
        <v>63</v>
      </c>
      <c r="AQ64" s="5" t="s">
        <v>63</v>
      </c>
      <c r="AR64" s="5" t="s">
        <v>63</v>
      </c>
      <c r="AS64" s="8" t="s">
        <v>63</v>
      </c>
      <c r="AT64" s="5" t="s">
        <v>63</v>
      </c>
      <c r="AU64" s="5" t="s">
        <v>63</v>
      </c>
      <c r="AV64" s="5" t="s">
        <v>63</v>
      </c>
      <c r="AW64" s="5" t="s">
        <v>63</v>
      </c>
      <c r="AX64" s="5" t="s">
        <v>63</v>
      </c>
      <c r="AY64" s="5" t="s">
        <v>63</v>
      </c>
      <c r="AZ64" s="5" t="s">
        <v>63</v>
      </c>
      <c r="BA64" s="5" t="s">
        <v>63</v>
      </c>
      <c r="BB64" s="5" t="s">
        <v>63</v>
      </c>
      <c r="BC64" s="5" t="s">
        <v>63</v>
      </c>
      <c r="BD64" s="5" t="s">
        <v>63</v>
      </c>
      <c r="BN64" s="5" t="s">
        <v>64</v>
      </c>
    </row>
    <row r="65" spans="1:70">
      <c r="A65" s="1" t="str">
        <f t="shared" si="0"/>
        <v>No</v>
      </c>
      <c r="B65" s="1" t="s">
        <v>59</v>
      </c>
      <c r="C65" s="1" t="s">
        <v>190</v>
      </c>
      <c r="D65" s="11" t="s">
        <v>139</v>
      </c>
      <c r="E65" s="1" t="s">
        <v>191</v>
      </c>
      <c r="F65" s="2">
        <v>3</v>
      </c>
      <c r="G65" s="5" t="s">
        <v>63</v>
      </c>
      <c r="H65" s="5" t="s">
        <v>63</v>
      </c>
      <c r="I65" s="5" t="s">
        <v>63</v>
      </c>
      <c r="J65" s="5" t="s">
        <v>63</v>
      </c>
      <c r="K65" s="5" t="s">
        <v>63</v>
      </c>
      <c r="L65" s="5" t="s">
        <v>63</v>
      </c>
      <c r="M65" s="5" t="s">
        <v>63</v>
      </c>
      <c r="N65" s="5" t="s">
        <v>63</v>
      </c>
      <c r="O65" s="5" t="s">
        <v>63</v>
      </c>
      <c r="P65" s="5" t="s">
        <v>63</v>
      </c>
      <c r="Q65" s="5" t="s">
        <v>63</v>
      </c>
      <c r="R65" s="5" t="s">
        <v>63</v>
      </c>
      <c r="S65" s="5" t="s">
        <v>63</v>
      </c>
      <c r="T65" s="5" t="s">
        <v>63</v>
      </c>
      <c r="U65" s="5" t="s">
        <v>63</v>
      </c>
      <c r="V65" s="5" t="s">
        <v>63</v>
      </c>
      <c r="W65" s="5" t="s">
        <v>63</v>
      </c>
      <c r="X65" s="5" t="s">
        <v>63</v>
      </c>
      <c r="Y65" s="5" t="s">
        <v>63</v>
      </c>
      <c r="Z65" s="5" t="s">
        <v>63</v>
      </c>
      <c r="AA65" s="5" t="s">
        <v>63</v>
      </c>
      <c r="AB65" s="5" t="s">
        <v>63</v>
      </c>
      <c r="AC65" s="5" t="s">
        <v>63</v>
      </c>
      <c r="AD65" s="5" t="s">
        <v>63</v>
      </c>
      <c r="AE65" s="5" t="s">
        <v>63</v>
      </c>
      <c r="AF65" s="5" t="s">
        <v>63</v>
      </c>
      <c r="AG65" s="5" t="s">
        <v>63</v>
      </c>
      <c r="AH65" s="5" t="s">
        <v>63</v>
      </c>
      <c r="AI65" s="5" t="s">
        <v>63</v>
      </c>
      <c r="AJ65" s="14" t="s">
        <v>63</v>
      </c>
      <c r="AK65" s="5" t="s">
        <v>63</v>
      </c>
      <c r="AL65" s="5" t="s">
        <v>63</v>
      </c>
      <c r="AM65" s="5" t="s">
        <v>192</v>
      </c>
      <c r="AN65" s="5" t="s">
        <v>63</v>
      </c>
      <c r="AO65" s="5" t="s">
        <v>63</v>
      </c>
      <c r="AP65" s="5" t="s">
        <v>63</v>
      </c>
      <c r="AQ65" s="5" t="s">
        <v>63</v>
      </c>
      <c r="AR65" s="5" t="s">
        <v>63</v>
      </c>
      <c r="AS65" s="8" t="s">
        <v>63</v>
      </c>
      <c r="AT65" s="5" t="s">
        <v>63</v>
      </c>
      <c r="AU65" s="5" t="s">
        <v>63</v>
      </c>
      <c r="AV65" s="5" t="s">
        <v>63</v>
      </c>
      <c r="AW65" s="5" t="s">
        <v>63</v>
      </c>
      <c r="AX65" s="5" t="s">
        <v>63</v>
      </c>
      <c r="AY65" s="5" t="s">
        <v>63</v>
      </c>
      <c r="AZ65" s="5" t="s">
        <v>63</v>
      </c>
      <c r="BA65" s="5" t="s">
        <v>63</v>
      </c>
      <c r="BB65" s="5" t="s">
        <v>63</v>
      </c>
      <c r="BC65" s="5" t="s">
        <v>63</v>
      </c>
      <c r="BD65" s="5" t="s">
        <v>63</v>
      </c>
    </row>
    <row r="66" spans="1:70">
      <c r="A66" s="1" t="str">
        <f t="shared" si="0"/>
        <v>No</v>
      </c>
      <c r="B66" s="1" t="s">
        <v>59</v>
      </c>
      <c r="C66" s="1" t="s">
        <v>193</v>
      </c>
      <c r="D66" s="11" t="s">
        <v>139</v>
      </c>
      <c r="E66" s="1" t="s">
        <v>194</v>
      </c>
      <c r="F66" s="2">
        <v>3</v>
      </c>
      <c r="G66" s="5" t="s">
        <v>63</v>
      </c>
      <c r="H66" s="5" t="s">
        <v>63</v>
      </c>
      <c r="I66" s="5" t="s">
        <v>63</v>
      </c>
      <c r="J66" s="5" t="s">
        <v>63</v>
      </c>
      <c r="K66" s="5" t="s">
        <v>63</v>
      </c>
      <c r="L66" s="5" t="s">
        <v>63</v>
      </c>
      <c r="M66" s="5" t="s">
        <v>63</v>
      </c>
      <c r="N66" s="5" t="s">
        <v>63</v>
      </c>
      <c r="O66" s="5" t="s">
        <v>63</v>
      </c>
      <c r="P66" s="5" t="s">
        <v>63</v>
      </c>
      <c r="Q66" s="5" t="s">
        <v>63</v>
      </c>
      <c r="R66" s="5" t="s">
        <v>63</v>
      </c>
      <c r="S66" s="5" t="s">
        <v>63</v>
      </c>
      <c r="T66" s="5" t="s">
        <v>63</v>
      </c>
      <c r="U66" s="5" t="s">
        <v>63</v>
      </c>
      <c r="V66" s="5" t="s">
        <v>63</v>
      </c>
      <c r="W66" s="5" t="s">
        <v>63</v>
      </c>
      <c r="X66" s="5" t="s">
        <v>63</v>
      </c>
      <c r="Y66" s="5" t="s">
        <v>63</v>
      </c>
      <c r="Z66" s="5" t="s">
        <v>63</v>
      </c>
      <c r="AA66" s="5" t="s">
        <v>63</v>
      </c>
      <c r="AB66" s="5" t="s">
        <v>63</v>
      </c>
      <c r="AC66" s="5" t="s">
        <v>63</v>
      </c>
      <c r="AD66" s="5" t="s">
        <v>63</v>
      </c>
      <c r="AE66" s="5" t="s">
        <v>63</v>
      </c>
      <c r="AF66" s="5"/>
      <c r="AG66" s="5" t="s">
        <v>63</v>
      </c>
      <c r="AH66" s="5" t="s">
        <v>63</v>
      </c>
      <c r="AI66" s="5" t="s">
        <v>63</v>
      </c>
      <c r="AJ66" s="14" t="s">
        <v>63</v>
      </c>
      <c r="AK66" s="5" t="s">
        <v>63</v>
      </c>
      <c r="AL66" s="5" t="s">
        <v>63</v>
      </c>
      <c r="AM66" s="5" t="s">
        <v>63</v>
      </c>
      <c r="AN66" s="5" t="s">
        <v>63</v>
      </c>
      <c r="AO66" s="5" t="s">
        <v>63</v>
      </c>
      <c r="AP66" s="5" t="s">
        <v>63</v>
      </c>
      <c r="AQ66" s="5" t="s">
        <v>63</v>
      </c>
      <c r="AR66" s="5" t="s">
        <v>63</v>
      </c>
      <c r="AS66" s="8" t="s">
        <v>63</v>
      </c>
      <c r="AT66" s="5"/>
      <c r="AU66" s="5" t="s">
        <v>63</v>
      </c>
      <c r="AV66" s="5" t="s">
        <v>63</v>
      </c>
      <c r="AW66" s="5" t="s">
        <v>63</v>
      </c>
      <c r="AX66" s="5" t="s">
        <v>63</v>
      </c>
      <c r="AY66" s="5" t="s">
        <v>63</v>
      </c>
      <c r="AZ66" s="5" t="s">
        <v>63</v>
      </c>
      <c r="BA66" s="5" t="s">
        <v>63</v>
      </c>
      <c r="BB66" s="5" t="s">
        <v>63</v>
      </c>
      <c r="BC66" s="5" t="s">
        <v>63</v>
      </c>
      <c r="BD66" s="5" t="s">
        <v>63</v>
      </c>
    </row>
    <row r="67" spans="1:70">
      <c r="A67" s="1" t="str">
        <f t="shared" si="0"/>
        <v>No</v>
      </c>
      <c r="B67" s="1" t="s">
        <v>59</v>
      </c>
      <c r="C67" s="1" t="s">
        <v>195</v>
      </c>
      <c r="D67" s="11" t="s">
        <v>139</v>
      </c>
      <c r="E67" s="1" t="s">
        <v>196</v>
      </c>
      <c r="F67" s="2">
        <v>3</v>
      </c>
      <c r="G67" s="5" t="s">
        <v>63</v>
      </c>
      <c r="H67" s="5" t="s">
        <v>63</v>
      </c>
      <c r="I67" s="5" t="s">
        <v>63</v>
      </c>
      <c r="J67" s="5" t="s">
        <v>63</v>
      </c>
      <c r="K67" s="5" t="s">
        <v>63</v>
      </c>
      <c r="L67" s="5" t="s">
        <v>63</v>
      </c>
      <c r="M67" s="5" t="s">
        <v>63</v>
      </c>
      <c r="N67" s="5" t="s">
        <v>63</v>
      </c>
      <c r="O67" s="5" t="s">
        <v>63</v>
      </c>
      <c r="P67" s="5" t="s">
        <v>63</v>
      </c>
      <c r="Q67" s="5" t="s">
        <v>63</v>
      </c>
      <c r="R67" s="5" t="s">
        <v>63</v>
      </c>
      <c r="S67" s="5" t="s">
        <v>63</v>
      </c>
      <c r="T67" s="5" t="s">
        <v>63</v>
      </c>
      <c r="U67" s="5" t="s">
        <v>63</v>
      </c>
      <c r="V67" s="5" t="s">
        <v>63</v>
      </c>
      <c r="W67" s="5" t="s">
        <v>63</v>
      </c>
      <c r="X67" s="5" t="s">
        <v>63</v>
      </c>
      <c r="Y67" s="5" t="s">
        <v>63</v>
      </c>
      <c r="Z67" s="5" t="s">
        <v>63</v>
      </c>
      <c r="AA67" s="5" t="s">
        <v>63</v>
      </c>
      <c r="AB67" s="5" t="s">
        <v>63</v>
      </c>
      <c r="AC67" s="5" t="s">
        <v>63</v>
      </c>
      <c r="AD67" s="5" t="s">
        <v>63</v>
      </c>
      <c r="AE67" s="5" t="s">
        <v>63</v>
      </c>
      <c r="AF67" s="5" t="s">
        <v>63</v>
      </c>
      <c r="AG67" s="5" t="s">
        <v>63</v>
      </c>
      <c r="AH67" s="5" t="s">
        <v>63</v>
      </c>
      <c r="AI67" s="5" t="s">
        <v>63</v>
      </c>
      <c r="AJ67" s="14" t="s">
        <v>63</v>
      </c>
      <c r="AK67" s="5" t="s">
        <v>63</v>
      </c>
      <c r="AL67" s="5" t="s">
        <v>63</v>
      </c>
      <c r="AM67" s="5" t="s">
        <v>192</v>
      </c>
      <c r="AN67" s="5" t="s">
        <v>63</v>
      </c>
      <c r="AO67" s="5" t="s">
        <v>63</v>
      </c>
      <c r="AP67" s="5" t="s">
        <v>63</v>
      </c>
      <c r="AQ67" s="5" t="s">
        <v>63</v>
      </c>
      <c r="AR67" s="5" t="s">
        <v>63</v>
      </c>
      <c r="AS67" s="8" t="s">
        <v>63</v>
      </c>
      <c r="AT67" s="5" t="s">
        <v>63</v>
      </c>
      <c r="AU67" s="5" t="s">
        <v>63</v>
      </c>
      <c r="AV67" s="5" t="s">
        <v>63</v>
      </c>
      <c r="AW67" s="5" t="s">
        <v>63</v>
      </c>
      <c r="AX67" s="5" t="s">
        <v>64</v>
      </c>
      <c r="AY67" s="5" t="s">
        <v>63</v>
      </c>
      <c r="AZ67" s="5" t="s">
        <v>63</v>
      </c>
      <c r="BA67" s="5" t="s">
        <v>63</v>
      </c>
      <c r="BB67" s="5" t="s">
        <v>63</v>
      </c>
      <c r="BC67" s="5" t="s">
        <v>63</v>
      </c>
      <c r="BD67" s="5" t="s">
        <v>63</v>
      </c>
      <c r="BR67" s="5" t="s">
        <v>64</v>
      </c>
    </row>
    <row r="68" spans="1:70">
      <c r="A68" s="1" t="str">
        <f t="shared" ref="A68:A131" si="1">IF(B68="uncategorized","No","Yes")</f>
        <v>No</v>
      </c>
      <c r="B68" s="1" t="s">
        <v>59</v>
      </c>
      <c r="C68" s="1" t="s">
        <v>197</v>
      </c>
      <c r="D68" s="11" t="s">
        <v>139</v>
      </c>
      <c r="E68" s="1" t="s">
        <v>198</v>
      </c>
      <c r="F68" s="2">
        <v>3</v>
      </c>
      <c r="G68" s="5" t="s">
        <v>63</v>
      </c>
      <c r="H68" s="5" t="s">
        <v>63</v>
      </c>
      <c r="I68" s="5" t="s">
        <v>63</v>
      </c>
      <c r="J68" s="5" t="s">
        <v>63</v>
      </c>
      <c r="K68" s="5" t="s">
        <v>63</v>
      </c>
      <c r="L68" s="5" t="s">
        <v>63</v>
      </c>
      <c r="M68" s="5" t="s">
        <v>63</v>
      </c>
      <c r="N68" s="5" t="s">
        <v>63</v>
      </c>
      <c r="O68" s="5" t="s">
        <v>63</v>
      </c>
      <c r="P68" s="5" t="s">
        <v>63</v>
      </c>
      <c r="Q68" s="5" t="s">
        <v>63</v>
      </c>
      <c r="R68" s="5" t="s">
        <v>63</v>
      </c>
      <c r="S68" s="5" t="s">
        <v>63</v>
      </c>
      <c r="T68" s="5" t="s">
        <v>63</v>
      </c>
      <c r="U68" s="5" t="s">
        <v>63</v>
      </c>
      <c r="V68" s="5" t="s">
        <v>63</v>
      </c>
      <c r="W68" s="5" t="s">
        <v>63</v>
      </c>
      <c r="X68" s="5" t="s">
        <v>63</v>
      </c>
      <c r="Y68" s="5" t="s">
        <v>63</v>
      </c>
      <c r="Z68" s="5" t="s">
        <v>63</v>
      </c>
      <c r="AA68" s="5" t="s">
        <v>63</v>
      </c>
      <c r="AB68" s="5" t="s">
        <v>63</v>
      </c>
      <c r="AC68" s="5" t="s">
        <v>63</v>
      </c>
      <c r="AD68" s="5" t="s">
        <v>63</v>
      </c>
      <c r="AE68" s="5" t="s">
        <v>63</v>
      </c>
      <c r="AF68" s="5" t="s">
        <v>63</v>
      </c>
      <c r="AG68" s="5" t="s">
        <v>63</v>
      </c>
      <c r="AH68" s="5" t="s">
        <v>63</v>
      </c>
      <c r="AI68" s="5" t="s">
        <v>63</v>
      </c>
      <c r="AJ68" s="14" t="s">
        <v>63</v>
      </c>
      <c r="AK68" s="5" t="s">
        <v>63</v>
      </c>
      <c r="AL68" s="5" t="s">
        <v>63</v>
      </c>
      <c r="AM68" s="5" t="s">
        <v>192</v>
      </c>
      <c r="AN68" s="5" t="s">
        <v>63</v>
      </c>
      <c r="AO68" s="5" t="s">
        <v>63</v>
      </c>
      <c r="AP68" s="5" t="s">
        <v>63</v>
      </c>
      <c r="AQ68" s="5" t="s">
        <v>63</v>
      </c>
      <c r="AR68" s="5" t="s">
        <v>63</v>
      </c>
      <c r="AS68" s="8" t="s">
        <v>63</v>
      </c>
      <c r="AT68" s="5" t="s">
        <v>63</v>
      </c>
      <c r="AU68" s="5" t="s">
        <v>63</v>
      </c>
      <c r="AV68" s="5" t="s">
        <v>63</v>
      </c>
      <c r="AW68" s="5" t="s">
        <v>63</v>
      </c>
      <c r="AX68" s="5" t="s">
        <v>63</v>
      </c>
      <c r="AY68" s="5" t="s">
        <v>63</v>
      </c>
      <c r="AZ68" s="5" t="s">
        <v>63</v>
      </c>
      <c r="BA68" s="5" t="s">
        <v>63</v>
      </c>
      <c r="BB68" s="5" t="s">
        <v>63</v>
      </c>
      <c r="BC68" s="5" t="s">
        <v>63</v>
      </c>
      <c r="BD68" s="5" t="s">
        <v>63</v>
      </c>
    </row>
    <row r="69" spans="1:70">
      <c r="A69" s="1" t="str">
        <f t="shared" si="1"/>
        <v>No</v>
      </c>
      <c r="B69" s="1" t="s">
        <v>59</v>
      </c>
      <c r="C69" s="1" t="s">
        <v>199</v>
      </c>
      <c r="D69" s="11" t="s">
        <v>139</v>
      </c>
      <c r="E69" s="1" t="s">
        <v>200</v>
      </c>
      <c r="F69" s="2">
        <v>3</v>
      </c>
      <c r="G69" s="5" t="s">
        <v>63</v>
      </c>
      <c r="H69" s="5" t="s">
        <v>63</v>
      </c>
      <c r="I69" s="5" t="s">
        <v>63</v>
      </c>
      <c r="J69" s="5" t="s">
        <v>63</v>
      </c>
      <c r="K69" s="5" t="s">
        <v>63</v>
      </c>
      <c r="L69" s="5" t="s">
        <v>63</v>
      </c>
      <c r="M69" s="5" t="s">
        <v>63</v>
      </c>
      <c r="N69" s="5" t="s">
        <v>63</v>
      </c>
      <c r="O69" s="5" t="s">
        <v>63</v>
      </c>
      <c r="P69" s="5" t="s">
        <v>63</v>
      </c>
      <c r="Q69" s="5" t="s">
        <v>63</v>
      </c>
      <c r="R69" s="5" t="s">
        <v>63</v>
      </c>
      <c r="S69" s="5" t="s">
        <v>63</v>
      </c>
      <c r="T69" s="5" t="s">
        <v>63</v>
      </c>
      <c r="U69" s="5" t="s">
        <v>63</v>
      </c>
      <c r="V69" s="5" t="s">
        <v>63</v>
      </c>
      <c r="W69" s="5" t="s">
        <v>63</v>
      </c>
      <c r="X69" s="5" t="s">
        <v>63</v>
      </c>
      <c r="Y69" s="5" t="s">
        <v>63</v>
      </c>
      <c r="Z69" s="5" t="s">
        <v>63</v>
      </c>
      <c r="AA69" s="5" t="s">
        <v>64</v>
      </c>
      <c r="AB69" s="5" t="s">
        <v>63</v>
      </c>
      <c r="AC69" s="5" t="s">
        <v>64</v>
      </c>
      <c r="AD69" s="5" t="s">
        <v>63</v>
      </c>
      <c r="AE69" s="5" t="s">
        <v>63</v>
      </c>
      <c r="AF69" s="5" t="s">
        <v>63</v>
      </c>
      <c r="AG69" s="5" t="s">
        <v>63</v>
      </c>
      <c r="AH69" s="5" t="s">
        <v>63</v>
      </c>
      <c r="AI69" s="5" t="s">
        <v>63</v>
      </c>
      <c r="AJ69" s="14" t="s">
        <v>63</v>
      </c>
      <c r="AK69" s="5" t="s">
        <v>64</v>
      </c>
      <c r="AL69" s="5" t="s">
        <v>63</v>
      </c>
      <c r="AM69" s="5" t="s">
        <v>63</v>
      </c>
      <c r="AN69" s="5" t="s">
        <v>63</v>
      </c>
      <c r="AO69" s="5" t="s">
        <v>63</v>
      </c>
      <c r="AP69" s="5" t="s">
        <v>63</v>
      </c>
      <c r="AQ69" s="5" t="s">
        <v>63</v>
      </c>
      <c r="AR69" s="5" t="s">
        <v>63</v>
      </c>
      <c r="AS69" s="8" t="s">
        <v>63</v>
      </c>
      <c r="AT69" s="5" t="s">
        <v>63</v>
      </c>
      <c r="AU69" s="5" t="s">
        <v>63</v>
      </c>
      <c r="AV69" s="5" t="s">
        <v>63</v>
      </c>
      <c r="AW69" s="5" t="s">
        <v>63</v>
      </c>
      <c r="AX69" s="5" t="s">
        <v>63</v>
      </c>
      <c r="AY69" s="5" t="s">
        <v>63</v>
      </c>
      <c r="AZ69" s="5" t="s">
        <v>63</v>
      </c>
      <c r="BA69" s="5" t="s">
        <v>63</v>
      </c>
      <c r="BB69" s="5" t="s">
        <v>63</v>
      </c>
      <c r="BC69" s="5" t="s">
        <v>63</v>
      </c>
      <c r="BD69" s="5" t="s">
        <v>63</v>
      </c>
      <c r="BF69" s="5" t="s">
        <v>64</v>
      </c>
      <c r="BH69" s="5" t="s">
        <v>64</v>
      </c>
      <c r="BL69" s="5" t="s">
        <v>64</v>
      </c>
    </row>
    <row r="70" spans="1:70">
      <c r="A70" s="1" t="str">
        <f t="shared" si="1"/>
        <v>No</v>
      </c>
      <c r="B70" s="1" t="s">
        <v>59</v>
      </c>
      <c r="C70" s="1" t="s">
        <v>201</v>
      </c>
      <c r="D70" s="11" t="s">
        <v>139</v>
      </c>
      <c r="E70" s="1" t="s">
        <v>202</v>
      </c>
      <c r="F70" s="2">
        <v>3</v>
      </c>
      <c r="G70" s="5" t="s">
        <v>63</v>
      </c>
      <c r="H70" s="5" t="s">
        <v>63</v>
      </c>
      <c r="I70" s="5" t="s">
        <v>63</v>
      </c>
      <c r="J70" s="5" t="s">
        <v>63</v>
      </c>
      <c r="K70" s="5" t="s">
        <v>63</v>
      </c>
      <c r="L70" s="5" t="s">
        <v>63</v>
      </c>
      <c r="M70" s="5" t="s">
        <v>63</v>
      </c>
      <c r="N70" s="5" t="s">
        <v>63</v>
      </c>
      <c r="O70" s="5" t="s">
        <v>63</v>
      </c>
      <c r="P70" s="5" t="s">
        <v>63</v>
      </c>
      <c r="Q70" s="5" t="s">
        <v>63</v>
      </c>
      <c r="R70" s="5" t="s">
        <v>63</v>
      </c>
      <c r="S70" s="5" t="s">
        <v>63</v>
      </c>
      <c r="T70" s="5" t="s">
        <v>63</v>
      </c>
      <c r="U70" s="5" t="s">
        <v>63</v>
      </c>
      <c r="V70" s="5" t="s">
        <v>63</v>
      </c>
      <c r="W70" s="5" t="s">
        <v>63</v>
      </c>
      <c r="X70" s="5" t="s">
        <v>63</v>
      </c>
      <c r="Y70" s="5" t="s">
        <v>63</v>
      </c>
      <c r="Z70" s="5" t="s">
        <v>63</v>
      </c>
      <c r="AA70" s="5" t="s">
        <v>63</v>
      </c>
      <c r="AB70" s="5" t="s">
        <v>63</v>
      </c>
      <c r="AC70" s="5" t="s">
        <v>63</v>
      </c>
      <c r="AD70" s="5" t="s">
        <v>63</v>
      </c>
      <c r="AE70" s="5" t="s">
        <v>63</v>
      </c>
      <c r="AF70" s="5" t="s">
        <v>64</v>
      </c>
      <c r="AG70" s="5" t="s">
        <v>63</v>
      </c>
      <c r="AH70" s="5" t="s">
        <v>63</v>
      </c>
      <c r="AI70" s="5" t="s">
        <v>63</v>
      </c>
      <c r="AJ70" s="14" t="s">
        <v>63</v>
      </c>
      <c r="AK70" s="5" t="s">
        <v>63</v>
      </c>
      <c r="AL70" s="5" t="s">
        <v>63</v>
      </c>
      <c r="AM70" s="5" t="s">
        <v>63</v>
      </c>
      <c r="AN70" s="5" t="s">
        <v>63</v>
      </c>
      <c r="AO70" s="5" t="s">
        <v>63</v>
      </c>
      <c r="AP70" s="5" t="s">
        <v>63</v>
      </c>
      <c r="AQ70" s="5" t="s">
        <v>63</v>
      </c>
      <c r="AR70" s="5" t="s">
        <v>63</v>
      </c>
      <c r="AS70" s="8" t="s">
        <v>63</v>
      </c>
      <c r="AT70" s="5"/>
      <c r="AU70" s="5" t="s">
        <v>63</v>
      </c>
      <c r="AV70" s="5"/>
      <c r="AW70" s="5" t="s">
        <v>63</v>
      </c>
      <c r="AX70" s="5" t="s">
        <v>63</v>
      </c>
      <c r="AY70" s="5" t="s">
        <v>63</v>
      </c>
      <c r="AZ70" s="5" t="s">
        <v>63</v>
      </c>
      <c r="BA70" s="5" t="s">
        <v>63</v>
      </c>
      <c r="BB70" s="5" t="s">
        <v>63</v>
      </c>
      <c r="BC70" s="5" t="s">
        <v>63</v>
      </c>
      <c r="BD70" s="5" t="s">
        <v>63</v>
      </c>
      <c r="BI70" s="5" t="s">
        <v>64</v>
      </c>
      <c r="BP70" s="5" t="s">
        <v>64</v>
      </c>
    </row>
    <row r="71" spans="1:70">
      <c r="A71" s="1" t="str">
        <f t="shared" si="1"/>
        <v>No</v>
      </c>
      <c r="B71" s="1" t="s">
        <v>59</v>
      </c>
      <c r="C71" s="1" t="s">
        <v>203</v>
      </c>
      <c r="D71" s="11" t="s">
        <v>139</v>
      </c>
      <c r="E71" s="1" t="s">
        <v>204</v>
      </c>
      <c r="F71" s="2">
        <v>3</v>
      </c>
      <c r="G71" s="5" t="s">
        <v>63</v>
      </c>
      <c r="H71" s="5" t="s">
        <v>63</v>
      </c>
      <c r="I71" s="5" t="s">
        <v>63</v>
      </c>
      <c r="J71" s="5" t="s">
        <v>63</v>
      </c>
      <c r="K71" s="5" t="s">
        <v>63</v>
      </c>
      <c r="L71" s="5" t="s">
        <v>63</v>
      </c>
      <c r="M71" s="5" t="s">
        <v>63</v>
      </c>
      <c r="N71" s="5" t="s">
        <v>63</v>
      </c>
      <c r="O71" s="5" t="s">
        <v>63</v>
      </c>
      <c r="P71" s="5" t="s">
        <v>63</v>
      </c>
      <c r="Q71" s="5" t="s">
        <v>63</v>
      </c>
      <c r="R71" s="5" t="s">
        <v>63</v>
      </c>
      <c r="S71" s="5" t="s">
        <v>63</v>
      </c>
      <c r="T71" s="5" t="s">
        <v>63</v>
      </c>
      <c r="U71" s="5" t="s">
        <v>63</v>
      </c>
      <c r="V71" s="5" t="s">
        <v>63</v>
      </c>
      <c r="W71" s="5" t="s">
        <v>63</v>
      </c>
      <c r="X71" s="5" t="s">
        <v>63</v>
      </c>
      <c r="Y71" s="5" t="s">
        <v>63</v>
      </c>
      <c r="Z71" s="5" t="s">
        <v>63</v>
      </c>
      <c r="AA71" s="5" t="s">
        <v>63</v>
      </c>
      <c r="AB71" s="5" t="s">
        <v>63</v>
      </c>
      <c r="AC71" s="5" t="s">
        <v>63</v>
      </c>
      <c r="AD71" s="5" t="s">
        <v>63</v>
      </c>
      <c r="AE71" s="5" t="s">
        <v>63</v>
      </c>
      <c r="AF71" s="5" t="s">
        <v>63</v>
      </c>
      <c r="AG71" s="5" t="s">
        <v>63</v>
      </c>
      <c r="AH71" s="5" t="s">
        <v>63</v>
      </c>
      <c r="AI71" s="5" t="s">
        <v>63</v>
      </c>
      <c r="AJ71" s="14" t="s">
        <v>63</v>
      </c>
      <c r="AK71" s="5" t="s">
        <v>63</v>
      </c>
      <c r="AL71" s="5" t="s">
        <v>63</v>
      </c>
      <c r="AM71" s="5" t="s">
        <v>64</v>
      </c>
      <c r="AN71" s="5" t="s">
        <v>63</v>
      </c>
      <c r="AO71" s="5"/>
      <c r="AP71" s="5" t="s">
        <v>63</v>
      </c>
      <c r="AQ71" s="5" t="s">
        <v>63</v>
      </c>
      <c r="AR71" s="5" t="s">
        <v>63</v>
      </c>
      <c r="AS71" s="8" t="s">
        <v>63</v>
      </c>
      <c r="AT71" s="5" t="s">
        <v>63</v>
      </c>
      <c r="AU71" s="5" t="s">
        <v>63</v>
      </c>
      <c r="AV71" s="5" t="s">
        <v>63</v>
      </c>
      <c r="AW71" s="5" t="s">
        <v>63</v>
      </c>
      <c r="AX71" s="5" t="s">
        <v>63</v>
      </c>
      <c r="AY71" s="5" t="s">
        <v>63</v>
      </c>
      <c r="AZ71" s="5" t="s">
        <v>63</v>
      </c>
      <c r="BA71" s="5" t="s">
        <v>63</v>
      </c>
      <c r="BB71" s="5" t="s">
        <v>63</v>
      </c>
      <c r="BC71" s="5" t="s">
        <v>63</v>
      </c>
      <c r="BD71" s="5" t="s">
        <v>63</v>
      </c>
      <c r="BN71" s="5"/>
    </row>
    <row r="72" spans="1:70">
      <c r="A72" s="1" t="str">
        <f t="shared" si="1"/>
        <v>No</v>
      </c>
      <c r="B72" s="1" t="s">
        <v>59</v>
      </c>
      <c r="C72" s="1" t="s">
        <v>205</v>
      </c>
      <c r="D72" s="11" t="s">
        <v>139</v>
      </c>
      <c r="E72" s="1" t="s">
        <v>206</v>
      </c>
      <c r="F72" s="2" t="s">
        <v>63</v>
      </c>
      <c r="G72" s="5" t="s">
        <v>63</v>
      </c>
      <c r="H72" s="5" t="s">
        <v>63</v>
      </c>
      <c r="I72" s="5" t="s">
        <v>63</v>
      </c>
      <c r="J72" s="5" t="s">
        <v>63</v>
      </c>
      <c r="K72" s="5" t="s">
        <v>63</v>
      </c>
      <c r="L72" s="5" t="s">
        <v>63</v>
      </c>
      <c r="M72" s="5" t="s">
        <v>63</v>
      </c>
      <c r="N72" s="5" t="s">
        <v>63</v>
      </c>
      <c r="O72" s="5" t="s">
        <v>63</v>
      </c>
      <c r="P72" s="5" t="s">
        <v>63</v>
      </c>
      <c r="Q72" s="5" t="s">
        <v>63</v>
      </c>
      <c r="R72" s="5" t="s">
        <v>63</v>
      </c>
      <c r="S72" s="5" t="s">
        <v>63</v>
      </c>
      <c r="T72" s="5" t="s">
        <v>63</v>
      </c>
      <c r="U72" s="5" t="s">
        <v>63</v>
      </c>
      <c r="V72" s="5" t="s">
        <v>63</v>
      </c>
      <c r="W72" s="5" t="s">
        <v>63</v>
      </c>
      <c r="X72" s="5" t="s">
        <v>63</v>
      </c>
      <c r="Y72" s="5" t="s">
        <v>63</v>
      </c>
      <c r="Z72" s="5" t="s">
        <v>63</v>
      </c>
      <c r="AA72" s="5" t="s">
        <v>63</v>
      </c>
      <c r="AB72" s="5" t="s">
        <v>63</v>
      </c>
      <c r="AC72" s="5" t="s">
        <v>63</v>
      </c>
      <c r="AD72" s="5" t="s">
        <v>63</v>
      </c>
      <c r="AE72" s="5" t="s">
        <v>63</v>
      </c>
      <c r="AF72" s="5" t="s">
        <v>64</v>
      </c>
      <c r="AG72" s="5" t="s">
        <v>63</v>
      </c>
      <c r="AH72" s="5" t="s">
        <v>63</v>
      </c>
      <c r="AI72" s="5" t="s">
        <v>63</v>
      </c>
      <c r="AJ72" s="14" t="s">
        <v>63</v>
      </c>
      <c r="AK72" s="5" t="s">
        <v>63</v>
      </c>
      <c r="AL72" s="5" t="s">
        <v>63</v>
      </c>
      <c r="AM72" s="5" t="s">
        <v>64</v>
      </c>
      <c r="AN72" s="5" t="s">
        <v>64</v>
      </c>
      <c r="AO72" s="5" t="s">
        <v>64</v>
      </c>
      <c r="AP72" s="5" t="s">
        <v>63</v>
      </c>
      <c r="AQ72" s="5" t="s">
        <v>63</v>
      </c>
      <c r="AR72" s="5" t="s">
        <v>63</v>
      </c>
      <c r="AS72" s="8" t="s">
        <v>63</v>
      </c>
      <c r="AT72" s="5"/>
      <c r="AU72" s="5" t="s">
        <v>63</v>
      </c>
      <c r="AV72" s="5" t="s">
        <v>63</v>
      </c>
      <c r="AW72" s="5" t="s">
        <v>63</v>
      </c>
      <c r="AX72" s="5" t="s">
        <v>63</v>
      </c>
      <c r="AY72" s="5" t="s">
        <v>63</v>
      </c>
      <c r="AZ72" s="5" t="s">
        <v>63</v>
      </c>
      <c r="BA72" s="5" t="s">
        <v>63</v>
      </c>
      <c r="BB72" s="5" t="s">
        <v>63</v>
      </c>
      <c r="BC72" s="5" t="s">
        <v>63</v>
      </c>
      <c r="BD72" s="5" t="s">
        <v>63</v>
      </c>
      <c r="BI72" s="5" t="s">
        <v>64</v>
      </c>
      <c r="BN72" s="5" t="s">
        <v>64</v>
      </c>
      <c r="BP72" s="5" t="s">
        <v>64</v>
      </c>
    </row>
    <row r="73" spans="1:70">
      <c r="A73" s="1" t="str">
        <f t="shared" si="1"/>
        <v>No</v>
      </c>
      <c r="B73" s="1" t="s">
        <v>59</v>
      </c>
      <c r="C73" s="1" t="s">
        <v>205</v>
      </c>
      <c r="D73" s="11" t="s">
        <v>139</v>
      </c>
      <c r="E73" s="1" t="s">
        <v>207</v>
      </c>
      <c r="F73" s="2" t="s">
        <v>63</v>
      </c>
      <c r="G73" s="5" t="s">
        <v>63</v>
      </c>
      <c r="H73" s="5" t="s">
        <v>63</v>
      </c>
      <c r="I73" s="5" t="s">
        <v>63</v>
      </c>
      <c r="J73" s="5" t="s">
        <v>63</v>
      </c>
      <c r="K73" s="5" t="s">
        <v>63</v>
      </c>
      <c r="L73" s="5" t="s">
        <v>63</v>
      </c>
      <c r="M73" s="5" t="s">
        <v>63</v>
      </c>
      <c r="N73" s="5" t="s">
        <v>63</v>
      </c>
      <c r="O73" s="5" t="s">
        <v>63</v>
      </c>
      <c r="P73" s="5" t="s">
        <v>63</v>
      </c>
      <c r="Q73" s="5" t="s">
        <v>63</v>
      </c>
      <c r="R73" s="5" t="s">
        <v>63</v>
      </c>
      <c r="S73" s="5" t="s">
        <v>63</v>
      </c>
      <c r="T73" s="5" t="s">
        <v>63</v>
      </c>
      <c r="U73" s="5" t="s">
        <v>63</v>
      </c>
      <c r="V73" s="5" t="s">
        <v>63</v>
      </c>
      <c r="W73" s="5" t="s">
        <v>63</v>
      </c>
      <c r="X73" s="5" t="s">
        <v>63</v>
      </c>
      <c r="Y73" s="5" t="s">
        <v>63</v>
      </c>
      <c r="Z73" s="5" t="s">
        <v>63</v>
      </c>
      <c r="AA73" s="5" t="s">
        <v>63</v>
      </c>
      <c r="AB73" s="5" t="s">
        <v>63</v>
      </c>
      <c r="AC73" s="5" t="s">
        <v>63</v>
      </c>
      <c r="AD73" s="5" t="s">
        <v>63</v>
      </c>
      <c r="AE73" s="5" t="s">
        <v>63</v>
      </c>
      <c r="AF73" s="5" t="s">
        <v>64</v>
      </c>
      <c r="AG73" s="5" t="s">
        <v>63</v>
      </c>
      <c r="AH73" s="5" t="s">
        <v>63</v>
      </c>
      <c r="AI73" s="5" t="s">
        <v>63</v>
      </c>
      <c r="AJ73" s="14" t="s">
        <v>63</v>
      </c>
      <c r="AK73" s="5" t="s">
        <v>63</v>
      </c>
      <c r="AL73" s="5" t="s">
        <v>63</v>
      </c>
      <c r="AM73" s="5" t="s">
        <v>64</v>
      </c>
      <c r="AN73" s="5" t="s">
        <v>64</v>
      </c>
      <c r="AO73" s="5" t="s">
        <v>64</v>
      </c>
      <c r="AP73" s="5" t="s">
        <v>63</v>
      </c>
      <c r="AQ73" s="5" t="s">
        <v>63</v>
      </c>
      <c r="AR73" s="5" t="s">
        <v>63</v>
      </c>
      <c r="AS73" s="8" t="s">
        <v>63</v>
      </c>
      <c r="AT73" s="5" t="s">
        <v>63</v>
      </c>
      <c r="AU73" s="5" t="s">
        <v>63</v>
      </c>
      <c r="AV73" s="5" t="s">
        <v>63</v>
      </c>
      <c r="AW73" s="5" t="s">
        <v>63</v>
      </c>
      <c r="AX73" s="5" t="s">
        <v>63</v>
      </c>
      <c r="AY73" s="5" t="s">
        <v>63</v>
      </c>
      <c r="AZ73" s="5" t="s">
        <v>63</v>
      </c>
      <c r="BA73" s="5" t="s">
        <v>63</v>
      </c>
      <c r="BB73" s="5" t="s">
        <v>63</v>
      </c>
      <c r="BC73" s="5" t="s">
        <v>63</v>
      </c>
      <c r="BD73" s="5" t="s">
        <v>63</v>
      </c>
      <c r="BI73" s="5" t="s">
        <v>64</v>
      </c>
      <c r="BN73" s="5" t="s">
        <v>64</v>
      </c>
    </row>
    <row r="74" spans="1:70">
      <c r="A74" s="1" t="str">
        <f t="shared" si="1"/>
        <v>No</v>
      </c>
      <c r="B74" s="1" t="s">
        <v>59</v>
      </c>
      <c r="C74" s="1" t="s">
        <v>208</v>
      </c>
      <c r="D74" s="11" t="s">
        <v>209</v>
      </c>
      <c r="E74" s="1" t="s">
        <v>210</v>
      </c>
      <c r="F74" s="2">
        <v>3</v>
      </c>
      <c r="G74" s="5" t="s">
        <v>63</v>
      </c>
      <c r="H74" s="5" t="s">
        <v>63</v>
      </c>
      <c r="I74" s="5" t="s">
        <v>63</v>
      </c>
      <c r="J74" s="5" t="s">
        <v>63</v>
      </c>
      <c r="K74" s="5" t="s">
        <v>63</v>
      </c>
      <c r="L74" s="5" t="s">
        <v>63</v>
      </c>
      <c r="M74" s="5" t="s">
        <v>64</v>
      </c>
      <c r="N74" s="5" t="s">
        <v>63</v>
      </c>
      <c r="O74" s="5" t="s">
        <v>63</v>
      </c>
      <c r="P74" s="5" t="s">
        <v>63</v>
      </c>
      <c r="Q74" s="5" t="s">
        <v>63</v>
      </c>
      <c r="R74" s="5" t="s">
        <v>63</v>
      </c>
      <c r="S74" s="5" t="s">
        <v>63</v>
      </c>
      <c r="T74" s="5" t="s">
        <v>63</v>
      </c>
      <c r="U74" s="5" t="s">
        <v>63</v>
      </c>
      <c r="V74" s="5" t="s">
        <v>64</v>
      </c>
      <c r="W74" s="5" t="s">
        <v>63</v>
      </c>
      <c r="X74" s="5" t="s">
        <v>63</v>
      </c>
      <c r="Y74" s="5" t="s">
        <v>63</v>
      </c>
      <c r="Z74" s="5" t="s">
        <v>63</v>
      </c>
      <c r="AA74" s="5" t="s">
        <v>63</v>
      </c>
      <c r="AB74" s="5" t="s">
        <v>63</v>
      </c>
      <c r="AC74" s="5" t="s">
        <v>63</v>
      </c>
      <c r="AD74" s="5" t="s">
        <v>63</v>
      </c>
      <c r="AE74" s="5" t="s">
        <v>63</v>
      </c>
      <c r="AF74" s="5" t="s">
        <v>63</v>
      </c>
      <c r="AG74" s="5" t="s">
        <v>63</v>
      </c>
      <c r="AH74" s="5" t="s">
        <v>63</v>
      </c>
      <c r="AI74" s="5" t="s">
        <v>63</v>
      </c>
      <c r="AJ74" s="14" t="s">
        <v>63</v>
      </c>
      <c r="AK74" s="5" t="s">
        <v>63</v>
      </c>
      <c r="AL74" s="5" t="s">
        <v>63</v>
      </c>
      <c r="AM74" s="5" t="s">
        <v>63</v>
      </c>
      <c r="AN74" s="5" t="s">
        <v>63</v>
      </c>
      <c r="AO74" s="5" t="s">
        <v>63</v>
      </c>
      <c r="AP74" s="5" t="s">
        <v>63</v>
      </c>
      <c r="AQ74" s="5" t="s">
        <v>63</v>
      </c>
      <c r="AR74" s="5" t="s">
        <v>63</v>
      </c>
      <c r="AS74" s="8" t="s">
        <v>63</v>
      </c>
      <c r="AT74" s="5" t="s">
        <v>63</v>
      </c>
      <c r="AU74" s="5" t="s">
        <v>63</v>
      </c>
      <c r="AV74" s="5" t="s">
        <v>63</v>
      </c>
      <c r="AW74" s="5" t="s">
        <v>63</v>
      </c>
      <c r="AX74" s="5" t="s">
        <v>63</v>
      </c>
      <c r="AY74" s="5" t="s">
        <v>63</v>
      </c>
      <c r="AZ74" s="5" t="s">
        <v>63</v>
      </c>
      <c r="BA74" s="5" t="s">
        <v>63</v>
      </c>
      <c r="BB74" s="5" t="s">
        <v>63</v>
      </c>
      <c r="BC74" s="5" t="s">
        <v>63</v>
      </c>
      <c r="BD74" s="5" t="s">
        <v>63</v>
      </c>
      <c r="BE74" s="5" t="s">
        <v>64</v>
      </c>
    </row>
    <row r="75" spans="1:70">
      <c r="A75" s="1" t="str">
        <f t="shared" si="1"/>
        <v>No</v>
      </c>
      <c r="B75" s="1" t="s">
        <v>59</v>
      </c>
      <c r="C75" s="1" t="s">
        <v>211</v>
      </c>
      <c r="D75" s="11" t="s">
        <v>209</v>
      </c>
      <c r="E75" s="1" t="s">
        <v>212</v>
      </c>
      <c r="F75" s="2">
        <v>3</v>
      </c>
      <c r="G75" s="5" t="s">
        <v>63</v>
      </c>
      <c r="H75" s="5" t="s">
        <v>63</v>
      </c>
      <c r="I75" s="5" t="s">
        <v>63</v>
      </c>
      <c r="J75" s="5" t="s">
        <v>63</v>
      </c>
      <c r="K75" s="5" t="s">
        <v>63</v>
      </c>
      <c r="L75" s="5" t="s">
        <v>63</v>
      </c>
      <c r="M75" s="5" t="s">
        <v>64</v>
      </c>
      <c r="N75" s="5" t="s">
        <v>63</v>
      </c>
      <c r="O75" s="5" t="s">
        <v>63</v>
      </c>
      <c r="P75" s="5" t="s">
        <v>63</v>
      </c>
      <c r="Q75" s="5" t="s">
        <v>63</v>
      </c>
      <c r="R75" s="5" t="s">
        <v>63</v>
      </c>
      <c r="S75" s="5" t="s">
        <v>63</v>
      </c>
      <c r="T75" s="5" t="s">
        <v>63</v>
      </c>
      <c r="U75" s="5" t="s">
        <v>63</v>
      </c>
      <c r="V75" s="5" t="s">
        <v>64</v>
      </c>
      <c r="W75" s="5" t="s">
        <v>63</v>
      </c>
      <c r="X75" s="5" t="s">
        <v>63</v>
      </c>
      <c r="Y75" s="5" t="s">
        <v>63</v>
      </c>
      <c r="Z75" s="5" t="s">
        <v>63</v>
      </c>
      <c r="AA75" s="5" t="s">
        <v>63</v>
      </c>
      <c r="AB75" s="5" t="s">
        <v>63</v>
      </c>
      <c r="AC75" s="5" t="s">
        <v>63</v>
      </c>
      <c r="AD75" s="5" t="s">
        <v>63</v>
      </c>
      <c r="AE75" s="5" t="s">
        <v>63</v>
      </c>
      <c r="AF75" s="5" t="s">
        <v>63</v>
      </c>
      <c r="AG75" s="5" t="s">
        <v>63</v>
      </c>
      <c r="AH75" s="5" t="s">
        <v>63</v>
      </c>
      <c r="AI75" s="5" t="s">
        <v>63</v>
      </c>
      <c r="AJ75" s="14" t="s">
        <v>63</v>
      </c>
      <c r="AK75" s="5" t="s">
        <v>63</v>
      </c>
      <c r="AL75" s="5" t="s">
        <v>63</v>
      </c>
      <c r="AM75" s="5" t="s">
        <v>63</v>
      </c>
      <c r="AN75" s="5" t="s">
        <v>63</v>
      </c>
      <c r="AO75" s="5" t="s">
        <v>63</v>
      </c>
      <c r="AP75" s="5" t="s">
        <v>63</v>
      </c>
      <c r="AQ75" s="5" t="s">
        <v>63</v>
      </c>
      <c r="AR75" s="5" t="s">
        <v>63</v>
      </c>
      <c r="AS75" s="8" t="s">
        <v>63</v>
      </c>
      <c r="AT75" s="5" t="s">
        <v>63</v>
      </c>
      <c r="AU75" s="5" t="s">
        <v>63</v>
      </c>
      <c r="AV75" s="5" t="s">
        <v>63</v>
      </c>
      <c r="AW75" s="5" t="s">
        <v>63</v>
      </c>
      <c r="AX75" s="5" t="s">
        <v>63</v>
      </c>
      <c r="AY75" s="5" t="s">
        <v>63</v>
      </c>
      <c r="AZ75" s="5" t="s">
        <v>63</v>
      </c>
      <c r="BA75" s="5" t="s">
        <v>63</v>
      </c>
      <c r="BB75" s="5" t="s">
        <v>63</v>
      </c>
      <c r="BC75" s="5" t="s">
        <v>63</v>
      </c>
      <c r="BD75" s="5" t="s">
        <v>63</v>
      </c>
      <c r="BE75" s="5" t="s">
        <v>64</v>
      </c>
    </row>
    <row r="76" spans="1:70">
      <c r="A76" s="1" t="str">
        <f t="shared" si="1"/>
        <v>Yes</v>
      </c>
      <c r="B76" s="1" t="s">
        <v>116</v>
      </c>
      <c r="C76" s="1" t="s">
        <v>213</v>
      </c>
      <c r="D76" s="11" t="s">
        <v>77</v>
      </c>
      <c r="E76" s="1" t="s">
        <v>214</v>
      </c>
      <c r="F76" s="2">
        <v>3</v>
      </c>
      <c r="G76" s="5" t="s">
        <v>63</v>
      </c>
      <c r="H76" s="5" t="s">
        <v>63</v>
      </c>
      <c r="I76" s="5" t="s">
        <v>63</v>
      </c>
      <c r="J76" s="5" t="s">
        <v>63</v>
      </c>
      <c r="K76" s="5" t="s">
        <v>63</v>
      </c>
      <c r="L76" s="5" t="s">
        <v>63</v>
      </c>
      <c r="M76" s="5" t="s">
        <v>63</v>
      </c>
      <c r="N76" s="5" t="s">
        <v>63</v>
      </c>
      <c r="O76" s="5" t="s">
        <v>63</v>
      </c>
      <c r="P76" s="5" t="s">
        <v>63</v>
      </c>
      <c r="Q76" s="5" t="s">
        <v>63</v>
      </c>
      <c r="R76" s="5" t="s">
        <v>63</v>
      </c>
      <c r="S76" s="5" t="s">
        <v>63</v>
      </c>
      <c r="T76" s="5" t="s">
        <v>63</v>
      </c>
      <c r="U76" s="5" t="s">
        <v>63</v>
      </c>
      <c r="V76" s="5" t="s">
        <v>63</v>
      </c>
      <c r="W76" s="5" t="s">
        <v>63</v>
      </c>
      <c r="X76" s="5" t="s">
        <v>63</v>
      </c>
      <c r="Y76" s="5" t="s">
        <v>63</v>
      </c>
      <c r="Z76" s="5" t="s">
        <v>63</v>
      </c>
      <c r="AA76" s="5" t="s">
        <v>63</v>
      </c>
      <c r="AB76" s="5" t="s">
        <v>63</v>
      </c>
      <c r="AC76" s="5" t="s">
        <v>63</v>
      </c>
      <c r="AD76" s="5" t="s">
        <v>63</v>
      </c>
      <c r="AE76" s="5" t="s">
        <v>63</v>
      </c>
      <c r="AF76" s="5" t="s">
        <v>63</v>
      </c>
      <c r="AG76" s="5" t="s">
        <v>63</v>
      </c>
      <c r="AH76" s="5" t="s">
        <v>63</v>
      </c>
      <c r="AI76" s="5" t="s">
        <v>63</v>
      </c>
      <c r="AJ76" s="14" t="s">
        <v>63</v>
      </c>
      <c r="AK76" s="5" t="s">
        <v>63</v>
      </c>
      <c r="AL76" s="5" t="s">
        <v>63</v>
      </c>
      <c r="AM76" s="5" t="s">
        <v>63</v>
      </c>
      <c r="AN76" s="5" t="s">
        <v>63</v>
      </c>
      <c r="AO76" s="5" t="s">
        <v>63</v>
      </c>
      <c r="AP76" s="5" t="s">
        <v>63</v>
      </c>
      <c r="AQ76" s="5" t="s">
        <v>63</v>
      </c>
      <c r="AR76" s="5" t="s">
        <v>63</v>
      </c>
      <c r="AS76" s="8" t="s">
        <v>63</v>
      </c>
      <c r="AT76" s="5" t="s">
        <v>63</v>
      </c>
      <c r="AU76" s="5" t="s">
        <v>63</v>
      </c>
      <c r="AV76" s="5" t="s">
        <v>63</v>
      </c>
      <c r="AW76" s="5" t="s">
        <v>63</v>
      </c>
      <c r="AX76" s="5" t="s">
        <v>63</v>
      </c>
      <c r="AY76" s="5" t="s">
        <v>63</v>
      </c>
      <c r="AZ76" s="5" t="s">
        <v>63</v>
      </c>
      <c r="BA76" s="5" t="s">
        <v>63</v>
      </c>
      <c r="BB76" s="5" t="s">
        <v>63</v>
      </c>
      <c r="BC76" s="5" t="s">
        <v>63</v>
      </c>
      <c r="BD76" s="5" t="s">
        <v>63</v>
      </c>
    </row>
    <row r="77" spans="1:70">
      <c r="A77" s="1" t="str">
        <f t="shared" si="1"/>
        <v>No</v>
      </c>
      <c r="B77" s="1" t="s">
        <v>59</v>
      </c>
      <c r="C77" s="1" t="s">
        <v>215</v>
      </c>
      <c r="D77" s="11" t="s">
        <v>209</v>
      </c>
      <c r="E77" s="1" t="s">
        <v>216</v>
      </c>
      <c r="F77" s="2">
        <v>1</v>
      </c>
      <c r="G77" s="5" t="s">
        <v>63</v>
      </c>
      <c r="H77" s="5" t="s">
        <v>63</v>
      </c>
      <c r="I77" s="5" t="s">
        <v>63</v>
      </c>
      <c r="J77" s="5" t="s">
        <v>63</v>
      </c>
      <c r="K77" s="5" t="s">
        <v>63</v>
      </c>
      <c r="L77" s="5" t="s">
        <v>63</v>
      </c>
      <c r="M77" s="5" t="s">
        <v>64</v>
      </c>
      <c r="N77" s="5" t="s">
        <v>63</v>
      </c>
      <c r="O77" s="5" t="s">
        <v>63</v>
      </c>
      <c r="P77" s="5" t="s">
        <v>63</v>
      </c>
      <c r="Q77" s="5" t="s">
        <v>63</v>
      </c>
      <c r="R77" s="5" t="s">
        <v>63</v>
      </c>
      <c r="S77" s="5" t="s">
        <v>63</v>
      </c>
      <c r="T77" s="5" t="s">
        <v>63</v>
      </c>
      <c r="U77" s="5" t="s">
        <v>63</v>
      </c>
      <c r="V77" s="5" t="s">
        <v>64</v>
      </c>
      <c r="W77" s="5" t="s">
        <v>63</v>
      </c>
      <c r="X77" s="5" t="s">
        <v>63</v>
      </c>
      <c r="Y77" s="5" t="s">
        <v>63</v>
      </c>
      <c r="Z77" s="5" t="s">
        <v>63</v>
      </c>
      <c r="AA77" s="5" t="s">
        <v>63</v>
      </c>
      <c r="AB77" s="5" t="s">
        <v>63</v>
      </c>
      <c r="AC77" s="5" t="s">
        <v>63</v>
      </c>
      <c r="AD77" s="5" t="s">
        <v>63</v>
      </c>
      <c r="AE77" s="5" t="s">
        <v>63</v>
      </c>
      <c r="AF77" s="5" t="s">
        <v>63</v>
      </c>
      <c r="AG77" s="5" t="s">
        <v>63</v>
      </c>
      <c r="AH77" s="5" t="s">
        <v>63</v>
      </c>
      <c r="AI77" s="5" t="s">
        <v>63</v>
      </c>
      <c r="AJ77" s="14" t="s">
        <v>63</v>
      </c>
      <c r="AK77" s="5" t="s">
        <v>63</v>
      </c>
      <c r="AL77" s="5" t="s">
        <v>63</v>
      </c>
      <c r="AM77" s="5" t="s">
        <v>63</v>
      </c>
      <c r="AN77" s="5" t="s">
        <v>63</v>
      </c>
      <c r="AO77" s="5" t="s">
        <v>63</v>
      </c>
      <c r="AP77" s="5" t="s">
        <v>63</v>
      </c>
      <c r="AQ77" s="5" t="s">
        <v>63</v>
      </c>
      <c r="AR77" s="5" t="s">
        <v>63</v>
      </c>
      <c r="AS77" s="8" t="s">
        <v>63</v>
      </c>
      <c r="AT77" s="5" t="s">
        <v>63</v>
      </c>
      <c r="AU77" s="5" t="s">
        <v>63</v>
      </c>
      <c r="AV77" s="5" t="s">
        <v>63</v>
      </c>
      <c r="AW77" s="5" t="s">
        <v>63</v>
      </c>
      <c r="AX77" s="5" t="s">
        <v>63</v>
      </c>
      <c r="AY77" s="5" t="s">
        <v>63</v>
      </c>
      <c r="AZ77" s="5" t="s">
        <v>63</v>
      </c>
      <c r="BA77" s="5" t="s">
        <v>63</v>
      </c>
      <c r="BB77" s="5" t="s">
        <v>63</v>
      </c>
      <c r="BC77" s="5" t="s">
        <v>63</v>
      </c>
      <c r="BD77" s="5" t="s">
        <v>63</v>
      </c>
      <c r="BE77" s="5" t="s">
        <v>64</v>
      </c>
    </row>
    <row r="78" spans="1:70">
      <c r="A78" s="1" t="str">
        <f t="shared" si="1"/>
        <v>No</v>
      </c>
      <c r="B78" s="1" t="s">
        <v>59</v>
      </c>
      <c r="C78" s="1" t="s">
        <v>217</v>
      </c>
      <c r="D78" s="11" t="s">
        <v>209</v>
      </c>
      <c r="E78" s="1" t="s">
        <v>218</v>
      </c>
      <c r="F78" s="2">
        <v>3</v>
      </c>
      <c r="G78" s="5" t="s">
        <v>63</v>
      </c>
      <c r="H78" s="5" t="s">
        <v>63</v>
      </c>
      <c r="I78" s="5" t="s">
        <v>63</v>
      </c>
      <c r="J78" s="5" t="s">
        <v>63</v>
      </c>
      <c r="K78" s="5" t="s">
        <v>63</v>
      </c>
      <c r="L78" s="5" t="s">
        <v>63</v>
      </c>
      <c r="M78" s="5" t="s">
        <v>63</v>
      </c>
      <c r="N78" s="5" t="s">
        <v>63</v>
      </c>
      <c r="O78" s="5" t="s">
        <v>63</v>
      </c>
      <c r="P78" s="5" t="s">
        <v>63</v>
      </c>
      <c r="Q78" s="5" t="s">
        <v>63</v>
      </c>
      <c r="R78" s="5" t="s">
        <v>63</v>
      </c>
      <c r="S78" s="5" t="s">
        <v>63</v>
      </c>
      <c r="T78" s="5" t="s">
        <v>63</v>
      </c>
      <c r="U78" s="5" t="s">
        <v>63</v>
      </c>
      <c r="V78" s="5" t="s">
        <v>63</v>
      </c>
      <c r="W78" s="5" t="s">
        <v>63</v>
      </c>
      <c r="X78" s="5" t="s">
        <v>63</v>
      </c>
      <c r="Y78" s="5" t="s">
        <v>63</v>
      </c>
      <c r="Z78" s="5" t="s">
        <v>63</v>
      </c>
      <c r="AA78" s="5" t="s">
        <v>63</v>
      </c>
      <c r="AB78" s="5" t="s">
        <v>64</v>
      </c>
      <c r="AC78" s="5" t="s">
        <v>63</v>
      </c>
      <c r="AD78" s="5" t="s">
        <v>63</v>
      </c>
      <c r="AE78" s="5" t="s">
        <v>63</v>
      </c>
      <c r="AF78" s="5" t="s">
        <v>63</v>
      </c>
      <c r="AG78" s="5" t="s">
        <v>63</v>
      </c>
      <c r="AH78" s="5" t="s">
        <v>63</v>
      </c>
      <c r="AI78" s="5" t="s">
        <v>63</v>
      </c>
      <c r="AJ78" s="14" t="s">
        <v>63</v>
      </c>
      <c r="AK78" s="5" t="s">
        <v>63</v>
      </c>
      <c r="AL78" s="5" t="s">
        <v>63</v>
      </c>
      <c r="AM78" s="5" t="s">
        <v>63</v>
      </c>
      <c r="AN78" s="5" t="s">
        <v>63</v>
      </c>
      <c r="AO78" s="5" t="s">
        <v>63</v>
      </c>
      <c r="AP78" s="5" t="s">
        <v>63</v>
      </c>
      <c r="AQ78" s="5" t="s">
        <v>63</v>
      </c>
      <c r="AR78" s="5" t="s">
        <v>63</v>
      </c>
      <c r="AS78" s="8" t="s">
        <v>63</v>
      </c>
      <c r="AT78" s="5" t="s">
        <v>63</v>
      </c>
      <c r="AU78" s="5" t="s">
        <v>63</v>
      </c>
      <c r="AV78" s="5" t="s">
        <v>63</v>
      </c>
      <c r="AW78" s="5" t="s">
        <v>63</v>
      </c>
      <c r="AX78" s="5" t="s">
        <v>63</v>
      </c>
      <c r="AY78" s="5" t="s">
        <v>63</v>
      </c>
      <c r="AZ78" s="5" t="s">
        <v>63</v>
      </c>
      <c r="BA78" s="5" t="s">
        <v>63</v>
      </c>
      <c r="BB78" s="5" t="s">
        <v>63</v>
      </c>
      <c r="BC78" s="5" t="s">
        <v>63</v>
      </c>
      <c r="BD78" s="5" t="s">
        <v>63</v>
      </c>
      <c r="BG78" s="5" t="s">
        <v>64</v>
      </c>
    </row>
    <row r="79" spans="1:70">
      <c r="A79" s="1" t="str">
        <f t="shared" si="1"/>
        <v>No</v>
      </c>
      <c r="B79" s="1" t="s">
        <v>59</v>
      </c>
      <c r="C79" s="1" t="s">
        <v>219</v>
      </c>
      <c r="D79" s="11" t="s">
        <v>209</v>
      </c>
      <c r="E79" s="1" t="s">
        <v>220</v>
      </c>
      <c r="F79" s="2">
        <v>3</v>
      </c>
      <c r="G79" s="5" t="s">
        <v>63</v>
      </c>
      <c r="H79" s="5" t="s">
        <v>63</v>
      </c>
      <c r="I79" s="5" t="s">
        <v>63</v>
      </c>
      <c r="J79" s="5" t="s">
        <v>63</v>
      </c>
      <c r="K79" s="5" t="s">
        <v>63</v>
      </c>
      <c r="L79" s="5" t="s">
        <v>63</v>
      </c>
      <c r="M79" s="5" t="s">
        <v>63</v>
      </c>
      <c r="N79" s="5" t="s">
        <v>63</v>
      </c>
      <c r="O79" s="5" t="s">
        <v>63</v>
      </c>
      <c r="P79" s="5" t="s">
        <v>63</v>
      </c>
      <c r="Q79" s="5" t="s">
        <v>63</v>
      </c>
      <c r="R79" s="5" t="s">
        <v>63</v>
      </c>
      <c r="S79" s="5" t="s">
        <v>64</v>
      </c>
      <c r="T79" s="5" t="s">
        <v>63</v>
      </c>
      <c r="U79" s="5" t="s">
        <v>63</v>
      </c>
      <c r="V79" s="5" t="s">
        <v>64</v>
      </c>
      <c r="W79" s="5" t="s">
        <v>63</v>
      </c>
      <c r="X79" s="5" t="s">
        <v>63</v>
      </c>
      <c r="Y79" s="5" t="s">
        <v>63</v>
      </c>
      <c r="Z79" s="5" t="s">
        <v>63</v>
      </c>
      <c r="AA79" s="5" t="s">
        <v>63</v>
      </c>
      <c r="AB79" s="5" t="s">
        <v>63</v>
      </c>
      <c r="AC79" s="5" t="s">
        <v>63</v>
      </c>
      <c r="AD79" s="5" t="s">
        <v>63</v>
      </c>
      <c r="AE79" s="5" t="s">
        <v>63</v>
      </c>
      <c r="AF79" s="5" t="s">
        <v>63</v>
      </c>
      <c r="AG79" s="5" t="s">
        <v>63</v>
      </c>
      <c r="AH79" s="5" t="s">
        <v>63</v>
      </c>
      <c r="AI79" s="5" t="s">
        <v>63</v>
      </c>
      <c r="AJ79" s="14" t="s">
        <v>63</v>
      </c>
      <c r="AK79" s="5" t="s">
        <v>63</v>
      </c>
      <c r="AL79" s="5" t="s">
        <v>63</v>
      </c>
      <c r="AM79" s="5" t="s">
        <v>63</v>
      </c>
      <c r="AN79" s="5" t="s">
        <v>63</v>
      </c>
      <c r="AO79" s="5" t="s">
        <v>63</v>
      </c>
      <c r="AP79" s="5" t="s">
        <v>63</v>
      </c>
      <c r="AQ79" s="5" t="s">
        <v>63</v>
      </c>
      <c r="AR79" s="5" t="s">
        <v>63</v>
      </c>
      <c r="AS79" s="8" t="s">
        <v>63</v>
      </c>
      <c r="AT79" s="5" t="s">
        <v>63</v>
      </c>
      <c r="AU79" s="5" t="s">
        <v>63</v>
      </c>
      <c r="AV79" s="5" t="s">
        <v>63</v>
      </c>
      <c r="AW79" s="5" t="s">
        <v>63</v>
      </c>
      <c r="AX79" s="5" t="s">
        <v>63</v>
      </c>
      <c r="AY79" s="5" t="s">
        <v>63</v>
      </c>
      <c r="AZ79" s="5" t="s">
        <v>63</v>
      </c>
      <c r="BA79" s="5" t="s">
        <v>63</v>
      </c>
      <c r="BB79" s="5" t="s">
        <v>63</v>
      </c>
      <c r="BC79" s="5" t="s">
        <v>63</v>
      </c>
      <c r="BD79" s="5" t="s">
        <v>63</v>
      </c>
      <c r="BE79" s="5" t="s">
        <v>64</v>
      </c>
    </row>
    <row r="80" spans="1:70">
      <c r="A80" s="1" t="str">
        <f t="shared" si="1"/>
        <v>Yes</v>
      </c>
      <c r="B80" s="1" t="s">
        <v>116</v>
      </c>
      <c r="C80" s="1" t="s">
        <v>221</v>
      </c>
      <c r="D80" s="11" t="s">
        <v>182</v>
      </c>
      <c r="E80" s="1" t="s">
        <v>222</v>
      </c>
      <c r="F80" s="2">
        <v>3</v>
      </c>
      <c r="G80" s="5" t="s">
        <v>63</v>
      </c>
      <c r="H80" s="5" t="s">
        <v>63</v>
      </c>
      <c r="I80" s="5" t="s">
        <v>63</v>
      </c>
      <c r="J80" s="5" t="s">
        <v>63</v>
      </c>
      <c r="K80" s="5" t="s">
        <v>64</v>
      </c>
      <c r="L80" s="5" t="s">
        <v>63</v>
      </c>
      <c r="M80" s="5" t="s">
        <v>63</v>
      </c>
      <c r="N80" s="5" t="s">
        <v>63</v>
      </c>
      <c r="O80" s="5" t="s">
        <v>63</v>
      </c>
      <c r="P80" s="5" t="s">
        <v>64</v>
      </c>
      <c r="Q80" s="5" t="s">
        <v>63</v>
      </c>
      <c r="R80" s="5" t="s">
        <v>64</v>
      </c>
      <c r="S80" s="5" t="s">
        <v>63</v>
      </c>
      <c r="T80" s="5" t="s">
        <v>63</v>
      </c>
      <c r="U80" s="5" t="s">
        <v>63</v>
      </c>
      <c r="V80" s="5" t="s">
        <v>64</v>
      </c>
      <c r="W80" s="5" t="s">
        <v>63</v>
      </c>
      <c r="X80" s="5" t="s">
        <v>64</v>
      </c>
      <c r="Y80" s="5" t="s">
        <v>63</v>
      </c>
      <c r="Z80" s="5" t="s">
        <v>63</v>
      </c>
      <c r="AA80" s="5" t="s">
        <v>63</v>
      </c>
      <c r="AB80" s="5" t="s">
        <v>63</v>
      </c>
      <c r="AC80" s="5" t="s">
        <v>63</v>
      </c>
      <c r="AD80" s="5" t="s">
        <v>63</v>
      </c>
      <c r="AE80" s="5" t="s">
        <v>63</v>
      </c>
      <c r="AF80" s="5" t="s">
        <v>63</v>
      </c>
      <c r="AG80" s="5" t="s">
        <v>63</v>
      </c>
      <c r="AH80" s="5" t="s">
        <v>63</v>
      </c>
      <c r="AI80" s="5" t="s">
        <v>63</v>
      </c>
      <c r="AJ80" s="14" t="s">
        <v>63</v>
      </c>
      <c r="AK80" s="5" t="s">
        <v>63</v>
      </c>
      <c r="AL80" s="5" t="s">
        <v>63</v>
      </c>
      <c r="AM80" s="5" t="s">
        <v>63</v>
      </c>
      <c r="AN80" s="5" t="s">
        <v>63</v>
      </c>
      <c r="AO80" s="5" t="s">
        <v>63</v>
      </c>
      <c r="AP80" s="5" t="s">
        <v>63</v>
      </c>
      <c r="AQ80" s="5" t="s">
        <v>63</v>
      </c>
      <c r="AR80" s="5" t="s">
        <v>63</v>
      </c>
      <c r="AS80" s="8" t="s">
        <v>63</v>
      </c>
      <c r="AT80" s="5" t="s">
        <v>63</v>
      </c>
      <c r="AU80" s="5" t="s">
        <v>63</v>
      </c>
      <c r="AV80" s="5" t="s">
        <v>63</v>
      </c>
      <c r="AW80" s="5" t="s">
        <v>63</v>
      </c>
      <c r="AX80" s="5" t="s">
        <v>63</v>
      </c>
      <c r="AY80" s="5" t="s">
        <v>63</v>
      </c>
      <c r="AZ80" s="5" t="s">
        <v>63</v>
      </c>
      <c r="BA80" s="5" t="s">
        <v>63</v>
      </c>
      <c r="BB80" s="5" t="s">
        <v>63</v>
      </c>
      <c r="BC80" s="5" t="s">
        <v>63</v>
      </c>
      <c r="BD80" s="5" t="s">
        <v>63</v>
      </c>
      <c r="BE80" s="5" t="s">
        <v>64</v>
      </c>
    </row>
    <row r="81" spans="1:73">
      <c r="A81" s="1" t="str">
        <f t="shared" si="1"/>
        <v>Yes</v>
      </c>
      <c r="B81" s="1" t="s">
        <v>116</v>
      </c>
      <c r="C81" s="1" t="s">
        <v>223</v>
      </c>
      <c r="D81" s="11" t="s">
        <v>77</v>
      </c>
      <c r="E81" s="1" t="s">
        <v>224</v>
      </c>
      <c r="F81" s="2">
        <v>3</v>
      </c>
      <c r="G81" s="5" t="s">
        <v>63</v>
      </c>
      <c r="H81" s="5" t="s">
        <v>63</v>
      </c>
      <c r="I81" s="5" t="s">
        <v>63</v>
      </c>
      <c r="J81" s="5" t="s">
        <v>63</v>
      </c>
      <c r="K81" s="5" t="s">
        <v>63</v>
      </c>
      <c r="L81" s="5" t="s">
        <v>63</v>
      </c>
      <c r="M81" s="5" t="s">
        <v>63</v>
      </c>
      <c r="N81" s="5" t="s">
        <v>63</v>
      </c>
      <c r="O81" s="5" t="s">
        <v>63</v>
      </c>
      <c r="P81" s="5" t="s">
        <v>63</v>
      </c>
      <c r="Q81" s="5" t="s">
        <v>63</v>
      </c>
      <c r="R81" s="5" t="s">
        <v>63</v>
      </c>
      <c r="S81" s="5" t="s">
        <v>63</v>
      </c>
      <c r="T81" s="5" t="s">
        <v>63</v>
      </c>
      <c r="U81" s="5" t="s">
        <v>63</v>
      </c>
      <c r="V81" s="5" t="s">
        <v>64</v>
      </c>
      <c r="W81" s="5" t="s">
        <v>63</v>
      </c>
      <c r="X81" s="5" t="s">
        <v>63</v>
      </c>
      <c r="Y81" s="5" t="s">
        <v>63</v>
      </c>
      <c r="Z81" s="5" t="s">
        <v>63</v>
      </c>
      <c r="AA81" s="5" t="s">
        <v>63</v>
      </c>
      <c r="AB81" s="5" t="s">
        <v>63</v>
      </c>
      <c r="AC81" s="5" t="s">
        <v>63</v>
      </c>
      <c r="AD81" s="5" t="s">
        <v>63</v>
      </c>
      <c r="AE81" s="5" t="s">
        <v>63</v>
      </c>
      <c r="AF81" s="5" t="s">
        <v>63</v>
      </c>
      <c r="AG81" s="5" t="s">
        <v>63</v>
      </c>
      <c r="AH81" s="5" t="s">
        <v>63</v>
      </c>
      <c r="AI81" s="5" t="s">
        <v>63</v>
      </c>
      <c r="AJ81" s="14" t="s">
        <v>63</v>
      </c>
      <c r="AK81" s="5" t="s">
        <v>63</v>
      </c>
      <c r="AL81" s="5" t="s">
        <v>63</v>
      </c>
      <c r="AM81" s="5" t="s">
        <v>63</v>
      </c>
      <c r="AN81" s="5" t="s">
        <v>63</v>
      </c>
      <c r="AO81" s="5" t="s">
        <v>63</v>
      </c>
      <c r="AP81" s="5" t="s">
        <v>64</v>
      </c>
      <c r="AQ81" s="5" t="s">
        <v>63</v>
      </c>
      <c r="AR81" s="5" t="s">
        <v>63</v>
      </c>
      <c r="AS81" s="8" t="s">
        <v>63</v>
      </c>
      <c r="AT81" s="5" t="s">
        <v>63</v>
      </c>
      <c r="AU81" s="5" t="s">
        <v>63</v>
      </c>
      <c r="AV81" s="5" t="s">
        <v>63</v>
      </c>
      <c r="AW81" s="5" t="s">
        <v>63</v>
      </c>
      <c r="AX81" s="5" t="s">
        <v>63</v>
      </c>
      <c r="AY81" s="5" t="s">
        <v>63</v>
      </c>
      <c r="AZ81" s="5" t="s">
        <v>63</v>
      </c>
      <c r="BA81" s="5" t="s">
        <v>63</v>
      </c>
      <c r="BB81" s="5" t="s">
        <v>63</v>
      </c>
      <c r="BC81" s="5" t="s">
        <v>63</v>
      </c>
      <c r="BD81" s="5" t="s">
        <v>63</v>
      </c>
      <c r="BE81" s="5" t="s">
        <v>64</v>
      </c>
      <c r="BO81" s="5" t="s">
        <v>64</v>
      </c>
    </row>
    <row r="82" spans="1:73">
      <c r="A82" s="1" t="str">
        <f t="shared" si="1"/>
        <v>No</v>
      </c>
      <c r="B82" s="1" t="s">
        <v>59</v>
      </c>
      <c r="C82" s="1" t="s">
        <v>225</v>
      </c>
      <c r="D82" s="11" t="s">
        <v>209</v>
      </c>
      <c r="E82" s="1" t="s">
        <v>225</v>
      </c>
      <c r="F82" s="2" t="s">
        <v>63</v>
      </c>
      <c r="G82" s="5" t="s">
        <v>63</v>
      </c>
      <c r="H82" s="5" t="s">
        <v>63</v>
      </c>
      <c r="I82" s="5" t="s">
        <v>63</v>
      </c>
      <c r="J82" s="5" t="s">
        <v>63</v>
      </c>
      <c r="K82" s="5" t="s">
        <v>63</v>
      </c>
      <c r="L82" s="5" t="s">
        <v>63</v>
      </c>
      <c r="M82" s="5" t="s">
        <v>63</v>
      </c>
      <c r="N82" s="5" t="s">
        <v>63</v>
      </c>
      <c r="O82" s="5" t="s">
        <v>63</v>
      </c>
      <c r="P82" s="5" t="s">
        <v>63</v>
      </c>
      <c r="Q82" s="5" t="s">
        <v>63</v>
      </c>
      <c r="R82" s="5" t="s">
        <v>63</v>
      </c>
      <c r="S82" s="5" t="s">
        <v>63</v>
      </c>
      <c r="T82" s="5" t="s">
        <v>63</v>
      </c>
      <c r="U82" s="5" t="s">
        <v>63</v>
      </c>
      <c r="V82" s="5" t="s">
        <v>63</v>
      </c>
      <c r="W82" s="5" t="s">
        <v>63</v>
      </c>
      <c r="X82" s="5" t="s">
        <v>63</v>
      </c>
      <c r="Y82" s="5" t="s">
        <v>63</v>
      </c>
      <c r="Z82" s="5" t="s">
        <v>63</v>
      </c>
      <c r="AA82" s="5" t="s">
        <v>63</v>
      </c>
      <c r="AB82" s="5" t="s">
        <v>64</v>
      </c>
      <c r="AC82" s="5" t="s">
        <v>63</v>
      </c>
      <c r="AD82" s="5" t="s">
        <v>63</v>
      </c>
      <c r="AE82" s="5" t="s">
        <v>63</v>
      </c>
      <c r="AF82" s="5" t="s">
        <v>63</v>
      </c>
      <c r="AG82" s="5" t="s">
        <v>63</v>
      </c>
      <c r="AH82" s="5" t="s">
        <v>63</v>
      </c>
      <c r="AI82" s="5" t="s">
        <v>63</v>
      </c>
      <c r="AJ82" s="14" t="s">
        <v>63</v>
      </c>
      <c r="AK82" s="5" t="s">
        <v>63</v>
      </c>
      <c r="AL82" s="5" t="s">
        <v>63</v>
      </c>
      <c r="AM82" s="5" t="s">
        <v>63</v>
      </c>
      <c r="AN82" s="5" t="s">
        <v>63</v>
      </c>
      <c r="AO82" s="5" t="s">
        <v>63</v>
      </c>
      <c r="AP82" s="5" t="s">
        <v>63</v>
      </c>
      <c r="AQ82" s="5" t="s">
        <v>63</v>
      </c>
      <c r="AR82" s="5" t="s">
        <v>63</v>
      </c>
      <c r="AS82" s="8" t="s">
        <v>63</v>
      </c>
      <c r="AT82" s="5" t="s">
        <v>63</v>
      </c>
      <c r="AU82" s="5" t="s">
        <v>63</v>
      </c>
      <c r="AV82" s="5" t="s">
        <v>63</v>
      </c>
      <c r="AW82" s="5" t="s">
        <v>63</v>
      </c>
      <c r="AX82" s="5" t="s">
        <v>63</v>
      </c>
      <c r="AY82" s="5" t="s">
        <v>63</v>
      </c>
      <c r="AZ82" s="5" t="s">
        <v>63</v>
      </c>
      <c r="BA82" s="5" t="s">
        <v>63</v>
      </c>
      <c r="BB82" s="5" t="s">
        <v>63</v>
      </c>
      <c r="BC82" s="5" t="s">
        <v>63</v>
      </c>
      <c r="BD82" s="5" t="s">
        <v>63</v>
      </c>
      <c r="BG82" s="5" t="s">
        <v>64</v>
      </c>
    </row>
    <row r="83" spans="1:73">
      <c r="A83" s="1" t="str">
        <f t="shared" si="1"/>
        <v>Yes</v>
      </c>
      <c r="B83" s="1" t="s">
        <v>116</v>
      </c>
      <c r="C83" s="1" t="s">
        <v>70</v>
      </c>
      <c r="E83" s="1" t="s">
        <v>226</v>
      </c>
      <c r="F83" s="2" t="s">
        <v>63</v>
      </c>
      <c r="G83" s="5" t="s">
        <v>63</v>
      </c>
      <c r="H83" s="5" t="s">
        <v>63</v>
      </c>
      <c r="I83" s="5" t="s">
        <v>63</v>
      </c>
      <c r="J83" s="5" t="s">
        <v>63</v>
      </c>
      <c r="K83" s="5" t="s">
        <v>63</v>
      </c>
      <c r="L83" s="5" t="s">
        <v>63</v>
      </c>
      <c r="M83" s="5" t="s">
        <v>63</v>
      </c>
      <c r="N83" s="5" t="s">
        <v>63</v>
      </c>
      <c r="O83" s="5" t="s">
        <v>63</v>
      </c>
      <c r="P83" s="5" t="s">
        <v>63</v>
      </c>
      <c r="Q83" s="5" t="s">
        <v>63</v>
      </c>
      <c r="R83" s="5" t="s">
        <v>63</v>
      </c>
      <c r="S83" s="5" t="s">
        <v>63</v>
      </c>
      <c r="T83" s="5" t="s">
        <v>63</v>
      </c>
      <c r="U83" s="5" t="s">
        <v>63</v>
      </c>
      <c r="V83" s="5" t="s">
        <v>63</v>
      </c>
      <c r="W83" s="5" t="s">
        <v>63</v>
      </c>
      <c r="X83" s="5" t="s">
        <v>63</v>
      </c>
      <c r="Y83" s="5" t="s">
        <v>63</v>
      </c>
      <c r="Z83" s="5" t="s">
        <v>63</v>
      </c>
      <c r="AA83" s="5" t="s">
        <v>63</v>
      </c>
      <c r="AB83" s="5" t="s">
        <v>63</v>
      </c>
      <c r="AC83" s="5" t="s">
        <v>63</v>
      </c>
      <c r="AD83" s="5" t="s">
        <v>63</v>
      </c>
      <c r="AE83" s="5" t="s">
        <v>63</v>
      </c>
      <c r="AF83" s="5" t="s">
        <v>63</v>
      </c>
      <c r="AG83" s="5" t="s">
        <v>63</v>
      </c>
      <c r="AH83" s="5" t="s">
        <v>63</v>
      </c>
      <c r="AI83" s="5" t="s">
        <v>63</v>
      </c>
      <c r="AJ83" s="14" t="s">
        <v>63</v>
      </c>
      <c r="AK83" s="5" t="s">
        <v>63</v>
      </c>
      <c r="AL83" s="5" t="s">
        <v>63</v>
      </c>
      <c r="AM83" s="5" t="s">
        <v>63</v>
      </c>
      <c r="AN83" s="5" t="s">
        <v>63</v>
      </c>
      <c r="AO83" s="5" t="s">
        <v>63</v>
      </c>
      <c r="AP83" s="5" t="s">
        <v>63</v>
      </c>
      <c r="AQ83" s="5" t="s">
        <v>63</v>
      </c>
      <c r="AR83" s="5" t="s">
        <v>63</v>
      </c>
      <c r="AS83" s="8" t="s">
        <v>63</v>
      </c>
      <c r="AT83" s="5" t="s">
        <v>63</v>
      </c>
      <c r="AU83" s="5" t="s">
        <v>63</v>
      </c>
      <c r="AV83" s="5" t="s">
        <v>63</v>
      </c>
      <c r="AW83" s="5" t="s">
        <v>63</v>
      </c>
      <c r="AX83" s="5" t="s">
        <v>63</v>
      </c>
      <c r="AY83" s="5" t="s">
        <v>63</v>
      </c>
      <c r="AZ83" s="5" t="s">
        <v>63</v>
      </c>
      <c r="BA83" s="5" t="s">
        <v>63</v>
      </c>
      <c r="BB83" s="5" t="s">
        <v>63</v>
      </c>
      <c r="BC83" s="5" t="s">
        <v>63</v>
      </c>
      <c r="BD83" s="5" t="s">
        <v>63</v>
      </c>
    </row>
    <row r="84" spans="1:73">
      <c r="A84" s="1" t="str">
        <f t="shared" si="1"/>
        <v>Yes</v>
      </c>
      <c r="B84" s="1" t="s">
        <v>116</v>
      </c>
      <c r="C84" s="1" t="s">
        <v>70</v>
      </c>
      <c r="D84" s="11" t="s">
        <v>209</v>
      </c>
      <c r="E84" s="1" t="s">
        <v>227</v>
      </c>
      <c r="F84" s="2" t="s">
        <v>63</v>
      </c>
      <c r="G84" s="5" t="s">
        <v>63</v>
      </c>
      <c r="H84" s="5" t="s">
        <v>63</v>
      </c>
      <c r="I84" s="5" t="s">
        <v>63</v>
      </c>
      <c r="J84" s="5" t="s">
        <v>63</v>
      </c>
      <c r="K84" s="5" t="s">
        <v>63</v>
      </c>
      <c r="L84" s="5" t="s">
        <v>63</v>
      </c>
      <c r="M84" s="5" t="s">
        <v>64</v>
      </c>
      <c r="N84" s="5" t="s">
        <v>63</v>
      </c>
      <c r="O84" s="5" t="s">
        <v>63</v>
      </c>
      <c r="P84" s="5" t="s">
        <v>63</v>
      </c>
      <c r="Q84" s="5" t="s">
        <v>63</v>
      </c>
      <c r="R84" s="5" t="s">
        <v>63</v>
      </c>
      <c r="S84" s="5" t="s">
        <v>63</v>
      </c>
      <c r="T84" s="5" t="s">
        <v>63</v>
      </c>
      <c r="U84" s="5" t="s">
        <v>63</v>
      </c>
      <c r="V84" s="5" t="s">
        <v>64</v>
      </c>
      <c r="W84" s="5" t="s">
        <v>63</v>
      </c>
      <c r="X84" s="5" t="s">
        <v>63</v>
      </c>
      <c r="Y84" s="5" t="s">
        <v>63</v>
      </c>
      <c r="Z84" s="5" t="s">
        <v>63</v>
      </c>
      <c r="AA84" s="5" t="s">
        <v>63</v>
      </c>
      <c r="AB84" s="5" t="s">
        <v>63</v>
      </c>
      <c r="AC84" s="5" t="s">
        <v>63</v>
      </c>
      <c r="AD84" s="5" t="s">
        <v>63</v>
      </c>
      <c r="AE84" s="5" t="s">
        <v>63</v>
      </c>
      <c r="AF84" s="5" t="s">
        <v>63</v>
      </c>
      <c r="AG84" s="5" t="s">
        <v>63</v>
      </c>
      <c r="AH84" s="5" t="s">
        <v>63</v>
      </c>
      <c r="AI84" s="5" t="s">
        <v>63</v>
      </c>
      <c r="AJ84" s="14" t="s">
        <v>63</v>
      </c>
      <c r="AK84" s="5" t="s">
        <v>63</v>
      </c>
      <c r="AL84" s="5" t="s">
        <v>63</v>
      </c>
      <c r="AM84" s="5" t="s">
        <v>63</v>
      </c>
      <c r="AN84" s="5" t="s">
        <v>63</v>
      </c>
      <c r="AO84" s="5" t="s">
        <v>63</v>
      </c>
      <c r="AP84" s="5" t="s">
        <v>63</v>
      </c>
      <c r="AQ84" s="5" t="s">
        <v>63</v>
      </c>
      <c r="AR84" s="5" t="s">
        <v>63</v>
      </c>
      <c r="AS84" s="8" t="s">
        <v>63</v>
      </c>
      <c r="AT84" s="5" t="s">
        <v>63</v>
      </c>
      <c r="AU84" s="5" t="s">
        <v>63</v>
      </c>
      <c r="AV84" s="5" t="s">
        <v>63</v>
      </c>
      <c r="AW84" s="5" t="s">
        <v>63</v>
      </c>
      <c r="AX84" s="5" t="s">
        <v>63</v>
      </c>
      <c r="AY84" s="5" t="s">
        <v>63</v>
      </c>
      <c r="AZ84" s="5" t="s">
        <v>63</v>
      </c>
      <c r="BA84" s="5" t="s">
        <v>63</v>
      </c>
      <c r="BB84" s="5" t="s">
        <v>63</v>
      </c>
      <c r="BC84" s="5" t="s">
        <v>63</v>
      </c>
      <c r="BD84" s="5" t="s">
        <v>63</v>
      </c>
      <c r="BE84" s="5" t="s">
        <v>64</v>
      </c>
    </row>
    <row r="85" spans="1:73">
      <c r="A85" s="1" t="str">
        <f t="shared" si="1"/>
        <v>No</v>
      </c>
      <c r="B85" s="1" t="s">
        <v>59</v>
      </c>
      <c r="C85" s="1" t="s">
        <v>228</v>
      </c>
      <c r="D85" s="11" t="s">
        <v>209</v>
      </c>
      <c r="E85" s="1" t="s">
        <v>229</v>
      </c>
      <c r="F85" s="2">
        <v>3</v>
      </c>
      <c r="G85" s="5" t="s">
        <v>63</v>
      </c>
      <c r="H85" s="5" t="s">
        <v>63</v>
      </c>
      <c r="I85" s="5" t="s">
        <v>63</v>
      </c>
      <c r="J85" s="5" t="s">
        <v>63</v>
      </c>
      <c r="K85" s="5" t="s">
        <v>63</v>
      </c>
      <c r="L85" s="5" t="s">
        <v>63</v>
      </c>
      <c r="M85" s="5" t="s">
        <v>63</v>
      </c>
      <c r="N85" s="5" t="s">
        <v>63</v>
      </c>
      <c r="O85" s="5" t="s">
        <v>63</v>
      </c>
      <c r="P85" s="5" t="s">
        <v>63</v>
      </c>
      <c r="Q85" s="5" t="s">
        <v>63</v>
      </c>
      <c r="R85" s="5" t="s">
        <v>63</v>
      </c>
      <c r="S85" s="5" t="s">
        <v>64</v>
      </c>
      <c r="T85" s="5" t="s">
        <v>63</v>
      </c>
      <c r="U85" s="5" t="s">
        <v>63</v>
      </c>
      <c r="V85" s="5" t="s">
        <v>64</v>
      </c>
      <c r="W85" s="5" t="s">
        <v>63</v>
      </c>
      <c r="X85" s="5" t="s">
        <v>63</v>
      </c>
      <c r="Y85" s="5" t="s">
        <v>63</v>
      </c>
      <c r="Z85" s="5" t="s">
        <v>63</v>
      </c>
      <c r="AA85" s="5" t="s">
        <v>63</v>
      </c>
      <c r="AB85" s="5" t="s">
        <v>63</v>
      </c>
      <c r="AC85" s="5" t="s">
        <v>63</v>
      </c>
      <c r="AD85" s="5" t="s">
        <v>63</v>
      </c>
      <c r="AE85" s="5" t="s">
        <v>63</v>
      </c>
      <c r="AF85" s="5" t="s">
        <v>63</v>
      </c>
      <c r="AG85" s="5" t="s">
        <v>63</v>
      </c>
      <c r="AH85" s="5" t="s">
        <v>63</v>
      </c>
      <c r="AI85" s="5" t="s">
        <v>63</v>
      </c>
      <c r="AJ85" s="14" t="s">
        <v>63</v>
      </c>
      <c r="AK85" s="5" t="s">
        <v>63</v>
      </c>
      <c r="AL85" s="5" t="s">
        <v>63</v>
      </c>
      <c r="AM85" s="5" t="s">
        <v>63</v>
      </c>
      <c r="AN85" s="5" t="s">
        <v>63</v>
      </c>
      <c r="AO85" s="5" t="s">
        <v>63</v>
      </c>
      <c r="AP85" s="5" t="s">
        <v>63</v>
      </c>
      <c r="AQ85" s="5" t="s">
        <v>63</v>
      </c>
      <c r="AR85" s="5" t="s">
        <v>63</v>
      </c>
      <c r="AS85" s="8" t="s">
        <v>63</v>
      </c>
      <c r="AT85" s="5" t="s">
        <v>63</v>
      </c>
      <c r="AU85" s="5" t="s">
        <v>63</v>
      </c>
      <c r="AV85" s="5" t="s">
        <v>63</v>
      </c>
      <c r="AW85" s="5" t="s">
        <v>63</v>
      </c>
      <c r="AX85" s="5" t="s">
        <v>63</v>
      </c>
      <c r="AY85" s="5" t="s">
        <v>63</v>
      </c>
      <c r="AZ85" s="5" t="s">
        <v>63</v>
      </c>
      <c r="BA85" s="5" t="s">
        <v>63</v>
      </c>
      <c r="BB85" s="5" t="s">
        <v>63</v>
      </c>
      <c r="BC85" s="5" t="s">
        <v>63</v>
      </c>
      <c r="BD85" s="5" t="s">
        <v>63</v>
      </c>
      <c r="BE85" s="5" t="s">
        <v>64</v>
      </c>
    </row>
    <row r="86" spans="1:73">
      <c r="A86" s="1" t="str">
        <f t="shared" si="1"/>
        <v>No</v>
      </c>
      <c r="B86" s="1" t="s">
        <v>59</v>
      </c>
      <c r="C86" s="1" t="s">
        <v>230</v>
      </c>
      <c r="D86" s="11" t="s">
        <v>182</v>
      </c>
      <c r="E86" s="1" t="s">
        <v>231</v>
      </c>
      <c r="F86" s="2">
        <v>4</v>
      </c>
      <c r="G86" s="5" t="s">
        <v>63</v>
      </c>
      <c r="H86" s="5" t="s">
        <v>63</v>
      </c>
      <c r="I86" s="5" t="s">
        <v>63</v>
      </c>
      <c r="J86" s="5" t="s">
        <v>64</v>
      </c>
      <c r="K86" s="5" t="s">
        <v>63</v>
      </c>
      <c r="L86" s="5" t="s">
        <v>63</v>
      </c>
      <c r="M86" s="5" t="s">
        <v>63</v>
      </c>
      <c r="N86" s="5" t="s">
        <v>64</v>
      </c>
      <c r="O86" s="5" t="s">
        <v>64</v>
      </c>
      <c r="P86" s="5" t="s">
        <v>63</v>
      </c>
      <c r="Q86" s="5" t="s">
        <v>63</v>
      </c>
      <c r="R86" s="5" t="s">
        <v>63</v>
      </c>
      <c r="S86" s="5" t="s">
        <v>63</v>
      </c>
      <c r="T86" s="5" t="s">
        <v>64</v>
      </c>
      <c r="U86" s="5" t="s">
        <v>63</v>
      </c>
      <c r="V86" s="5" t="s">
        <v>64</v>
      </c>
      <c r="W86" s="5" t="s">
        <v>63</v>
      </c>
      <c r="X86" s="5" t="s">
        <v>63</v>
      </c>
      <c r="Y86" s="5" t="s">
        <v>63</v>
      </c>
      <c r="Z86" s="5" t="s">
        <v>63</v>
      </c>
      <c r="AA86" s="5" t="s">
        <v>63</v>
      </c>
      <c r="AB86" s="5" t="s">
        <v>63</v>
      </c>
      <c r="AC86" s="5" t="s">
        <v>63</v>
      </c>
      <c r="AD86" s="5" t="s">
        <v>63</v>
      </c>
      <c r="AE86" s="5" t="s">
        <v>63</v>
      </c>
      <c r="AF86" s="5" t="s">
        <v>63</v>
      </c>
      <c r="AG86" s="5" t="s">
        <v>63</v>
      </c>
      <c r="AH86" s="5" t="s">
        <v>63</v>
      </c>
      <c r="AI86" s="5" t="s">
        <v>63</v>
      </c>
      <c r="AJ86" s="14" t="s">
        <v>63</v>
      </c>
      <c r="AK86" s="5" t="s">
        <v>63</v>
      </c>
      <c r="AL86" s="5" t="s">
        <v>63</v>
      </c>
      <c r="AM86" s="5" t="s">
        <v>63</v>
      </c>
      <c r="AN86" s="5" t="s">
        <v>63</v>
      </c>
      <c r="AO86" s="5" t="s">
        <v>63</v>
      </c>
      <c r="AP86" s="5" t="s">
        <v>63</v>
      </c>
      <c r="AQ86" s="5" t="s">
        <v>63</v>
      </c>
      <c r="AR86" s="5" t="s">
        <v>63</v>
      </c>
      <c r="AS86" s="8" t="s">
        <v>63</v>
      </c>
      <c r="AT86" s="5" t="s">
        <v>63</v>
      </c>
      <c r="AU86" s="5" t="s">
        <v>63</v>
      </c>
      <c r="AV86" s="5" t="s">
        <v>63</v>
      </c>
      <c r="AW86" s="5" t="s">
        <v>63</v>
      </c>
      <c r="AX86" s="5" t="s">
        <v>63</v>
      </c>
      <c r="AY86" s="5" t="s">
        <v>63</v>
      </c>
      <c r="AZ86" s="5" t="s">
        <v>63</v>
      </c>
      <c r="BA86" s="5" t="s">
        <v>63</v>
      </c>
      <c r="BB86" s="5" t="s">
        <v>63</v>
      </c>
      <c r="BC86" s="5" t="s">
        <v>63</v>
      </c>
      <c r="BD86" s="5" t="s">
        <v>63</v>
      </c>
      <c r="BE86" s="5" t="s">
        <v>64</v>
      </c>
    </row>
    <row r="87" spans="1:73">
      <c r="A87" s="1" t="str">
        <f t="shared" si="1"/>
        <v>Yes</v>
      </c>
      <c r="B87" s="1" t="s">
        <v>116</v>
      </c>
      <c r="C87" s="1" t="s">
        <v>70</v>
      </c>
      <c r="D87" s="11" t="s">
        <v>209</v>
      </c>
      <c r="E87" s="1" t="s">
        <v>232</v>
      </c>
      <c r="F87" s="2" t="s">
        <v>63</v>
      </c>
      <c r="G87" s="5" t="s">
        <v>63</v>
      </c>
      <c r="H87" s="5" t="s">
        <v>63</v>
      </c>
      <c r="I87" s="5" t="s">
        <v>63</v>
      </c>
      <c r="J87" s="5" t="s">
        <v>63</v>
      </c>
      <c r="K87" s="5" t="s">
        <v>63</v>
      </c>
      <c r="L87" s="5" t="s">
        <v>63</v>
      </c>
      <c r="M87" s="5" t="s">
        <v>64</v>
      </c>
      <c r="N87" s="5" t="s">
        <v>63</v>
      </c>
      <c r="O87" s="5" t="s">
        <v>63</v>
      </c>
      <c r="P87" s="5" t="s">
        <v>63</v>
      </c>
      <c r="Q87" s="5" t="s">
        <v>63</v>
      </c>
      <c r="R87" s="5" t="s">
        <v>63</v>
      </c>
      <c r="S87" s="5" t="s">
        <v>63</v>
      </c>
      <c r="T87" s="5" t="s">
        <v>63</v>
      </c>
      <c r="U87" s="5" t="s">
        <v>63</v>
      </c>
      <c r="V87" s="5" t="s">
        <v>64</v>
      </c>
      <c r="W87" s="5" t="s">
        <v>63</v>
      </c>
      <c r="X87" s="5" t="s">
        <v>63</v>
      </c>
      <c r="Y87" s="5" t="s">
        <v>63</v>
      </c>
      <c r="Z87" s="5" t="s">
        <v>63</v>
      </c>
      <c r="AA87" s="5" t="s">
        <v>63</v>
      </c>
      <c r="AB87" s="5" t="s">
        <v>63</v>
      </c>
      <c r="AC87" s="5" t="s">
        <v>63</v>
      </c>
      <c r="AD87" s="5" t="s">
        <v>63</v>
      </c>
      <c r="AE87" s="5" t="s">
        <v>63</v>
      </c>
      <c r="AF87" s="5" t="s">
        <v>63</v>
      </c>
      <c r="AG87" s="5" t="s">
        <v>63</v>
      </c>
      <c r="AH87" s="5" t="s">
        <v>63</v>
      </c>
      <c r="AI87" s="5" t="s">
        <v>63</v>
      </c>
      <c r="AJ87" s="14" t="s">
        <v>63</v>
      </c>
      <c r="AK87" s="5" t="s">
        <v>63</v>
      </c>
      <c r="AL87" s="5" t="s">
        <v>63</v>
      </c>
      <c r="AM87" s="5" t="s">
        <v>63</v>
      </c>
      <c r="AN87" s="5" t="s">
        <v>63</v>
      </c>
      <c r="AO87" s="5" t="s">
        <v>63</v>
      </c>
      <c r="AP87" s="5" t="s">
        <v>63</v>
      </c>
      <c r="AQ87" s="5" t="s">
        <v>63</v>
      </c>
      <c r="AR87" s="5" t="s">
        <v>63</v>
      </c>
      <c r="AS87" s="8" t="s">
        <v>63</v>
      </c>
      <c r="AT87" s="5" t="s">
        <v>63</v>
      </c>
      <c r="AU87" s="5" t="s">
        <v>63</v>
      </c>
      <c r="AV87" s="5" t="s">
        <v>63</v>
      </c>
      <c r="AW87" s="5" t="s">
        <v>63</v>
      </c>
      <c r="AX87" s="5" t="s">
        <v>63</v>
      </c>
      <c r="AY87" s="5" t="s">
        <v>63</v>
      </c>
      <c r="AZ87" s="5" t="s">
        <v>63</v>
      </c>
      <c r="BA87" s="5" t="s">
        <v>63</v>
      </c>
      <c r="BB87" s="5" t="s">
        <v>63</v>
      </c>
      <c r="BC87" s="5" t="s">
        <v>63</v>
      </c>
      <c r="BD87" s="5" t="s">
        <v>63</v>
      </c>
      <c r="BE87" s="5" t="s">
        <v>64</v>
      </c>
    </row>
    <row r="88" spans="1:73">
      <c r="A88" s="1" t="str">
        <f t="shared" si="1"/>
        <v>Yes</v>
      </c>
      <c r="B88" s="1" t="s">
        <v>116</v>
      </c>
      <c r="C88" s="1" t="s">
        <v>233</v>
      </c>
      <c r="D88" s="11" t="s">
        <v>234</v>
      </c>
      <c r="E88" s="1" t="s">
        <v>235</v>
      </c>
      <c r="F88" s="2">
        <v>3</v>
      </c>
      <c r="G88" s="5" t="s">
        <v>63</v>
      </c>
      <c r="H88" s="5" t="s">
        <v>63</v>
      </c>
      <c r="I88" s="5" t="s">
        <v>64</v>
      </c>
      <c r="J88" s="5" t="s">
        <v>63</v>
      </c>
      <c r="K88" s="5" t="s">
        <v>63</v>
      </c>
      <c r="L88" s="5" t="s">
        <v>63</v>
      </c>
      <c r="M88" s="5" t="s">
        <v>64</v>
      </c>
      <c r="N88" s="5" t="s">
        <v>63</v>
      </c>
      <c r="O88" s="5" t="s">
        <v>63</v>
      </c>
      <c r="P88" s="5" t="s">
        <v>63</v>
      </c>
      <c r="Q88" s="5" t="s">
        <v>63</v>
      </c>
      <c r="R88" s="5" t="s">
        <v>63</v>
      </c>
      <c r="S88" s="5" t="s">
        <v>63</v>
      </c>
      <c r="T88" s="5" t="s">
        <v>63</v>
      </c>
      <c r="U88" s="5" t="s">
        <v>63</v>
      </c>
      <c r="V88" s="5" t="s">
        <v>64</v>
      </c>
      <c r="W88" s="5" t="s">
        <v>63</v>
      </c>
      <c r="X88" s="5" t="s">
        <v>63</v>
      </c>
      <c r="Y88" s="5" t="s">
        <v>63</v>
      </c>
      <c r="Z88" s="5" t="s">
        <v>63</v>
      </c>
      <c r="AA88" s="5" t="s">
        <v>63</v>
      </c>
      <c r="AB88" s="5" t="s">
        <v>63</v>
      </c>
      <c r="AC88" s="5" t="s">
        <v>63</v>
      </c>
      <c r="AD88" s="5" t="s">
        <v>63</v>
      </c>
      <c r="AE88" s="5" t="s">
        <v>63</v>
      </c>
      <c r="AF88" s="5" t="s">
        <v>63</v>
      </c>
      <c r="AG88" s="5" t="s">
        <v>63</v>
      </c>
      <c r="AH88" s="5" t="s">
        <v>63</v>
      </c>
      <c r="AI88" s="5" t="s">
        <v>63</v>
      </c>
      <c r="AJ88" s="14" t="s">
        <v>63</v>
      </c>
      <c r="AK88" s="5" t="s">
        <v>63</v>
      </c>
      <c r="AL88" s="5" t="s">
        <v>63</v>
      </c>
      <c r="AM88" s="5" t="s">
        <v>63</v>
      </c>
      <c r="AN88" s="5" t="s">
        <v>63</v>
      </c>
      <c r="AO88" s="5" t="s">
        <v>63</v>
      </c>
      <c r="AP88" s="5" t="s">
        <v>63</v>
      </c>
      <c r="AQ88" s="5" t="s">
        <v>63</v>
      </c>
      <c r="AR88" s="5" t="s">
        <v>63</v>
      </c>
      <c r="AS88" s="8" t="s">
        <v>63</v>
      </c>
      <c r="AT88" s="5" t="s">
        <v>63</v>
      </c>
      <c r="AU88" s="5" t="s">
        <v>63</v>
      </c>
      <c r="AV88" s="5" t="s">
        <v>63</v>
      </c>
      <c r="AW88" s="5" t="s">
        <v>63</v>
      </c>
      <c r="AX88" s="5" t="s">
        <v>63</v>
      </c>
      <c r="AY88" s="5" t="s">
        <v>63</v>
      </c>
      <c r="AZ88" s="5" t="s">
        <v>63</v>
      </c>
      <c r="BA88" s="5" t="s">
        <v>63</v>
      </c>
      <c r="BB88" s="5" t="s">
        <v>63</v>
      </c>
      <c r="BC88" s="5" t="s">
        <v>63</v>
      </c>
      <c r="BD88" s="5" t="s">
        <v>63</v>
      </c>
      <c r="BE88" s="5" t="s">
        <v>64</v>
      </c>
    </row>
    <row r="89" spans="1:73">
      <c r="A89" s="1" t="str">
        <f t="shared" si="1"/>
        <v>Yes</v>
      </c>
      <c r="B89" s="1" t="s">
        <v>116</v>
      </c>
      <c r="C89" s="1" t="s">
        <v>236</v>
      </c>
      <c r="D89" s="11" t="s">
        <v>234</v>
      </c>
      <c r="E89" s="1" t="s">
        <v>237</v>
      </c>
      <c r="F89" s="2">
        <v>3</v>
      </c>
      <c r="G89" s="5" t="s">
        <v>63</v>
      </c>
      <c r="H89" s="5" t="s">
        <v>63</v>
      </c>
      <c r="I89" s="5" t="s">
        <v>63</v>
      </c>
      <c r="J89" s="5" t="s">
        <v>63</v>
      </c>
      <c r="K89" s="5" t="s">
        <v>64</v>
      </c>
      <c r="L89" s="5" t="s">
        <v>63</v>
      </c>
      <c r="M89" s="5" t="s">
        <v>64</v>
      </c>
      <c r="N89" s="5" t="s">
        <v>63</v>
      </c>
      <c r="O89" s="5" t="s">
        <v>63</v>
      </c>
      <c r="P89" s="5" t="s">
        <v>63</v>
      </c>
      <c r="Q89" s="5" t="s">
        <v>63</v>
      </c>
      <c r="R89" s="5" t="s">
        <v>63</v>
      </c>
      <c r="S89" s="5" t="s">
        <v>63</v>
      </c>
      <c r="T89" s="5" t="s">
        <v>63</v>
      </c>
      <c r="U89" s="5" t="s">
        <v>63</v>
      </c>
      <c r="V89" s="5" t="s">
        <v>64</v>
      </c>
      <c r="W89" s="5" t="s">
        <v>63</v>
      </c>
      <c r="X89" s="5" t="s">
        <v>63</v>
      </c>
      <c r="Y89" s="5" t="s">
        <v>63</v>
      </c>
      <c r="Z89" s="5" t="s">
        <v>63</v>
      </c>
      <c r="AA89" s="5" t="s">
        <v>63</v>
      </c>
      <c r="AB89" s="5" t="s">
        <v>63</v>
      </c>
      <c r="AC89" s="5" t="s">
        <v>63</v>
      </c>
      <c r="AD89" s="5" t="s">
        <v>63</v>
      </c>
      <c r="AE89" s="5" t="s">
        <v>63</v>
      </c>
      <c r="AF89" s="5" t="s">
        <v>63</v>
      </c>
      <c r="AG89" s="5" t="s">
        <v>63</v>
      </c>
      <c r="AH89" s="5" t="s">
        <v>63</v>
      </c>
      <c r="AI89" s="5" t="s">
        <v>63</v>
      </c>
      <c r="AJ89" s="14" t="s">
        <v>63</v>
      </c>
      <c r="AK89" s="5" t="s">
        <v>63</v>
      </c>
      <c r="AL89" s="5" t="s">
        <v>63</v>
      </c>
      <c r="AM89" s="5" t="s">
        <v>63</v>
      </c>
      <c r="AN89" s="5" t="s">
        <v>63</v>
      </c>
      <c r="AO89" s="5" t="s">
        <v>63</v>
      </c>
      <c r="AP89" s="5" t="s">
        <v>63</v>
      </c>
      <c r="AQ89" s="5" t="s">
        <v>63</v>
      </c>
      <c r="AR89" s="5" t="s">
        <v>63</v>
      </c>
      <c r="AS89" s="8" t="s">
        <v>63</v>
      </c>
      <c r="AT89" s="5" t="s">
        <v>63</v>
      </c>
      <c r="AU89" s="5" t="s">
        <v>63</v>
      </c>
      <c r="AV89" s="5" t="s">
        <v>63</v>
      </c>
      <c r="AW89" s="5" t="s">
        <v>63</v>
      </c>
      <c r="AX89" s="5" t="s">
        <v>63</v>
      </c>
      <c r="AY89" s="5" t="s">
        <v>63</v>
      </c>
      <c r="AZ89" s="5" t="s">
        <v>63</v>
      </c>
      <c r="BA89" s="5" t="s">
        <v>63</v>
      </c>
      <c r="BB89" s="5" t="s">
        <v>63</v>
      </c>
      <c r="BC89" s="5" t="s">
        <v>63</v>
      </c>
      <c r="BD89" s="5" t="s">
        <v>63</v>
      </c>
      <c r="BE89" s="5" t="s">
        <v>64</v>
      </c>
    </row>
    <row r="90" spans="1:73">
      <c r="A90" s="1" t="str">
        <f t="shared" si="1"/>
        <v>Yes</v>
      </c>
      <c r="B90" s="1" t="s">
        <v>116</v>
      </c>
      <c r="C90" s="1" t="s">
        <v>238</v>
      </c>
      <c r="E90" s="1" t="s">
        <v>239</v>
      </c>
      <c r="G90" s="9" t="s">
        <v>63</v>
      </c>
      <c r="H90" s="9" t="s">
        <v>64</v>
      </c>
      <c r="I90" s="9" t="s">
        <v>64</v>
      </c>
      <c r="J90" s="9" t="s">
        <v>64</v>
      </c>
      <c r="K90" s="9" t="s">
        <v>64</v>
      </c>
      <c r="L90" s="9" t="s">
        <v>64</v>
      </c>
      <c r="M90" s="9" t="s">
        <v>63</v>
      </c>
      <c r="N90" s="9" t="s">
        <v>64</v>
      </c>
      <c r="O90" s="9" t="s">
        <v>64</v>
      </c>
      <c r="P90" s="9" t="s">
        <v>63</v>
      </c>
      <c r="Q90" s="9" t="s">
        <v>63</v>
      </c>
      <c r="R90" s="9" t="s">
        <v>64</v>
      </c>
      <c r="S90" s="9" t="s">
        <v>63</v>
      </c>
      <c r="T90" s="9" t="s">
        <v>63</v>
      </c>
      <c r="U90" s="9" t="s">
        <v>63</v>
      </c>
      <c r="V90" s="9" t="s">
        <v>63</v>
      </c>
      <c r="W90" s="9" t="s">
        <v>63</v>
      </c>
      <c r="X90" s="9" t="s">
        <v>63</v>
      </c>
      <c r="Y90" s="9" t="s">
        <v>64</v>
      </c>
      <c r="Z90" s="9" t="s">
        <v>63</v>
      </c>
      <c r="AA90" s="9" t="s">
        <v>63</v>
      </c>
      <c r="AB90" s="9" t="s">
        <v>63</v>
      </c>
      <c r="AC90" s="9" t="s">
        <v>63</v>
      </c>
      <c r="AD90" s="9" t="s">
        <v>63</v>
      </c>
      <c r="AE90" s="9" t="s">
        <v>63</v>
      </c>
      <c r="AF90" s="9" t="s">
        <v>63</v>
      </c>
      <c r="AG90" s="9" t="s">
        <v>63</v>
      </c>
      <c r="AH90" s="9" t="s">
        <v>63</v>
      </c>
      <c r="AI90" s="9" t="s">
        <v>63</v>
      </c>
      <c r="AJ90" s="15" t="s">
        <v>63</v>
      </c>
      <c r="AK90" s="9" t="s">
        <v>63</v>
      </c>
      <c r="AL90" s="9" t="s">
        <v>64</v>
      </c>
      <c r="AM90" s="9" t="s">
        <v>63</v>
      </c>
      <c r="AN90" s="9" t="s">
        <v>63</v>
      </c>
      <c r="AO90" s="9" t="s">
        <v>63</v>
      </c>
      <c r="AP90" s="9" t="s">
        <v>63</v>
      </c>
      <c r="AQ90" s="9" t="s">
        <v>63</v>
      </c>
      <c r="AR90" s="9" t="s">
        <v>63</v>
      </c>
      <c r="AS90" s="5" t="s">
        <v>63</v>
      </c>
      <c r="AT90" s="9" t="s">
        <v>63</v>
      </c>
      <c r="AU90" s="9" t="s">
        <v>63</v>
      </c>
      <c r="AV90" s="9" t="s">
        <v>63</v>
      </c>
      <c r="AW90" s="9" t="s">
        <v>63</v>
      </c>
      <c r="AX90" s="5" t="s">
        <v>63</v>
      </c>
      <c r="AY90" s="9" t="s">
        <v>63</v>
      </c>
      <c r="AZ90" s="9" t="s">
        <v>63</v>
      </c>
      <c r="BA90" s="9" t="s">
        <v>63</v>
      </c>
      <c r="BB90" s="9" t="s">
        <v>63</v>
      </c>
      <c r="BC90" s="9" t="s">
        <v>63</v>
      </c>
      <c r="BD90" s="5" t="s">
        <v>64</v>
      </c>
      <c r="BE90" s="5" t="s">
        <v>64</v>
      </c>
      <c r="BM90" s="5" t="s">
        <v>64</v>
      </c>
      <c r="BU90" s="5" t="s">
        <v>64</v>
      </c>
    </row>
    <row r="91" spans="1:73">
      <c r="A91" s="1" t="str">
        <f t="shared" si="1"/>
        <v>Yes</v>
      </c>
      <c r="B91" s="1" t="s">
        <v>116</v>
      </c>
      <c r="C91" s="1" t="s">
        <v>238</v>
      </c>
      <c r="E91" s="1" t="s">
        <v>240</v>
      </c>
      <c r="G91" s="9" t="s">
        <v>64</v>
      </c>
      <c r="H91" s="9" t="s">
        <v>64</v>
      </c>
      <c r="I91" s="9" t="s">
        <v>64</v>
      </c>
      <c r="J91" s="9" t="s">
        <v>64</v>
      </c>
      <c r="K91" s="9" t="s">
        <v>64</v>
      </c>
      <c r="L91" s="9" t="s">
        <v>63</v>
      </c>
      <c r="M91" s="9" t="s">
        <v>64</v>
      </c>
      <c r="N91" s="9" t="s">
        <v>64</v>
      </c>
      <c r="O91" s="9" t="s">
        <v>64</v>
      </c>
      <c r="P91" s="9" t="s">
        <v>64</v>
      </c>
      <c r="Q91" s="9" t="s">
        <v>64</v>
      </c>
      <c r="R91" s="9" t="s">
        <v>63</v>
      </c>
      <c r="S91" s="9" t="s">
        <v>64</v>
      </c>
      <c r="T91" s="9" t="s">
        <v>63</v>
      </c>
      <c r="U91" s="9" t="s">
        <v>63</v>
      </c>
      <c r="V91" s="9" t="s">
        <v>64</v>
      </c>
      <c r="W91" s="9" t="s">
        <v>64</v>
      </c>
      <c r="X91" s="9" t="s">
        <v>64</v>
      </c>
      <c r="Y91" s="9" t="s">
        <v>64</v>
      </c>
      <c r="Z91" s="9" t="s">
        <v>63</v>
      </c>
      <c r="AA91" s="9" t="s">
        <v>63</v>
      </c>
      <c r="AB91" s="9" t="s">
        <v>63</v>
      </c>
      <c r="AC91" s="9" t="s">
        <v>63</v>
      </c>
      <c r="AD91" s="9" t="s">
        <v>63</v>
      </c>
      <c r="AE91" s="9" t="s">
        <v>63</v>
      </c>
      <c r="AF91" s="9" t="s">
        <v>63</v>
      </c>
      <c r="AG91" s="9" t="s">
        <v>63</v>
      </c>
      <c r="AH91" s="9" t="s">
        <v>63</v>
      </c>
      <c r="AI91" s="9" t="s">
        <v>63</v>
      </c>
      <c r="AJ91" s="15" t="s">
        <v>63</v>
      </c>
      <c r="AK91" s="9" t="s">
        <v>64</v>
      </c>
      <c r="AL91" s="9" t="s">
        <v>64</v>
      </c>
      <c r="AM91" s="9" t="s">
        <v>63</v>
      </c>
      <c r="AN91" s="9" t="s">
        <v>63</v>
      </c>
      <c r="AO91" s="9" t="s">
        <v>63</v>
      </c>
      <c r="AP91" s="9" t="s">
        <v>64</v>
      </c>
      <c r="AQ91" s="9" t="s">
        <v>64</v>
      </c>
      <c r="AR91" s="8" t="s">
        <v>64</v>
      </c>
      <c r="AS91" s="8" t="s">
        <v>64</v>
      </c>
      <c r="AT91" s="9" t="s">
        <v>63</v>
      </c>
      <c r="AU91" s="9" t="s">
        <v>63</v>
      </c>
      <c r="AV91" s="9" t="s">
        <v>63</v>
      </c>
      <c r="AW91" s="9"/>
      <c r="AX91" s="9" t="s">
        <v>64</v>
      </c>
      <c r="AY91" s="9" t="s">
        <v>63</v>
      </c>
      <c r="AZ91" s="9" t="s">
        <v>63</v>
      </c>
      <c r="BA91" s="9" t="s">
        <v>63</v>
      </c>
      <c r="BB91" s="9" t="s">
        <v>63</v>
      </c>
      <c r="BC91" s="5" t="s">
        <v>63</v>
      </c>
      <c r="BD91" s="5" t="s">
        <v>64</v>
      </c>
      <c r="BE91" s="5" t="s">
        <v>64</v>
      </c>
      <c r="BL91" s="5" t="s">
        <v>64</v>
      </c>
      <c r="BM91" s="5" t="s">
        <v>64</v>
      </c>
      <c r="BO91" s="5" t="s">
        <v>64</v>
      </c>
      <c r="BQ91" s="5"/>
      <c r="BR91" s="5" t="s">
        <v>64</v>
      </c>
      <c r="BU91" s="5" t="s">
        <v>64</v>
      </c>
    </row>
    <row r="92" spans="1:73">
      <c r="A92" s="1" t="str">
        <f t="shared" si="1"/>
        <v>Yes</v>
      </c>
      <c r="B92" s="1" t="s">
        <v>241</v>
      </c>
      <c r="C92" s="1" t="s">
        <v>242</v>
      </c>
      <c r="D92" s="11" t="s">
        <v>243</v>
      </c>
      <c r="E92" s="1" t="s">
        <v>244</v>
      </c>
      <c r="F92" s="2">
        <v>3</v>
      </c>
      <c r="G92" s="5" t="s">
        <v>63</v>
      </c>
      <c r="H92" s="5" t="s">
        <v>63</v>
      </c>
      <c r="I92" s="5" t="s">
        <v>63</v>
      </c>
      <c r="J92" s="5" t="s">
        <v>63</v>
      </c>
      <c r="K92" s="5" t="s">
        <v>63</v>
      </c>
      <c r="L92" s="5" t="s">
        <v>63</v>
      </c>
      <c r="M92" s="5" t="s">
        <v>64</v>
      </c>
      <c r="N92" s="5" t="s">
        <v>63</v>
      </c>
      <c r="O92" s="5" t="s">
        <v>63</v>
      </c>
      <c r="P92" s="5" t="s">
        <v>63</v>
      </c>
      <c r="Q92" s="5" t="s">
        <v>63</v>
      </c>
      <c r="R92" s="5" t="s">
        <v>63</v>
      </c>
      <c r="S92" s="5" t="s">
        <v>63</v>
      </c>
      <c r="T92" s="5" t="s">
        <v>63</v>
      </c>
      <c r="U92" s="5" t="s">
        <v>63</v>
      </c>
      <c r="V92" s="5" t="s">
        <v>64</v>
      </c>
      <c r="W92" s="5" t="s">
        <v>63</v>
      </c>
      <c r="X92" s="5" t="s">
        <v>63</v>
      </c>
      <c r="Y92" s="5" t="s">
        <v>63</v>
      </c>
      <c r="Z92" s="5" t="s">
        <v>63</v>
      </c>
      <c r="AA92" s="5" t="s">
        <v>63</v>
      </c>
      <c r="AB92" s="5" t="s">
        <v>63</v>
      </c>
      <c r="AC92" s="5" t="s">
        <v>63</v>
      </c>
      <c r="AD92" s="5" t="s">
        <v>63</v>
      </c>
      <c r="AE92" s="5" t="s">
        <v>63</v>
      </c>
      <c r="AF92" s="5" t="s">
        <v>63</v>
      </c>
      <c r="AG92" s="5" t="s">
        <v>63</v>
      </c>
      <c r="AH92" s="5" t="s">
        <v>63</v>
      </c>
      <c r="AI92" s="5" t="s">
        <v>63</v>
      </c>
      <c r="AJ92" s="14" t="s">
        <v>63</v>
      </c>
      <c r="AK92" s="5" t="s">
        <v>63</v>
      </c>
      <c r="AL92" s="5" t="s">
        <v>63</v>
      </c>
      <c r="AM92" s="5" t="s">
        <v>63</v>
      </c>
      <c r="AN92" s="5" t="s">
        <v>63</v>
      </c>
      <c r="AO92" s="5" t="s">
        <v>63</v>
      </c>
      <c r="AP92" s="5" t="s">
        <v>63</v>
      </c>
      <c r="AQ92" s="5" t="s">
        <v>63</v>
      </c>
      <c r="AR92" s="5" t="s">
        <v>63</v>
      </c>
      <c r="AS92" s="8" t="s">
        <v>63</v>
      </c>
      <c r="AT92" s="5" t="s">
        <v>63</v>
      </c>
      <c r="AU92" s="5" t="s">
        <v>63</v>
      </c>
      <c r="AV92" s="5" t="s">
        <v>63</v>
      </c>
      <c r="AW92" s="5" t="s">
        <v>63</v>
      </c>
      <c r="AX92" s="5" t="s">
        <v>63</v>
      </c>
      <c r="AY92" s="5" t="s">
        <v>63</v>
      </c>
      <c r="AZ92" s="5" t="s">
        <v>63</v>
      </c>
      <c r="BA92" s="5" t="s">
        <v>63</v>
      </c>
      <c r="BB92" s="5" t="s">
        <v>63</v>
      </c>
      <c r="BC92" s="5" t="s">
        <v>63</v>
      </c>
      <c r="BD92" s="5" t="s">
        <v>63</v>
      </c>
      <c r="BE92" s="5" t="s">
        <v>64</v>
      </c>
    </row>
    <row r="93" spans="1:73">
      <c r="A93" s="1" t="str">
        <f t="shared" si="1"/>
        <v>Yes</v>
      </c>
      <c r="B93" s="1" t="s">
        <v>241</v>
      </c>
      <c r="C93" s="1" t="s">
        <v>245</v>
      </c>
      <c r="D93" s="11" t="s">
        <v>77</v>
      </c>
      <c r="E93" s="1" t="s">
        <v>246</v>
      </c>
      <c r="F93" s="2">
        <v>3</v>
      </c>
      <c r="G93" s="5" t="s">
        <v>63</v>
      </c>
      <c r="H93" s="5" t="s">
        <v>63</v>
      </c>
      <c r="I93" s="5" t="s">
        <v>63</v>
      </c>
      <c r="J93" s="5" t="s">
        <v>63</v>
      </c>
      <c r="K93" s="5" t="s">
        <v>63</v>
      </c>
      <c r="L93" s="5" t="s">
        <v>63</v>
      </c>
      <c r="M93" s="5" t="s">
        <v>63</v>
      </c>
      <c r="N93" s="5" t="s">
        <v>63</v>
      </c>
      <c r="O93" s="5" t="s">
        <v>63</v>
      </c>
      <c r="P93" s="5" t="s">
        <v>63</v>
      </c>
      <c r="Q93" s="5" t="s">
        <v>63</v>
      </c>
      <c r="R93" s="5" t="s">
        <v>63</v>
      </c>
      <c r="S93" s="5" t="s">
        <v>63</v>
      </c>
      <c r="T93" s="5" t="s">
        <v>63</v>
      </c>
      <c r="U93" s="5" t="s">
        <v>63</v>
      </c>
      <c r="V93" s="5" t="s">
        <v>64</v>
      </c>
      <c r="W93" s="5" t="s">
        <v>63</v>
      </c>
      <c r="X93" s="5" t="s">
        <v>63</v>
      </c>
      <c r="Y93" s="5" t="s">
        <v>63</v>
      </c>
      <c r="Z93" s="5" t="s">
        <v>63</v>
      </c>
      <c r="AA93" s="5" t="s">
        <v>63</v>
      </c>
      <c r="AB93" s="5" t="s">
        <v>63</v>
      </c>
      <c r="AC93" s="5" t="s">
        <v>63</v>
      </c>
      <c r="AD93" s="5" t="s">
        <v>63</v>
      </c>
      <c r="AE93" s="5" t="s">
        <v>63</v>
      </c>
      <c r="AF93" s="5" t="s">
        <v>63</v>
      </c>
      <c r="AG93" s="5" t="s">
        <v>63</v>
      </c>
      <c r="AH93" s="5" t="s">
        <v>63</v>
      </c>
      <c r="AI93" s="5" t="s">
        <v>63</v>
      </c>
      <c r="AJ93" s="14" t="s">
        <v>63</v>
      </c>
      <c r="AK93" s="5" t="s">
        <v>63</v>
      </c>
      <c r="AL93" s="5" t="s">
        <v>63</v>
      </c>
      <c r="AM93" s="5" t="s">
        <v>63</v>
      </c>
      <c r="AN93" s="5" t="s">
        <v>63</v>
      </c>
      <c r="AO93" s="5" t="s">
        <v>63</v>
      </c>
      <c r="AP93" s="5" t="s">
        <v>63</v>
      </c>
      <c r="AQ93" s="5" t="s">
        <v>63</v>
      </c>
      <c r="AR93" s="5" t="s">
        <v>63</v>
      </c>
      <c r="AS93" s="8" t="s">
        <v>63</v>
      </c>
      <c r="AT93" s="5" t="s">
        <v>63</v>
      </c>
      <c r="AU93" s="5" t="s">
        <v>63</v>
      </c>
      <c r="AV93" s="5" t="s">
        <v>63</v>
      </c>
      <c r="AW93" s="5" t="s">
        <v>63</v>
      </c>
      <c r="AX93" s="5" t="s">
        <v>63</v>
      </c>
      <c r="AY93" s="5" t="s">
        <v>63</v>
      </c>
      <c r="AZ93" s="5" t="s">
        <v>63</v>
      </c>
      <c r="BA93" s="5" t="s">
        <v>63</v>
      </c>
      <c r="BB93" s="5" t="s">
        <v>63</v>
      </c>
      <c r="BC93" s="5" t="s">
        <v>63</v>
      </c>
      <c r="BD93" s="5" t="s">
        <v>63</v>
      </c>
      <c r="BE93" s="5" t="s">
        <v>64</v>
      </c>
    </row>
    <row r="94" spans="1:73">
      <c r="A94" s="1" t="str">
        <f t="shared" si="1"/>
        <v>Yes</v>
      </c>
      <c r="B94" s="1" t="s">
        <v>241</v>
      </c>
      <c r="C94" s="1" t="s">
        <v>247</v>
      </c>
      <c r="D94" s="11" t="s">
        <v>243</v>
      </c>
      <c r="E94" s="1" t="s">
        <v>248</v>
      </c>
      <c r="F94" s="2">
        <v>3</v>
      </c>
      <c r="G94" s="5" t="s">
        <v>63</v>
      </c>
      <c r="H94" s="5" t="s">
        <v>63</v>
      </c>
      <c r="I94" s="5" t="s">
        <v>63</v>
      </c>
      <c r="J94" s="5" t="s">
        <v>63</v>
      </c>
      <c r="K94" s="5" t="s">
        <v>63</v>
      </c>
      <c r="L94" s="5" t="s">
        <v>63</v>
      </c>
      <c r="M94" s="5" t="s">
        <v>64</v>
      </c>
      <c r="N94" s="5" t="s">
        <v>63</v>
      </c>
      <c r="O94" s="5" t="s">
        <v>63</v>
      </c>
      <c r="P94" s="5" t="s">
        <v>63</v>
      </c>
      <c r="Q94" s="5" t="s">
        <v>63</v>
      </c>
      <c r="R94" s="5" t="s">
        <v>63</v>
      </c>
      <c r="S94" s="5" t="s">
        <v>63</v>
      </c>
      <c r="T94" s="5" t="s">
        <v>63</v>
      </c>
      <c r="U94" s="5" t="s">
        <v>63</v>
      </c>
      <c r="V94" s="5" t="s">
        <v>64</v>
      </c>
      <c r="W94" s="5" t="s">
        <v>63</v>
      </c>
      <c r="X94" s="5" t="s">
        <v>63</v>
      </c>
      <c r="Y94" s="5" t="s">
        <v>63</v>
      </c>
      <c r="Z94" s="5" t="s">
        <v>63</v>
      </c>
      <c r="AA94" s="5" t="s">
        <v>63</v>
      </c>
      <c r="AB94" s="5" t="s">
        <v>63</v>
      </c>
      <c r="AC94" s="5" t="s">
        <v>63</v>
      </c>
      <c r="AD94" s="5" t="s">
        <v>64</v>
      </c>
      <c r="AE94" s="5" t="s">
        <v>63</v>
      </c>
      <c r="AF94" s="5" t="s">
        <v>63</v>
      </c>
      <c r="AG94" s="5" t="s">
        <v>63</v>
      </c>
      <c r="AH94" s="5" t="s">
        <v>63</v>
      </c>
      <c r="AI94" s="5" t="s">
        <v>63</v>
      </c>
      <c r="AJ94" s="14" t="s">
        <v>63</v>
      </c>
      <c r="AK94" s="5" t="s">
        <v>63</v>
      </c>
      <c r="AL94" s="5" t="s">
        <v>63</v>
      </c>
      <c r="AM94" s="5" t="s">
        <v>63</v>
      </c>
      <c r="AN94" s="5" t="s">
        <v>63</v>
      </c>
      <c r="AO94" s="5" t="s">
        <v>63</v>
      </c>
      <c r="AP94" s="5" t="s">
        <v>63</v>
      </c>
      <c r="AQ94" s="5" t="s">
        <v>63</v>
      </c>
      <c r="AR94" s="5" t="s">
        <v>63</v>
      </c>
      <c r="AS94" s="8" t="s">
        <v>63</v>
      </c>
      <c r="AT94" s="5" t="s">
        <v>63</v>
      </c>
      <c r="AU94" s="5" t="s">
        <v>63</v>
      </c>
      <c r="AV94" s="5" t="s">
        <v>63</v>
      </c>
      <c r="AW94" s="5" t="s">
        <v>63</v>
      </c>
      <c r="AX94" s="5" t="s">
        <v>63</v>
      </c>
      <c r="AY94" s="5" t="s">
        <v>63</v>
      </c>
      <c r="AZ94" s="5" t="s">
        <v>63</v>
      </c>
      <c r="BA94" s="5" t="s">
        <v>63</v>
      </c>
      <c r="BB94" s="5" t="s">
        <v>63</v>
      </c>
      <c r="BC94" s="5" t="s">
        <v>63</v>
      </c>
      <c r="BD94" s="5" t="s">
        <v>63</v>
      </c>
      <c r="BE94" s="5" t="s">
        <v>64</v>
      </c>
      <c r="BI94" s="5" t="s">
        <v>64</v>
      </c>
    </row>
    <row r="95" spans="1:73">
      <c r="A95" s="1" t="str">
        <f t="shared" si="1"/>
        <v>Yes</v>
      </c>
      <c r="B95" s="1" t="s">
        <v>241</v>
      </c>
      <c r="C95" s="1" t="s">
        <v>249</v>
      </c>
      <c r="D95" s="11" t="s">
        <v>243</v>
      </c>
      <c r="E95" s="1" t="s">
        <v>250</v>
      </c>
      <c r="F95" s="2">
        <v>1</v>
      </c>
      <c r="G95" s="5" t="s">
        <v>63</v>
      </c>
      <c r="H95" s="5" t="s">
        <v>63</v>
      </c>
      <c r="I95" s="5" t="s">
        <v>63</v>
      </c>
      <c r="J95" s="5" t="s">
        <v>63</v>
      </c>
      <c r="K95" s="5" t="s">
        <v>63</v>
      </c>
      <c r="L95" s="5" t="s">
        <v>63</v>
      </c>
      <c r="M95" s="5" t="s">
        <v>64</v>
      </c>
      <c r="N95" s="5" t="s">
        <v>63</v>
      </c>
      <c r="O95" s="5" t="s">
        <v>63</v>
      </c>
      <c r="P95" s="5" t="s">
        <v>63</v>
      </c>
      <c r="Q95" s="5" t="s">
        <v>63</v>
      </c>
      <c r="R95" s="5" t="s">
        <v>63</v>
      </c>
      <c r="S95" s="5" t="s">
        <v>63</v>
      </c>
      <c r="T95" s="5" t="s">
        <v>63</v>
      </c>
      <c r="U95" s="5" t="s">
        <v>63</v>
      </c>
      <c r="V95" s="5" t="s">
        <v>64</v>
      </c>
      <c r="W95" s="5" t="s">
        <v>63</v>
      </c>
      <c r="X95" s="5" t="s">
        <v>63</v>
      </c>
      <c r="Y95" s="5" t="s">
        <v>63</v>
      </c>
      <c r="Z95" s="5" t="s">
        <v>63</v>
      </c>
      <c r="AA95" s="5" t="s">
        <v>63</v>
      </c>
      <c r="AB95" s="5" t="s">
        <v>63</v>
      </c>
      <c r="AC95" s="5" t="s">
        <v>63</v>
      </c>
      <c r="AD95" s="5" t="s">
        <v>63</v>
      </c>
      <c r="AE95" s="5" t="s">
        <v>63</v>
      </c>
      <c r="AF95" s="5" t="s">
        <v>63</v>
      </c>
      <c r="AG95" s="5" t="s">
        <v>63</v>
      </c>
      <c r="AH95" s="5" t="s">
        <v>63</v>
      </c>
      <c r="AI95" s="5" t="s">
        <v>63</v>
      </c>
      <c r="AJ95" s="14" t="s">
        <v>63</v>
      </c>
      <c r="AK95" s="5" t="s">
        <v>63</v>
      </c>
      <c r="AL95" s="5" t="s">
        <v>63</v>
      </c>
      <c r="AM95" s="5" t="s">
        <v>63</v>
      </c>
      <c r="AN95" s="5" t="s">
        <v>63</v>
      </c>
      <c r="AO95" s="5" t="s">
        <v>63</v>
      </c>
      <c r="AP95" s="5" t="s">
        <v>63</v>
      </c>
      <c r="AQ95" s="5" t="s">
        <v>63</v>
      </c>
      <c r="AR95" s="5" t="s">
        <v>63</v>
      </c>
      <c r="AS95" s="8" t="s">
        <v>63</v>
      </c>
      <c r="AT95" s="5" t="s">
        <v>63</v>
      </c>
      <c r="AU95" s="5" t="s">
        <v>63</v>
      </c>
      <c r="AV95" s="5" t="s">
        <v>63</v>
      </c>
      <c r="AW95" s="5" t="s">
        <v>63</v>
      </c>
      <c r="AX95" s="5" t="s">
        <v>63</v>
      </c>
      <c r="AY95" s="5" t="s">
        <v>63</v>
      </c>
      <c r="AZ95" s="5" t="s">
        <v>63</v>
      </c>
      <c r="BA95" s="5" t="s">
        <v>63</v>
      </c>
      <c r="BB95" s="5" t="s">
        <v>63</v>
      </c>
      <c r="BC95" s="5" t="s">
        <v>63</v>
      </c>
      <c r="BD95" s="5" t="s">
        <v>63</v>
      </c>
      <c r="BE95" s="5" t="s">
        <v>64</v>
      </c>
    </row>
    <row r="96" spans="1:73">
      <c r="A96" s="1" t="str">
        <f t="shared" si="1"/>
        <v>Yes</v>
      </c>
      <c r="B96" s="1" t="s">
        <v>241</v>
      </c>
      <c r="C96" s="1" t="s">
        <v>251</v>
      </c>
      <c r="D96" s="11" t="s">
        <v>209</v>
      </c>
      <c r="E96" s="1" t="s">
        <v>252</v>
      </c>
      <c r="F96" s="2">
        <v>1</v>
      </c>
      <c r="G96" s="5" t="s">
        <v>63</v>
      </c>
      <c r="H96" s="5" t="s">
        <v>63</v>
      </c>
      <c r="I96" s="5" t="s">
        <v>63</v>
      </c>
      <c r="J96" s="5" t="s">
        <v>63</v>
      </c>
      <c r="K96" s="5" t="s">
        <v>63</v>
      </c>
      <c r="L96" s="5" t="s">
        <v>63</v>
      </c>
      <c r="M96" s="5" t="s">
        <v>64</v>
      </c>
      <c r="N96" s="5" t="s">
        <v>63</v>
      </c>
      <c r="O96" s="5" t="s">
        <v>63</v>
      </c>
      <c r="P96" s="5" t="s">
        <v>63</v>
      </c>
      <c r="Q96" s="5" t="s">
        <v>63</v>
      </c>
      <c r="R96" s="5" t="s">
        <v>63</v>
      </c>
      <c r="S96" s="5" t="s">
        <v>63</v>
      </c>
      <c r="T96" s="5" t="s">
        <v>63</v>
      </c>
      <c r="U96" s="5" t="s">
        <v>63</v>
      </c>
      <c r="V96" s="5" t="s">
        <v>63</v>
      </c>
      <c r="W96" s="5" t="s">
        <v>63</v>
      </c>
      <c r="X96" s="5" t="s">
        <v>63</v>
      </c>
      <c r="Y96" s="5" t="s">
        <v>63</v>
      </c>
      <c r="Z96" s="5" t="s">
        <v>63</v>
      </c>
      <c r="AA96" s="5" t="s">
        <v>63</v>
      </c>
      <c r="AB96" s="5" t="s">
        <v>63</v>
      </c>
      <c r="AC96" s="5" t="s">
        <v>63</v>
      </c>
      <c r="AD96" s="5" t="s">
        <v>63</v>
      </c>
      <c r="AE96" s="5" t="s">
        <v>63</v>
      </c>
      <c r="AF96" s="5" t="s">
        <v>63</v>
      </c>
      <c r="AG96" s="5" t="s">
        <v>63</v>
      </c>
      <c r="AH96" s="5" t="s">
        <v>63</v>
      </c>
      <c r="AI96" s="5" t="s">
        <v>63</v>
      </c>
      <c r="AJ96" s="14" t="s">
        <v>63</v>
      </c>
      <c r="AK96" s="5" t="s">
        <v>63</v>
      </c>
      <c r="AL96" s="5" t="s">
        <v>63</v>
      </c>
      <c r="AM96" s="5" t="s">
        <v>63</v>
      </c>
      <c r="AN96" s="5" t="s">
        <v>63</v>
      </c>
      <c r="AO96" s="5" t="s">
        <v>63</v>
      </c>
      <c r="AP96" s="5" t="s">
        <v>63</v>
      </c>
      <c r="AQ96" s="5" t="s">
        <v>63</v>
      </c>
      <c r="AR96" s="5" t="s">
        <v>63</v>
      </c>
      <c r="AS96" s="8" t="s">
        <v>63</v>
      </c>
      <c r="AT96" s="5" t="s">
        <v>63</v>
      </c>
      <c r="AU96" s="5" t="s">
        <v>63</v>
      </c>
      <c r="AV96" s="5" t="s">
        <v>63</v>
      </c>
      <c r="AW96" s="5" t="s">
        <v>63</v>
      </c>
      <c r="AX96" s="5" t="s">
        <v>63</v>
      </c>
      <c r="AY96" s="5" t="s">
        <v>63</v>
      </c>
      <c r="AZ96" s="5" t="s">
        <v>63</v>
      </c>
      <c r="BA96" s="5" t="s">
        <v>63</v>
      </c>
      <c r="BB96" s="5" t="s">
        <v>63</v>
      </c>
      <c r="BC96" s="5" t="s">
        <v>63</v>
      </c>
      <c r="BD96" s="5" t="s">
        <v>63</v>
      </c>
      <c r="BE96" s="5" t="s">
        <v>64</v>
      </c>
    </row>
    <row r="97" spans="1:67">
      <c r="A97" s="1" t="str">
        <f t="shared" si="1"/>
        <v>Yes</v>
      </c>
      <c r="B97" s="1" t="s">
        <v>241</v>
      </c>
      <c r="C97" s="1" t="s">
        <v>253</v>
      </c>
      <c r="D97" s="11" t="s">
        <v>209</v>
      </c>
      <c r="E97" s="1" t="s">
        <v>254</v>
      </c>
      <c r="F97" s="2">
        <v>1</v>
      </c>
      <c r="G97" s="5" t="s">
        <v>63</v>
      </c>
      <c r="H97" s="5" t="s">
        <v>63</v>
      </c>
      <c r="I97" s="5" t="s">
        <v>63</v>
      </c>
      <c r="J97" s="5" t="s">
        <v>63</v>
      </c>
      <c r="K97" s="5" t="s">
        <v>63</v>
      </c>
      <c r="L97" s="5" t="s">
        <v>63</v>
      </c>
      <c r="M97" s="5" t="s">
        <v>64</v>
      </c>
      <c r="N97" s="5" t="s">
        <v>63</v>
      </c>
      <c r="O97" s="5" t="s">
        <v>63</v>
      </c>
      <c r="P97" s="5" t="s">
        <v>63</v>
      </c>
      <c r="Q97" s="5" t="s">
        <v>63</v>
      </c>
      <c r="R97" s="5" t="s">
        <v>63</v>
      </c>
      <c r="S97" s="5" t="s">
        <v>63</v>
      </c>
      <c r="T97" s="5" t="s">
        <v>63</v>
      </c>
      <c r="U97" s="5" t="s">
        <v>63</v>
      </c>
      <c r="V97" s="5" t="s">
        <v>63</v>
      </c>
      <c r="W97" s="5" t="s">
        <v>63</v>
      </c>
      <c r="X97" s="5" t="s">
        <v>63</v>
      </c>
      <c r="Y97" s="5" t="s">
        <v>63</v>
      </c>
      <c r="Z97" s="5" t="s">
        <v>63</v>
      </c>
      <c r="AA97" s="5" t="s">
        <v>63</v>
      </c>
      <c r="AB97" s="5" t="s">
        <v>63</v>
      </c>
      <c r="AC97" s="5" t="s">
        <v>63</v>
      </c>
      <c r="AD97" s="5" t="s">
        <v>63</v>
      </c>
      <c r="AE97" s="5" t="s">
        <v>63</v>
      </c>
      <c r="AF97" s="5" t="s">
        <v>63</v>
      </c>
      <c r="AG97" s="5" t="s">
        <v>63</v>
      </c>
      <c r="AH97" s="5" t="s">
        <v>63</v>
      </c>
      <c r="AI97" s="5" t="s">
        <v>63</v>
      </c>
      <c r="AJ97" s="14" t="s">
        <v>63</v>
      </c>
      <c r="AK97" s="5" t="s">
        <v>63</v>
      </c>
      <c r="AL97" s="5" t="s">
        <v>63</v>
      </c>
      <c r="AM97" s="5" t="s">
        <v>63</v>
      </c>
      <c r="AN97" s="5" t="s">
        <v>63</v>
      </c>
      <c r="AO97" s="5" t="s">
        <v>63</v>
      </c>
      <c r="AP97" s="5" t="s">
        <v>63</v>
      </c>
      <c r="AQ97" s="5" t="s">
        <v>63</v>
      </c>
      <c r="AR97" s="5" t="s">
        <v>63</v>
      </c>
      <c r="AS97" s="8" t="s">
        <v>63</v>
      </c>
      <c r="AT97" s="5" t="s">
        <v>63</v>
      </c>
      <c r="AU97" s="5" t="s">
        <v>63</v>
      </c>
      <c r="AV97" s="5" t="s">
        <v>63</v>
      </c>
      <c r="AW97" s="5" t="s">
        <v>63</v>
      </c>
      <c r="AX97" s="5" t="s">
        <v>63</v>
      </c>
      <c r="AY97" s="5" t="s">
        <v>63</v>
      </c>
      <c r="AZ97" s="5" t="s">
        <v>63</v>
      </c>
      <c r="BA97" s="5" t="s">
        <v>63</v>
      </c>
      <c r="BB97" s="5" t="s">
        <v>63</v>
      </c>
      <c r="BC97" s="5" t="s">
        <v>63</v>
      </c>
      <c r="BD97" s="5" t="s">
        <v>63</v>
      </c>
      <c r="BE97" s="5" t="s">
        <v>64</v>
      </c>
    </row>
    <row r="98" spans="1:67">
      <c r="A98" s="1" t="str">
        <f t="shared" si="1"/>
        <v>Yes</v>
      </c>
      <c r="B98" s="1" t="s">
        <v>241</v>
      </c>
      <c r="C98" s="1" t="s">
        <v>255</v>
      </c>
      <c r="D98" s="11" t="s">
        <v>209</v>
      </c>
      <c r="E98" s="1" t="s">
        <v>256</v>
      </c>
      <c r="F98" s="2">
        <v>1</v>
      </c>
      <c r="G98" s="5" t="s">
        <v>63</v>
      </c>
      <c r="H98" s="5" t="s">
        <v>63</v>
      </c>
      <c r="I98" s="5" t="s">
        <v>63</v>
      </c>
      <c r="J98" s="5" t="s">
        <v>63</v>
      </c>
      <c r="K98" s="5" t="s">
        <v>63</v>
      </c>
      <c r="L98" s="5" t="s">
        <v>63</v>
      </c>
      <c r="M98" s="5" t="s">
        <v>64</v>
      </c>
      <c r="N98" s="5" t="s">
        <v>63</v>
      </c>
      <c r="O98" s="5" t="s">
        <v>63</v>
      </c>
      <c r="P98" s="5" t="s">
        <v>63</v>
      </c>
      <c r="Q98" s="5" t="s">
        <v>63</v>
      </c>
      <c r="R98" s="5" t="s">
        <v>63</v>
      </c>
      <c r="S98" s="5" t="s">
        <v>63</v>
      </c>
      <c r="T98" s="5" t="s">
        <v>63</v>
      </c>
      <c r="U98" s="5" t="s">
        <v>63</v>
      </c>
      <c r="V98" s="5" t="s">
        <v>64</v>
      </c>
      <c r="W98" s="5" t="s">
        <v>63</v>
      </c>
      <c r="X98" s="5" t="s">
        <v>63</v>
      </c>
      <c r="Y98" s="5" t="s">
        <v>63</v>
      </c>
      <c r="Z98" s="5" t="s">
        <v>63</v>
      </c>
      <c r="AA98" s="5" t="s">
        <v>63</v>
      </c>
      <c r="AB98" s="5" t="s">
        <v>63</v>
      </c>
      <c r="AC98" s="5" t="s">
        <v>63</v>
      </c>
      <c r="AD98" s="5" t="s">
        <v>63</v>
      </c>
      <c r="AE98" s="5" t="s">
        <v>63</v>
      </c>
      <c r="AF98" s="5" t="s">
        <v>63</v>
      </c>
      <c r="AG98" s="5" t="s">
        <v>63</v>
      </c>
      <c r="AH98" s="5" t="s">
        <v>63</v>
      </c>
      <c r="AI98" s="5" t="s">
        <v>63</v>
      </c>
      <c r="AJ98" s="14" t="s">
        <v>63</v>
      </c>
      <c r="AK98" s="5" t="s">
        <v>63</v>
      </c>
      <c r="AL98" s="5" t="s">
        <v>63</v>
      </c>
      <c r="AM98" s="5" t="s">
        <v>63</v>
      </c>
      <c r="AN98" s="5" t="s">
        <v>63</v>
      </c>
      <c r="AO98" s="5" t="s">
        <v>63</v>
      </c>
      <c r="AP98" s="5" t="s">
        <v>63</v>
      </c>
      <c r="AQ98" s="5" t="s">
        <v>63</v>
      </c>
      <c r="AR98" s="5" t="s">
        <v>63</v>
      </c>
      <c r="AS98" s="8" t="s">
        <v>63</v>
      </c>
      <c r="AT98" s="5" t="s">
        <v>63</v>
      </c>
      <c r="AU98" s="5" t="s">
        <v>63</v>
      </c>
      <c r="AV98" s="5" t="s">
        <v>63</v>
      </c>
      <c r="AW98" s="5" t="s">
        <v>63</v>
      </c>
      <c r="AX98" s="5" t="s">
        <v>63</v>
      </c>
      <c r="AY98" s="5" t="s">
        <v>63</v>
      </c>
      <c r="AZ98" s="5" t="s">
        <v>63</v>
      </c>
      <c r="BA98" s="5" t="s">
        <v>63</v>
      </c>
      <c r="BB98" s="5" t="s">
        <v>63</v>
      </c>
      <c r="BC98" s="5" t="s">
        <v>63</v>
      </c>
      <c r="BD98" s="5" t="s">
        <v>63</v>
      </c>
      <c r="BE98" s="5" t="s">
        <v>64</v>
      </c>
    </row>
    <row r="99" spans="1:67">
      <c r="A99" s="1" t="str">
        <f t="shared" si="1"/>
        <v>No</v>
      </c>
      <c r="B99" s="1" t="s">
        <v>59</v>
      </c>
      <c r="C99" s="1" t="s">
        <v>257</v>
      </c>
      <c r="D99" s="11" t="s">
        <v>209</v>
      </c>
      <c r="E99" s="1" t="s">
        <v>258</v>
      </c>
      <c r="F99" s="2">
        <v>3</v>
      </c>
      <c r="G99" s="5" t="s">
        <v>63</v>
      </c>
      <c r="H99" s="5" t="s">
        <v>63</v>
      </c>
      <c r="I99" s="5" t="s">
        <v>63</v>
      </c>
      <c r="J99" s="5" t="s">
        <v>63</v>
      </c>
      <c r="K99" s="5" t="s">
        <v>63</v>
      </c>
      <c r="L99" s="5" t="s">
        <v>63</v>
      </c>
      <c r="M99" s="5" t="s">
        <v>63</v>
      </c>
      <c r="N99" s="5" t="s">
        <v>63</v>
      </c>
      <c r="O99" s="5" t="s">
        <v>63</v>
      </c>
      <c r="P99" s="5" t="s">
        <v>63</v>
      </c>
      <c r="Q99" s="5" t="s">
        <v>63</v>
      </c>
      <c r="R99" s="5" t="s">
        <v>63</v>
      </c>
      <c r="S99" s="5" t="s">
        <v>63</v>
      </c>
      <c r="T99" s="5" t="s">
        <v>63</v>
      </c>
      <c r="U99" s="5" t="s">
        <v>63</v>
      </c>
      <c r="V99" s="5" t="s">
        <v>63</v>
      </c>
      <c r="W99" s="5" t="s">
        <v>63</v>
      </c>
      <c r="X99" s="5" t="s">
        <v>63</v>
      </c>
      <c r="Y99" s="5" t="s">
        <v>63</v>
      </c>
      <c r="Z99" s="5" t="s">
        <v>64</v>
      </c>
      <c r="AA99" s="5" t="s">
        <v>64</v>
      </c>
      <c r="AB99" s="5" t="s">
        <v>63</v>
      </c>
      <c r="AC99" s="5" t="s">
        <v>63</v>
      </c>
      <c r="AD99" s="5" t="s">
        <v>63</v>
      </c>
      <c r="AE99" s="5" t="s">
        <v>63</v>
      </c>
      <c r="AF99" s="5" t="s">
        <v>63</v>
      </c>
      <c r="AG99" s="5" t="s">
        <v>63</v>
      </c>
      <c r="AH99" s="5" t="s">
        <v>63</v>
      </c>
      <c r="AI99" s="5" t="s">
        <v>63</v>
      </c>
      <c r="AJ99" s="14" t="s">
        <v>63</v>
      </c>
      <c r="AK99" s="5" t="s">
        <v>63</v>
      </c>
      <c r="AL99" s="5" t="s">
        <v>63</v>
      </c>
      <c r="AM99" s="5" t="s">
        <v>63</v>
      </c>
      <c r="AN99" s="5" t="s">
        <v>63</v>
      </c>
      <c r="AO99" s="5" t="s">
        <v>63</v>
      </c>
      <c r="AP99" s="5" t="s">
        <v>63</v>
      </c>
      <c r="AQ99" s="5" t="s">
        <v>63</v>
      </c>
      <c r="AR99" s="5" t="s">
        <v>63</v>
      </c>
      <c r="AS99" s="8" t="s">
        <v>63</v>
      </c>
      <c r="AT99" s="5" t="s">
        <v>63</v>
      </c>
      <c r="AU99" s="5" t="s">
        <v>63</v>
      </c>
      <c r="AV99" s="5" t="s">
        <v>63</v>
      </c>
      <c r="AW99" s="5" t="s">
        <v>63</v>
      </c>
      <c r="AX99" s="5" t="s">
        <v>63</v>
      </c>
      <c r="AY99" s="5" t="s">
        <v>63</v>
      </c>
      <c r="AZ99" s="5" t="s">
        <v>63</v>
      </c>
      <c r="BA99" s="5" t="s">
        <v>63</v>
      </c>
      <c r="BB99" s="5" t="s">
        <v>63</v>
      </c>
      <c r="BC99" s="5" t="s">
        <v>63</v>
      </c>
      <c r="BD99" s="5" t="s">
        <v>63</v>
      </c>
      <c r="BF99" s="5" t="s">
        <v>64</v>
      </c>
    </row>
    <row r="100" spans="1:67">
      <c r="A100" s="1" t="str">
        <f t="shared" si="1"/>
        <v>No</v>
      </c>
      <c r="B100" s="1" t="s">
        <v>59</v>
      </c>
      <c r="C100" s="1" t="s">
        <v>259</v>
      </c>
      <c r="D100" s="11" t="s">
        <v>209</v>
      </c>
      <c r="E100" s="1" t="s">
        <v>260</v>
      </c>
      <c r="F100" s="2">
        <v>3</v>
      </c>
      <c r="G100" s="5" t="s">
        <v>63</v>
      </c>
      <c r="H100" s="5" t="s">
        <v>63</v>
      </c>
      <c r="I100" s="5" t="s">
        <v>63</v>
      </c>
      <c r="J100" s="5" t="s">
        <v>63</v>
      </c>
      <c r="K100" s="5" t="s">
        <v>63</v>
      </c>
      <c r="L100" s="5" t="s">
        <v>63</v>
      </c>
      <c r="M100" s="5" t="s">
        <v>64</v>
      </c>
      <c r="N100" s="5" t="s">
        <v>63</v>
      </c>
      <c r="O100" s="5" t="s">
        <v>63</v>
      </c>
      <c r="P100" s="5" t="s">
        <v>63</v>
      </c>
      <c r="Q100" s="5" t="s">
        <v>63</v>
      </c>
      <c r="R100" s="5" t="s">
        <v>63</v>
      </c>
      <c r="S100" s="5" t="s">
        <v>63</v>
      </c>
      <c r="T100" s="5" t="s">
        <v>63</v>
      </c>
      <c r="U100" s="5" t="s">
        <v>63</v>
      </c>
      <c r="V100" s="5" t="s">
        <v>64</v>
      </c>
      <c r="W100" s="5" t="s">
        <v>63</v>
      </c>
      <c r="X100" s="5" t="s">
        <v>63</v>
      </c>
      <c r="Y100" s="5" t="s">
        <v>63</v>
      </c>
      <c r="Z100" s="5" t="s">
        <v>63</v>
      </c>
      <c r="AA100" s="5" t="s">
        <v>63</v>
      </c>
      <c r="AB100" s="5" t="s">
        <v>63</v>
      </c>
      <c r="AC100" s="5" t="s">
        <v>63</v>
      </c>
      <c r="AD100" s="5" t="s">
        <v>64</v>
      </c>
      <c r="AE100" s="5" t="s">
        <v>63</v>
      </c>
      <c r="AF100" s="5" t="s">
        <v>63</v>
      </c>
      <c r="AG100" s="5" t="s">
        <v>63</v>
      </c>
      <c r="AH100" s="5" t="s">
        <v>63</v>
      </c>
      <c r="AI100" s="5" t="s">
        <v>63</v>
      </c>
      <c r="AJ100" s="14" t="s">
        <v>63</v>
      </c>
      <c r="AK100" s="5" t="s">
        <v>63</v>
      </c>
      <c r="AL100" s="5" t="s">
        <v>63</v>
      </c>
      <c r="AM100" s="5" t="s">
        <v>63</v>
      </c>
      <c r="AN100" s="5" t="s">
        <v>63</v>
      </c>
      <c r="AO100" s="5" t="s">
        <v>63</v>
      </c>
      <c r="AP100" s="5" t="s">
        <v>63</v>
      </c>
      <c r="AQ100" s="5" t="s">
        <v>63</v>
      </c>
      <c r="AR100" s="5" t="s">
        <v>63</v>
      </c>
      <c r="AS100" s="8" t="s">
        <v>63</v>
      </c>
      <c r="AT100" s="5" t="s">
        <v>63</v>
      </c>
      <c r="AU100" s="5" t="s">
        <v>63</v>
      </c>
      <c r="AV100" s="5" t="s">
        <v>63</v>
      </c>
      <c r="AW100" s="5" t="s">
        <v>63</v>
      </c>
      <c r="AX100" s="5" t="s">
        <v>63</v>
      </c>
      <c r="AY100" s="5" t="s">
        <v>63</v>
      </c>
      <c r="AZ100" s="5" t="s">
        <v>63</v>
      </c>
      <c r="BA100" s="5" t="s">
        <v>63</v>
      </c>
      <c r="BB100" s="5" t="s">
        <v>63</v>
      </c>
      <c r="BC100" s="5" t="s">
        <v>63</v>
      </c>
      <c r="BD100" s="5" t="s">
        <v>63</v>
      </c>
      <c r="BE100" s="5" t="s">
        <v>64</v>
      </c>
      <c r="BI100" s="5" t="s">
        <v>64</v>
      </c>
    </row>
    <row r="101" spans="1:67">
      <c r="A101" s="1" t="str">
        <f t="shared" si="1"/>
        <v>Yes</v>
      </c>
      <c r="B101" s="1" t="s">
        <v>241</v>
      </c>
      <c r="C101" s="1" t="s">
        <v>261</v>
      </c>
      <c r="D101" s="11" t="s">
        <v>77</v>
      </c>
      <c r="E101" s="1" t="s">
        <v>262</v>
      </c>
      <c r="F101" s="2">
        <v>3</v>
      </c>
      <c r="G101" s="5" t="s">
        <v>63</v>
      </c>
      <c r="H101" s="5" t="s">
        <v>63</v>
      </c>
      <c r="I101" s="5" t="s">
        <v>63</v>
      </c>
      <c r="J101" s="5" t="s">
        <v>63</v>
      </c>
      <c r="K101" s="5" t="s">
        <v>63</v>
      </c>
      <c r="L101" s="5" t="s">
        <v>63</v>
      </c>
      <c r="M101" s="5" t="s">
        <v>63</v>
      </c>
      <c r="N101" s="5" t="s">
        <v>63</v>
      </c>
      <c r="O101" s="5" t="s">
        <v>63</v>
      </c>
      <c r="P101" s="5" t="s">
        <v>63</v>
      </c>
      <c r="Q101" s="5" t="s">
        <v>63</v>
      </c>
      <c r="R101" s="5" t="s">
        <v>63</v>
      </c>
      <c r="S101" s="5" t="s">
        <v>63</v>
      </c>
      <c r="T101" s="5" t="s">
        <v>63</v>
      </c>
      <c r="U101" s="5" t="s">
        <v>63</v>
      </c>
      <c r="V101" s="5" t="s">
        <v>64</v>
      </c>
      <c r="W101" s="5" t="s">
        <v>63</v>
      </c>
      <c r="X101" s="5" t="s">
        <v>63</v>
      </c>
      <c r="Y101" s="5" t="s">
        <v>63</v>
      </c>
      <c r="Z101" s="5" t="s">
        <v>63</v>
      </c>
      <c r="AA101" s="5" t="s">
        <v>63</v>
      </c>
      <c r="AB101" s="5" t="s">
        <v>63</v>
      </c>
      <c r="AC101" s="5" t="s">
        <v>63</v>
      </c>
      <c r="AD101" s="5" t="s">
        <v>63</v>
      </c>
      <c r="AE101" s="5" t="s">
        <v>63</v>
      </c>
      <c r="AF101" s="5" t="s">
        <v>64</v>
      </c>
      <c r="AG101" s="5" t="s">
        <v>63</v>
      </c>
      <c r="AH101" s="5" t="s">
        <v>63</v>
      </c>
      <c r="AI101" s="5" t="s">
        <v>63</v>
      </c>
      <c r="AJ101" s="14" t="s">
        <v>63</v>
      </c>
      <c r="AK101" s="5" t="s">
        <v>63</v>
      </c>
      <c r="AL101" s="5" t="s">
        <v>63</v>
      </c>
      <c r="AM101" s="5" t="s">
        <v>63</v>
      </c>
      <c r="AN101" s="5" t="s">
        <v>63</v>
      </c>
      <c r="AO101" s="5" t="s">
        <v>64</v>
      </c>
      <c r="AP101" s="5" t="s">
        <v>63</v>
      </c>
      <c r="AQ101" s="5" t="s">
        <v>63</v>
      </c>
      <c r="AR101" s="5" t="s">
        <v>63</v>
      </c>
      <c r="AS101" s="8" t="s">
        <v>63</v>
      </c>
      <c r="AT101" s="5" t="s">
        <v>63</v>
      </c>
      <c r="AU101" s="5" t="s">
        <v>63</v>
      </c>
      <c r="AV101" s="5" t="s">
        <v>63</v>
      </c>
      <c r="AW101" s="5" t="s">
        <v>63</v>
      </c>
      <c r="AX101" s="5" t="s">
        <v>63</v>
      </c>
      <c r="AY101" s="5" t="s">
        <v>63</v>
      </c>
      <c r="AZ101" s="5" t="s">
        <v>63</v>
      </c>
      <c r="BA101" s="5" t="s">
        <v>63</v>
      </c>
      <c r="BB101" s="5" t="s">
        <v>63</v>
      </c>
      <c r="BC101" s="5" t="s">
        <v>63</v>
      </c>
      <c r="BD101" s="5" t="s">
        <v>63</v>
      </c>
      <c r="BE101" s="5" t="s">
        <v>64</v>
      </c>
      <c r="BI101" s="5" t="s">
        <v>64</v>
      </c>
      <c r="BN101" s="5" t="s">
        <v>64</v>
      </c>
    </row>
    <row r="102" spans="1:67">
      <c r="A102" s="1" t="str">
        <f t="shared" si="1"/>
        <v>Yes</v>
      </c>
      <c r="B102" s="1" t="s">
        <v>241</v>
      </c>
      <c r="C102" s="1" t="s">
        <v>263</v>
      </c>
      <c r="D102" s="11" t="s">
        <v>209</v>
      </c>
      <c r="E102" s="1" t="s">
        <v>264</v>
      </c>
      <c r="F102" s="2">
        <v>1</v>
      </c>
      <c r="G102" s="5" t="s">
        <v>63</v>
      </c>
      <c r="H102" s="5" t="s">
        <v>63</v>
      </c>
      <c r="I102" s="5" t="s">
        <v>63</v>
      </c>
      <c r="J102" s="5" t="s">
        <v>63</v>
      </c>
      <c r="K102" s="5" t="s">
        <v>63</v>
      </c>
      <c r="L102" s="5" t="s">
        <v>63</v>
      </c>
      <c r="M102" s="5" t="s">
        <v>64</v>
      </c>
      <c r="N102" s="5" t="s">
        <v>63</v>
      </c>
      <c r="O102" s="5" t="s">
        <v>63</v>
      </c>
      <c r="P102" s="5" t="s">
        <v>63</v>
      </c>
      <c r="Q102" s="5" t="s">
        <v>63</v>
      </c>
      <c r="R102" s="5" t="s">
        <v>63</v>
      </c>
      <c r="S102" s="5" t="s">
        <v>63</v>
      </c>
      <c r="T102" s="5" t="s">
        <v>63</v>
      </c>
      <c r="U102" s="5" t="s">
        <v>63</v>
      </c>
      <c r="V102" s="5" t="s">
        <v>64</v>
      </c>
      <c r="W102" s="5" t="s">
        <v>63</v>
      </c>
      <c r="X102" s="5" t="s">
        <v>63</v>
      </c>
      <c r="Y102" s="5" t="s">
        <v>63</v>
      </c>
      <c r="Z102" s="5" t="s">
        <v>63</v>
      </c>
      <c r="AA102" s="5" t="s">
        <v>63</v>
      </c>
      <c r="AB102" s="5" t="s">
        <v>63</v>
      </c>
      <c r="AC102" s="5" t="s">
        <v>63</v>
      </c>
      <c r="AD102" s="5" t="s">
        <v>63</v>
      </c>
      <c r="AE102" s="5" t="s">
        <v>63</v>
      </c>
      <c r="AF102" s="5" t="s">
        <v>63</v>
      </c>
      <c r="AG102" s="5" t="s">
        <v>63</v>
      </c>
      <c r="AH102" s="5" t="s">
        <v>63</v>
      </c>
      <c r="AI102" s="5" t="s">
        <v>63</v>
      </c>
      <c r="AJ102" s="14" t="s">
        <v>63</v>
      </c>
      <c r="AK102" s="5" t="s">
        <v>63</v>
      </c>
      <c r="AL102" s="5" t="s">
        <v>63</v>
      </c>
      <c r="AM102" s="5" t="s">
        <v>63</v>
      </c>
      <c r="AN102" s="5" t="s">
        <v>63</v>
      </c>
      <c r="AO102" s="5" t="s">
        <v>63</v>
      </c>
      <c r="AP102" s="5" t="s">
        <v>63</v>
      </c>
      <c r="AQ102" s="5" t="s">
        <v>63</v>
      </c>
      <c r="AR102" s="5" t="s">
        <v>63</v>
      </c>
      <c r="AS102" s="8" t="s">
        <v>63</v>
      </c>
      <c r="AT102" s="5" t="s">
        <v>63</v>
      </c>
      <c r="AU102" s="5" t="s">
        <v>63</v>
      </c>
      <c r="AV102" s="5" t="s">
        <v>63</v>
      </c>
      <c r="AW102" s="5" t="s">
        <v>63</v>
      </c>
      <c r="AX102" s="5" t="s">
        <v>63</v>
      </c>
      <c r="AY102" s="5" t="s">
        <v>63</v>
      </c>
      <c r="AZ102" s="5" t="s">
        <v>63</v>
      </c>
      <c r="BA102" s="5" t="s">
        <v>63</v>
      </c>
      <c r="BB102" s="5" t="s">
        <v>63</v>
      </c>
      <c r="BC102" s="5" t="s">
        <v>63</v>
      </c>
      <c r="BD102" s="5" t="s">
        <v>63</v>
      </c>
      <c r="BE102" s="5" t="s">
        <v>64</v>
      </c>
    </row>
    <row r="103" spans="1:67">
      <c r="A103" s="1" t="str">
        <f t="shared" si="1"/>
        <v>Yes</v>
      </c>
      <c r="B103" s="1" t="s">
        <v>241</v>
      </c>
      <c r="C103" s="1" t="s">
        <v>265</v>
      </c>
      <c r="D103" s="11" t="s">
        <v>209</v>
      </c>
      <c r="E103" s="1" t="s">
        <v>266</v>
      </c>
      <c r="F103" s="2">
        <v>3</v>
      </c>
      <c r="G103" s="5" t="s">
        <v>63</v>
      </c>
      <c r="H103" s="5" t="s">
        <v>63</v>
      </c>
      <c r="I103" s="5" t="s">
        <v>63</v>
      </c>
      <c r="J103" s="5" t="s">
        <v>63</v>
      </c>
      <c r="K103" s="5" t="s">
        <v>63</v>
      </c>
      <c r="L103" s="5" t="s">
        <v>63</v>
      </c>
      <c r="M103" s="5" t="s">
        <v>64</v>
      </c>
      <c r="N103" s="5" t="s">
        <v>63</v>
      </c>
      <c r="O103" s="5" t="s">
        <v>63</v>
      </c>
      <c r="P103" s="5" t="s">
        <v>63</v>
      </c>
      <c r="Q103" s="5" t="s">
        <v>63</v>
      </c>
      <c r="R103" s="5" t="s">
        <v>63</v>
      </c>
      <c r="S103" s="5" t="s">
        <v>63</v>
      </c>
      <c r="T103" s="5" t="s">
        <v>63</v>
      </c>
      <c r="U103" s="5" t="s">
        <v>63</v>
      </c>
      <c r="V103" s="5" t="s">
        <v>64</v>
      </c>
      <c r="W103" s="5" t="s">
        <v>63</v>
      </c>
      <c r="X103" s="5" t="s">
        <v>63</v>
      </c>
      <c r="Y103" s="5" t="s">
        <v>63</v>
      </c>
      <c r="Z103" s="5" t="s">
        <v>63</v>
      </c>
      <c r="AA103" s="5" t="s">
        <v>63</v>
      </c>
      <c r="AB103" s="5" t="s">
        <v>63</v>
      </c>
      <c r="AC103" s="5" t="s">
        <v>63</v>
      </c>
      <c r="AD103" s="5" t="s">
        <v>63</v>
      </c>
      <c r="AE103" s="5" t="s">
        <v>63</v>
      </c>
      <c r="AF103" s="5" t="s">
        <v>63</v>
      </c>
      <c r="AG103" s="5" t="s">
        <v>63</v>
      </c>
      <c r="AH103" s="5" t="s">
        <v>63</v>
      </c>
      <c r="AI103" s="5" t="s">
        <v>63</v>
      </c>
      <c r="AJ103" s="14" t="s">
        <v>63</v>
      </c>
      <c r="AK103" s="5" t="s">
        <v>63</v>
      </c>
      <c r="AL103" s="5" t="s">
        <v>63</v>
      </c>
      <c r="AM103" s="5" t="s">
        <v>63</v>
      </c>
      <c r="AN103" s="5" t="s">
        <v>63</v>
      </c>
      <c r="AO103" s="5" t="s">
        <v>63</v>
      </c>
      <c r="AP103" s="5" t="s">
        <v>63</v>
      </c>
      <c r="AQ103" s="5" t="s">
        <v>63</v>
      </c>
      <c r="AR103" s="5" t="s">
        <v>63</v>
      </c>
      <c r="AS103" s="8" t="s">
        <v>63</v>
      </c>
      <c r="AT103" s="5" t="s">
        <v>63</v>
      </c>
      <c r="AU103" s="5" t="s">
        <v>63</v>
      </c>
      <c r="AV103" s="5" t="s">
        <v>63</v>
      </c>
      <c r="AW103" s="5" t="s">
        <v>63</v>
      </c>
      <c r="AX103" s="5" t="s">
        <v>63</v>
      </c>
      <c r="AY103" s="5" t="s">
        <v>63</v>
      </c>
      <c r="AZ103" s="5" t="s">
        <v>63</v>
      </c>
      <c r="BA103" s="5" t="s">
        <v>63</v>
      </c>
      <c r="BB103" s="5" t="s">
        <v>63</v>
      </c>
      <c r="BC103" s="5" t="s">
        <v>63</v>
      </c>
      <c r="BD103" s="5" t="s">
        <v>63</v>
      </c>
      <c r="BE103" s="5" t="s">
        <v>64</v>
      </c>
    </row>
    <row r="104" spans="1:67">
      <c r="A104" s="1" t="str">
        <f t="shared" si="1"/>
        <v>Yes</v>
      </c>
      <c r="B104" s="1" t="s">
        <v>241</v>
      </c>
      <c r="C104" s="1" t="s">
        <v>70</v>
      </c>
      <c r="D104" s="11" t="s">
        <v>209</v>
      </c>
      <c r="E104" s="1" t="s">
        <v>267</v>
      </c>
      <c r="F104" s="2" t="s">
        <v>63</v>
      </c>
      <c r="G104" s="5" t="s">
        <v>63</v>
      </c>
      <c r="H104" s="5" t="s">
        <v>63</v>
      </c>
      <c r="I104" s="5" t="s">
        <v>63</v>
      </c>
      <c r="J104" s="5" t="s">
        <v>63</v>
      </c>
      <c r="K104" s="5" t="s">
        <v>63</v>
      </c>
      <c r="L104" s="5" t="s">
        <v>63</v>
      </c>
      <c r="M104" s="5" t="s">
        <v>63</v>
      </c>
      <c r="N104" s="5" t="s">
        <v>63</v>
      </c>
      <c r="O104" s="5" t="s">
        <v>63</v>
      </c>
      <c r="P104" s="5" t="s">
        <v>63</v>
      </c>
      <c r="Q104" s="5" t="s">
        <v>63</v>
      </c>
      <c r="R104" s="5" t="s">
        <v>63</v>
      </c>
      <c r="S104" s="5" t="s">
        <v>63</v>
      </c>
      <c r="T104" s="5" t="s">
        <v>63</v>
      </c>
      <c r="U104" s="5" t="s">
        <v>63</v>
      </c>
      <c r="V104" s="5" t="s">
        <v>63</v>
      </c>
      <c r="W104" s="5" t="s">
        <v>64</v>
      </c>
      <c r="X104" s="5" t="s">
        <v>63</v>
      </c>
      <c r="Y104" s="5" t="s">
        <v>63</v>
      </c>
      <c r="Z104" s="5" t="s">
        <v>63</v>
      </c>
      <c r="AA104" s="5" t="s">
        <v>63</v>
      </c>
      <c r="AB104" s="5" t="s">
        <v>63</v>
      </c>
      <c r="AC104" s="5" t="s">
        <v>63</v>
      </c>
      <c r="AD104" s="5" t="s">
        <v>64</v>
      </c>
      <c r="AE104" s="5" t="s">
        <v>63</v>
      </c>
      <c r="AF104" s="5" t="s">
        <v>63</v>
      </c>
      <c r="AG104" s="5" t="s">
        <v>63</v>
      </c>
      <c r="AH104" s="5" t="s">
        <v>63</v>
      </c>
      <c r="AI104" s="5" t="s">
        <v>63</v>
      </c>
      <c r="AJ104" s="14" t="s">
        <v>63</v>
      </c>
      <c r="AK104" s="5" t="s">
        <v>63</v>
      </c>
      <c r="AL104" s="5" t="s">
        <v>63</v>
      </c>
      <c r="AM104" s="5" t="s">
        <v>63</v>
      </c>
      <c r="AN104" s="5" t="s">
        <v>63</v>
      </c>
      <c r="AO104" s="5" t="s">
        <v>63</v>
      </c>
      <c r="AP104" s="5" t="s">
        <v>64</v>
      </c>
      <c r="AQ104" s="5" t="s">
        <v>63</v>
      </c>
      <c r="AR104" s="5" t="s">
        <v>64</v>
      </c>
      <c r="AS104" s="8" t="s">
        <v>63</v>
      </c>
      <c r="AT104" s="5" t="s">
        <v>63</v>
      </c>
      <c r="AU104" s="5" t="s">
        <v>63</v>
      </c>
      <c r="AV104" s="5" t="s">
        <v>63</v>
      </c>
      <c r="AW104" s="5" t="s">
        <v>63</v>
      </c>
      <c r="AX104" s="5" t="s">
        <v>63</v>
      </c>
      <c r="AY104" s="5" t="s">
        <v>63</v>
      </c>
      <c r="AZ104" s="5" t="s">
        <v>63</v>
      </c>
      <c r="BA104" s="5" t="s">
        <v>268</v>
      </c>
      <c r="BB104" s="5" t="s">
        <v>63</v>
      </c>
      <c r="BC104" s="5" t="s">
        <v>63</v>
      </c>
      <c r="BD104" s="5" t="s">
        <v>63</v>
      </c>
      <c r="BE104" s="5" t="s">
        <v>64</v>
      </c>
      <c r="BI104" s="5" t="s">
        <v>64</v>
      </c>
      <c r="BO104" s="5" t="s">
        <v>64</v>
      </c>
    </row>
    <row r="105" spans="1:67">
      <c r="A105" s="1" t="str">
        <f t="shared" si="1"/>
        <v>Yes</v>
      </c>
      <c r="B105" s="1" t="s">
        <v>241</v>
      </c>
      <c r="C105" s="1" t="s">
        <v>70</v>
      </c>
      <c r="D105" s="11" t="s">
        <v>209</v>
      </c>
      <c r="E105" s="1" t="s">
        <v>269</v>
      </c>
      <c r="F105" s="2" t="s">
        <v>63</v>
      </c>
      <c r="G105" s="5" t="s">
        <v>63</v>
      </c>
      <c r="H105" s="5" t="s">
        <v>63</v>
      </c>
      <c r="I105" s="5" t="s">
        <v>63</v>
      </c>
      <c r="J105" s="5" t="s">
        <v>63</v>
      </c>
      <c r="K105" s="5" t="s">
        <v>63</v>
      </c>
      <c r="L105" s="5" t="s">
        <v>63</v>
      </c>
      <c r="M105" s="5" t="s">
        <v>64</v>
      </c>
      <c r="N105" s="5" t="s">
        <v>63</v>
      </c>
      <c r="O105" s="5" t="s">
        <v>63</v>
      </c>
      <c r="P105" s="5" t="s">
        <v>63</v>
      </c>
      <c r="Q105" s="5" t="s">
        <v>63</v>
      </c>
      <c r="R105" s="5" t="s">
        <v>63</v>
      </c>
      <c r="S105" s="5" t="s">
        <v>63</v>
      </c>
      <c r="T105" s="5" t="s">
        <v>63</v>
      </c>
      <c r="U105" s="5" t="s">
        <v>63</v>
      </c>
      <c r="V105" s="5" t="s">
        <v>64</v>
      </c>
      <c r="W105" s="5" t="s">
        <v>63</v>
      </c>
      <c r="X105" s="5" t="s">
        <v>63</v>
      </c>
      <c r="Y105" s="5" t="s">
        <v>63</v>
      </c>
      <c r="Z105" s="5" t="s">
        <v>63</v>
      </c>
      <c r="AA105" s="5" t="s">
        <v>63</v>
      </c>
      <c r="AB105" s="5" t="s">
        <v>63</v>
      </c>
      <c r="AC105" s="5" t="s">
        <v>63</v>
      </c>
      <c r="AD105" s="5" t="s">
        <v>63</v>
      </c>
      <c r="AE105" s="5" t="s">
        <v>63</v>
      </c>
      <c r="AF105" s="5" t="s">
        <v>63</v>
      </c>
      <c r="AG105" s="5" t="s">
        <v>63</v>
      </c>
      <c r="AH105" s="5" t="s">
        <v>63</v>
      </c>
      <c r="AI105" s="5" t="s">
        <v>63</v>
      </c>
      <c r="AJ105" s="14" t="s">
        <v>63</v>
      </c>
      <c r="AK105" s="5" t="s">
        <v>63</v>
      </c>
      <c r="AL105" s="5" t="s">
        <v>63</v>
      </c>
      <c r="AM105" s="5" t="s">
        <v>63</v>
      </c>
      <c r="AN105" s="5" t="s">
        <v>63</v>
      </c>
      <c r="AO105" s="5" t="s">
        <v>63</v>
      </c>
      <c r="AP105" s="5" t="s">
        <v>63</v>
      </c>
      <c r="AQ105" s="5" t="s">
        <v>63</v>
      </c>
      <c r="AR105" s="5" t="s">
        <v>63</v>
      </c>
      <c r="AS105" s="8" t="s">
        <v>63</v>
      </c>
      <c r="AT105" s="5" t="s">
        <v>63</v>
      </c>
      <c r="AU105" s="5" t="s">
        <v>63</v>
      </c>
      <c r="AV105" s="5" t="s">
        <v>63</v>
      </c>
      <c r="AW105" s="5" t="s">
        <v>63</v>
      </c>
      <c r="AX105" s="5" t="s">
        <v>63</v>
      </c>
      <c r="AY105" s="5" t="s">
        <v>63</v>
      </c>
      <c r="AZ105" s="5" t="s">
        <v>63</v>
      </c>
      <c r="BA105" s="5" t="s">
        <v>63</v>
      </c>
      <c r="BB105" s="5" t="s">
        <v>63</v>
      </c>
      <c r="BC105" s="5" t="s">
        <v>63</v>
      </c>
      <c r="BD105" s="5" t="s">
        <v>63</v>
      </c>
      <c r="BE105" s="5" t="s">
        <v>64</v>
      </c>
    </row>
    <row r="106" spans="1:67">
      <c r="A106" s="1" t="str">
        <f t="shared" si="1"/>
        <v>No</v>
      </c>
      <c r="B106" s="1" t="s">
        <v>59</v>
      </c>
      <c r="C106" s="1" t="s">
        <v>70</v>
      </c>
      <c r="D106" s="11" t="s">
        <v>209</v>
      </c>
      <c r="E106" s="1" t="s">
        <v>270</v>
      </c>
      <c r="F106" s="2" t="s">
        <v>63</v>
      </c>
      <c r="G106" s="5" t="s">
        <v>63</v>
      </c>
      <c r="H106" s="5" t="s">
        <v>63</v>
      </c>
      <c r="I106" s="5" t="s">
        <v>63</v>
      </c>
      <c r="J106" s="5" t="s">
        <v>63</v>
      </c>
      <c r="K106" s="5" t="s">
        <v>63</v>
      </c>
      <c r="L106" s="5" t="s">
        <v>63</v>
      </c>
      <c r="M106" s="5" t="s">
        <v>64</v>
      </c>
      <c r="N106" s="5" t="s">
        <v>63</v>
      </c>
      <c r="O106" s="5" t="s">
        <v>63</v>
      </c>
      <c r="P106" s="5" t="s">
        <v>63</v>
      </c>
      <c r="Q106" s="5" t="s">
        <v>63</v>
      </c>
      <c r="R106" s="5" t="s">
        <v>63</v>
      </c>
      <c r="S106" s="5" t="s">
        <v>63</v>
      </c>
      <c r="T106" s="5" t="s">
        <v>63</v>
      </c>
      <c r="U106" s="5" t="s">
        <v>63</v>
      </c>
      <c r="V106" s="5" t="s">
        <v>63</v>
      </c>
      <c r="W106" s="5" t="s">
        <v>63</v>
      </c>
      <c r="X106" s="5" t="s">
        <v>63</v>
      </c>
      <c r="Y106" s="5" t="s">
        <v>63</v>
      </c>
      <c r="Z106" s="5" t="s">
        <v>63</v>
      </c>
      <c r="AA106" s="5" t="s">
        <v>63</v>
      </c>
      <c r="AB106" s="5" t="s">
        <v>63</v>
      </c>
      <c r="AC106" s="5" t="s">
        <v>63</v>
      </c>
      <c r="AD106" s="5" t="s">
        <v>63</v>
      </c>
      <c r="AE106" s="5" t="s">
        <v>63</v>
      </c>
      <c r="AF106" s="5" t="s">
        <v>63</v>
      </c>
      <c r="AG106" s="5" t="s">
        <v>63</v>
      </c>
      <c r="AH106" s="5" t="s">
        <v>63</v>
      </c>
      <c r="AI106" s="5" t="s">
        <v>63</v>
      </c>
      <c r="AJ106" s="14" t="s">
        <v>63</v>
      </c>
      <c r="AK106" s="5" t="s">
        <v>63</v>
      </c>
      <c r="AL106" s="5" t="s">
        <v>63</v>
      </c>
      <c r="AM106" s="5" t="s">
        <v>63</v>
      </c>
      <c r="AN106" s="5" t="s">
        <v>63</v>
      </c>
      <c r="AO106" s="5" t="s">
        <v>63</v>
      </c>
      <c r="AP106" s="5" t="s">
        <v>63</v>
      </c>
      <c r="AQ106" s="5" t="s">
        <v>63</v>
      </c>
      <c r="AR106" s="5" t="s">
        <v>63</v>
      </c>
      <c r="AS106" s="8" t="s">
        <v>63</v>
      </c>
      <c r="AT106" s="5" t="s">
        <v>63</v>
      </c>
      <c r="AU106" s="5" t="s">
        <v>63</v>
      </c>
      <c r="AV106" s="5" t="s">
        <v>63</v>
      </c>
      <c r="AW106" s="5" t="s">
        <v>63</v>
      </c>
      <c r="AX106" s="5" t="s">
        <v>63</v>
      </c>
      <c r="AY106" s="5" t="s">
        <v>63</v>
      </c>
      <c r="AZ106" s="5" t="s">
        <v>63</v>
      </c>
      <c r="BA106" s="5" t="s">
        <v>63</v>
      </c>
      <c r="BB106" s="5" t="s">
        <v>63</v>
      </c>
      <c r="BC106" s="5" t="s">
        <v>63</v>
      </c>
      <c r="BD106" s="5" t="s">
        <v>63</v>
      </c>
      <c r="BE106" s="5" t="s">
        <v>64</v>
      </c>
    </row>
    <row r="107" spans="1:67">
      <c r="A107" s="1" t="str">
        <f t="shared" si="1"/>
        <v>No</v>
      </c>
      <c r="B107" s="1" t="s">
        <v>59</v>
      </c>
      <c r="C107" s="1" t="s">
        <v>70</v>
      </c>
      <c r="D107" s="11" t="s">
        <v>209</v>
      </c>
      <c r="E107" s="1" t="s">
        <v>271</v>
      </c>
      <c r="F107" s="2" t="s">
        <v>63</v>
      </c>
      <c r="G107" s="5" t="s">
        <v>63</v>
      </c>
      <c r="H107" s="5" t="s">
        <v>63</v>
      </c>
      <c r="I107" s="5" t="s">
        <v>63</v>
      </c>
      <c r="J107" s="5" t="s">
        <v>63</v>
      </c>
      <c r="K107" s="5" t="s">
        <v>63</v>
      </c>
      <c r="L107" s="5" t="s">
        <v>63</v>
      </c>
      <c r="M107" s="5" t="s">
        <v>64</v>
      </c>
      <c r="N107" s="5" t="s">
        <v>63</v>
      </c>
      <c r="O107" s="5" t="s">
        <v>63</v>
      </c>
      <c r="P107" s="5" t="s">
        <v>63</v>
      </c>
      <c r="Q107" s="5" t="s">
        <v>63</v>
      </c>
      <c r="R107" s="5" t="s">
        <v>63</v>
      </c>
      <c r="S107" s="5" t="s">
        <v>63</v>
      </c>
      <c r="T107" s="5" t="s">
        <v>63</v>
      </c>
      <c r="U107" s="5" t="s">
        <v>63</v>
      </c>
      <c r="V107" s="5" t="s">
        <v>63</v>
      </c>
      <c r="W107" s="5" t="s">
        <v>63</v>
      </c>
      <c r="X107" s="5" t="s">
        <v>63</v>
      </c>
      <c r="Y107" s="5" t="s">
        <v>63</v>
      </c>
      <c r="Z107" s="5" t="s">
        <v>63</v>
      </c>
      <c r="AA107" s="5" t="s">
        <v>63</v>
      </c>
      <c r="AB107" s="5" t="s">
        <v>64</v>
      </c>
      <c r="AC107" s="5" t="s">
        <v>63</v>
      </c>
      <c r="AD107" s="5" t="s">
        <v>63</v>
      </c>
      <c r="AE107" s="5" t="s">
        <v>63</v>
      </c>
      <c r="AF107" s="5" t="s">
        <v>63</v>
      </c>
      <c r="AG107" s="5" t="s">
        <v>63</v>
      </c>
      <c r="AH107" s="5" t="s">
        <v>63</v>
      </c>
      <c r="AI107" s="5" t="s">
        <v>63</v>
      </c>
      <c r="AJ107" s="14" t="s">
        <v>63</v>
      </c>
      <c r="AK107" s="5" t="s">
        <v>63</v>
      </c>
      <c r="AL107" s="5" t="s">
        <v>63</v>
      </c>
      <c r="AM107" s="5" t="s">
        <v>63</v>
      </c>
      <c r="AN107" s="5" t="s">
        <v>63</v>
      </c>
      <c r="AO107" s="5" t="s">
        <v>63</v>
      </c>
      <c r="AP107" s="5" t="s">
        <v>63</v>
      </c>
      <c r="AQ107" s="5" t="s">
        <v>63</v>
      </c>
      <c r="AR107" s="5" t="s">
        <v>63</v>
      </c>
      <c r="AS107" s="8" t="s">
        <v>63</v>
      </c>
      <c r="AT107" s="5" t="s">
        <v>63</v>
      </c>
      <c r="AU107" s="5" t="s">
        <v>63</v>
      </c>
      <c r="AV107" s="5" t="s">
        <v>63</v>
      </c>
      <c r="AW107" s="5" t="s">
        <v>63</v>
      </c>
      <c r="AX107" s="5" t="s">
        <v>63</v>
      </c>
      <c r="AY107" s="5" t="s">
        <v>63</v>
      </c>
      <c r="AZ107" s="5" t="s">
        <v>63</v>
      </c>
      <c r="BA107" s="5" t="s">
        <v>63</v>
      </c>
      <c r="BB107" s="5" t="s">
        <v>63</v>
      </c>
      <c r="BC107" s="5" t="s">
        <v>63</v>
      </c>
      <c r="BD107" s="5" t="s">
        <v>63</v>
      </c>
      <c r="BE107" s="5" t="s">
        <v>64</v>
      </c>
      <c r="BG107" s="5" t="s">
        <v>64</v>
      </c>
    </row>
    <row r="108" spans="1:67">
      <c r="A108" s="1" t="str">
        <f t="shared" si="1"/>
        <v>Yes</v>
      </c>
      <c r="B108" s="1" t="s">
        <v>241</v>
      </c>
      <c r="C108" s="1" t="s">
        <v>70</v>
      </c>
      <c r="D108" s="11" t="s">
        <v>209</v>
      </c>
      <c r="E108" s="1" t="s">
        <v>272</v>
      </c>
      <c r="F108" s="2" t="s">
        <v>63</v>
      </c>
      <c r="G108" s="5" t="s">
        <v>63</v>
      </c>
      <c r="H108" s="5" t="s">
        <v>63</v>
      </c>
      <c r="I108" s="5" t="s">
        <v>63</v>
      </c>
      <c r="J108" s="5" t="s">
        <v>63</v>
      </c>
      <c r="K108" s="5" t="s">
        <v>63</v>
      </c>
      <c r="L108" s="5" t="s">
        <v>63</v>
      </c>
      <c r="M108" s="5" t="s">
        <v>64</v>
      </c>
      <c r="N108" s="5" t="s">
        <v>63</v>
      </c>
      <c r="O108" s="5" t="s">
        <v>63</v>
      </c>
      <c r="P108" s="5" t="s">
        <v>63</v>
      </c>
      <c r="Q108" s="5" t="s">
        <v>63</v>
      </c>
      <c r="R108" s="5" t="s">
        <v>63</v>
      </c>
      <c r="S108" s="5" t="s">
        <v>63</v>
      </c>
      <c r="T108" s="5" t="s">
        <v>63</v>
      </c>
      <c r="U108" s="5" t="s">
        <v>63</v>
      </c>
      <c r="V108" s="5" t="s">
        <v>63</v>
      </c>
      <c r="W108" s="5" t="s">
        <v>64</v>
      </c>
      <c r="X108" s="5" t="s">
        <v>63</v>
      </c>
      <c r="Y108" s="5" t="s">
        <v>63</v>
      </c>
      <c r="Z108" s="5" t="s">
        <v>63</v>
      </c>
      <c r="AA108" s="5" t="s">
        <v>63</v>
      </c>
      <c r="AB108" s="5" t="s">
        <v>63</v>
      </c>
      <c r="AC108" s="5" t="s">
        <v>63</v>
      </c>
      <c r="AD108" s="5" t="s">
        <v>64</v>
      </c>
      <c r="AE108" s="5" t="s">
        <v>63</v>
      </c>
      <c r="AF108" s="5" t="s">
        <v>63</v>
      </c>
      <c r="AG108" s="5" t="s">
        <v>63</v>
      </c>
      <c r="AH108" s="5" t="s">
        <v>63</v>
      </c>
      <c r="AI108" s="5" t="s">
        <v>63</v>
      </c>
      <c r="AJ108" s="14" t="s">
        <v>63</v>
      </c>
      <c r="AK108" s="5" t="s">
        <v>63</v>
      </c>
      <c r="AL108" s="5" t="s">
        <v>63</v>
      </c>
      <c r="AM108" s="5" t="s">
        <v>63</v>
      </c>
      <c r="AN108" s="5" t="s">
        <v>63</v>
      </c>
      <c r="AO108" s="5" t="s">
        <v>63</v>
      </c>
      <c r="AP108" s="5" t="s">
        <v>63</v>
      </c>
      <c r="AQ108" s="5" t="s">
        <v>63</v>
      </c>
      <c r="AR108" s="5" t="s">
        <v>63</v>
      </c>
      <c r="AS108" s="8" t="s">
        <v>63</v>
      </c>
      <c r="AT108" s="5" t="s">
        <v>63</v>
      </c>
      <c r="AU108" s="5" t="s">
        <v>63</v>
      </c>
      <c r="AV108" s="5" t="s">
        <v>63</v>
      </c>
      <c r="AW108" s="5" t="s">
        <v>63</v>
      </c>
      <c r="AX108" s="5" t="s">
        <v>63</v>
      </c>
      <c r="AY108" s="5" t="s">
        <v>63</v>
      </c>
      <c r="AZ108" s="5" t="s">
        <v>63</v>
      </c>
      <c r="BA108" s="5" t="s">
        <v>63</v>
      </c>
      <c r="BB108" s="5" t="s">
        <v>63</v>
      </c>
      <c r="BC108" s="5" t="s">
        <v>63</v>
      </c>
      <c r="BD108" s="5" t="s">
        <v>63</v>
      </c>
      <c r="BE108" s="5" t="s">
        <v>64</v>
      </c>
      <c r="BI108" s="5" t="s">
        <v>64</v>
      </c>
    </row>
    <row r="109" spans="1:67">
      <c r="A109" s="1" t="str">
        <f t="shared" si="1"/>
        <v>No</v>
      </c>
      <c r="B109" s="1" t="s">
        <v>59</v>
      </c>
      <c r="C109" s="1" t="s">
        <v>70</v>
      </c>
      <c r="D109" s="11" t="s">
        <v>209</v>
      </c>
      <c r="E109" s="1" t="s">
        <v>273</v>
      </c>
      <c r="F109" s="2" t="s">
        <v>63</v>
      </c>
      <c r="G109" s="5" t="s">
        <v>63</v>
      </c>
      <c r="H109" s="5" t="s">
        <v>63</v>
      </c>
      <c r="I109" s="5" t="s">
        <v>63</v>
      </c>
      <c r="J109" s="5" t="s">
        <v>63</v>
      </c>
      <c r="K109" s="5" t="s">
        <v>63</v>
      </c>
      <c r="L109" s="5" t="s">
        <v>63</v>
      </c>
      <c r="M109" s="5" t="s">
        <v>63</v>
      </c>
      <c r="N109" s="5" t="s">
        <v>63</v>
      </c>
      <c r="O109" s="5" t="s">
        <v>63</v>
      </c>
      <c r="P109" s="5" t="s">
        <v>63</v>
      </c>
      <c r="Q109" s="5" t="s">
        <v>63</v>
      </c>
      <c r="R109" s="5" t="s">
        <v>63</v>
      </c>
      <c r="S109" s="5" t="s">
        <v>63</v>
      </c>
      <c r="T109" s="5" t="s">
        <v>63</v>
      </c>
      <c r="U109" s="5" t="s">
        <v>63</v>
      </c>
      <c r="V109" s="5" t="s">
        <v>63</v>
      </c>
      <c r="W109" s="5" t="s">
        <v>63</v>
      </c>
      <c r="X109" s="5" t="s">
        <v>63</v>
      </c>
      <c r="Y109" s="5" t="s">
        <v>63</v>
      </c>
      <c r="Z109" s="5" t="s">
        <v>64</v>
      </c>
      <c r="AA109" s="5" t="s">
        <v>64</v>
      </c>
      <c r="AB109" s="5" t="s">
        <v>63</v>
      </c>
      <c r="AC109" s="5" t="s">
        <v>63</v>
      </c>
      <c r="AD109" s="5" t="s">
        <v>64</v>
      </c>
      <c r="AE109" s="5" t="s">
        <v>64</v>
      </c>
      <c r="AF109" s="5" t="s">
        <v>63</v>
      </c>
      <c r="AG109" s="5" t="s">
        <v>63</v>
      </c>
      <c r="AH109" s="5" t="s">
        <v>63</v>
      </c>
      <c r="AI109" s="5" t="s">
        <v>63</v>
      </c>
      <c r="AJ109" s="14" t="s">
        <v>63</v>
      </c>
      <c r="AK109" s="5" t="s">
        <v>63</v>
      </c>
      <c r="AL109" s="5" t="s">
        <v>63</v>
      </c>
      <c r="AM109" s="5" t="s">
        <v>63</v>
      </c>
      <c r="AN109" s="5" t="s">
        <v>63</v>
      </c>
      <c r="AO109" s="5" t="s">
        <v>63</v>
      </c>
      <c r="AP109" s="5" t="s">
        <v>63</v>
      </c>
      <c r="AQ109" s="5" t="s">
        <v>63</v>
      </c>
      <c r="AR109" s="5" t="s">
        <v>63</v>
      </c>
      <c r="AS109" s="8" t="s">
        <v>63</v>
      </c>
      <c r="AT109" s="5" t="s">
        <v>63</v>
      </c>
      <c r="AU109" s="5" t="s">
        <v>63</v>
      </c>
      <c r="AV109" s="5" t="s">
        <v>63</v>
      </c>
      <c r="AW109" s="5" t="s">
        <v>63</v>
      </c>
      <c r="AX109" s="5" t="s">
        <v>63</v>
      </c>
      <c r="AY109" s="5" t="s">
        <v>63</v>
      </c>
      <c r="AZ109" s="5" t="s">
        <v>63</v>
      </c>
      <c r="BA109" s="5" t="s">
        <v>63</v>
      </c>
      <c r="BB109" s="5" t="s">
        <v>63</v>
      </c>
      <c r="BC109" s="5" t="s">
        <v>63</v>
      </c>
      <c r="BD109" s="5" t="s">
        <v>63</v>
      </c>
      <c r="BF109" s="5" t="s">
        <v>64</v>
      </c>
      <c r="BI109" s="5" t="s">
        <v>64</v>
      </c>
    </row>
    <row r="110" spans="1:67">
      <c r="A110" s="1" t="str">
        <f t="shared" si="1"/>
        <v>Yes</v>
      </c>
      <c r="B110" s="1" t="s">
        <v>241</v>
      </c>
      <c r="C110" s="1" t="s">
        <v>70</v>
      </c>
      <c r="D110" s="11" t="s">
        <v>209</v>
      </c>
      <c r="E110" s="1" t="s">
        <v>274</v>
      </c>
      <c r="F110" s="2" t="s">
        <v>63</v>
      </c>
      <c r="G110" s="5" t="s">
        <v>63</v>
      </c>
      <c r="H110" s="5" t="s">
        <v>63</v>
      </c>
      <c r="I110" s="5" t="s">
        <v>63</v>
      </c>
      <c r="J110" s="5" t="s">
        <v>63</v>
      </c>
      <c r="K110" s="5" t="s">
        <v>63</v>
      </c>
      <c r="L110" s="5" t="s">
        <v>63</v>
      </c>
      <c r="M110" s="5" t="s">
        <v>64</v>
      </c>
      <c r="N110" s="5" t="s">
        <v>63</v>
      </c>
      <c r="O110" s="5" t="s">
        <v>63</v>
      </c>
      <c r="P110" s="5" t="s">
        <v>63</v>
      </c>
      <c r="Q110" s="5" t="s">
        <v>63</v>
      </c>
      <c r="R110" s="5" t="s">
        <v>63</v>
      </c>
      <c r="S110" s="5" t="s">
        <v>63</v>
      </c>
      <c r="T110" s="5" t="s">
        <v>63</v>
      </c>
      <c r="U110" s="5" t="s">
        <v>63</v>
      </c>
      <c r="V110" s="5" t="s">
        <v>63</v>
      </c>
      <c r="W110" s="5" t="s">
        <v>64</v>
      </c>
      <c r="X110" s="5" t="s">
        <v>63</v>
      </c>
      <c r="Y110" s="5" t="s">
        <v>63</v>
      </c>
      <c r="Z110" s="5" t="s">
        <v>63</v>
      </c>
      <c r="AA110" s="5" t="s">
        <v>63</v>
      </c>
      <c r="AB110" s="5" t="s">
        <v>63</v>
      </c>
      <c r="AC110" s="5" t="s">
        <v>63</v>
      </c>
      <c r="AD110" s="5" t="s">
        <v>63</v>
      </c>
      <c r="AE110" s="5" t="s">
        <v>63</v>
      </c>
      <c r="AF110" s="5" t="s">
        <v>63</v>
      </c>
      <c r="AG110" s="5" t="s">
        <v>63</v>
      </c>
      <c r="AH110" s="5" t="s">
        <v>63</v>
      </c>
      <c r="AI110" s="5" t="s">
        <v>63</v>
      </c>
      <c r="AJ110" s="14" t="s">
        <v>63</v>
      </c>
      <c r="AK110" s="5" t="s">
        <v>63</v>
      </c>
      <c r="AL110" s="5" t="s">
        <v>63</v>
      </c>
      <c r="AM110" s="5" t="s">
        <v>63</v>
      </c>
      <c r="AN110" s="5" t="s">
        <v>63</v>
      </c>
      <c r="AO110" s="5" t="s">
        <v>63</v>
      </c>
      <c r="AP110" s="5" t="s">
        <v>63</v>
      </c>
      <c r="AQ110" s="5" t="s">
        <v>63</v>
      </c>
      <c r="AR110" s="5" t="s">
        <v>63</v>
      </c>
      <c r="AS110" s="8" t="s">
        <v>63</v>
      </c>
      <c r="AT110" s="5" t="s">
        <v>63</v>
      </c>
      <c r="AU110" s="5" t="s">
        <v>63</v>
      </c>
      <c r="AV110" s="5" t="s">
        <v>63</v>
      </c>
      <c r="AW110" s="5" t="s">
        <v>63</v>
      </c>
      <c r="AX110" s="5" t="s">
        <v>63</v>
      </c>
      <c r="AY110" s="5" t="s">
        <v>63</v>
      </c>
      <c r="AZ110" s="5" t="s">
        <v>63</v>
      </c>
      <c r="BA110" s="5" t="s">
        <v>63</v>
      </c>
      <c r="BB110" s="5" t="s">
        <v>63</v>
      </c>
      <c r="BC110" s="5" t="s">
        <v>63</v>
      </c>
      <c r="BD110" s="5" t="s">
        <v>63</v>
      </c>
      <c r="BE110" s="5" t="s">
        <v>64</v>
      </c>
    </row>
    <row r="111" spans="1:67">
      <c r="A111" s="1" t="str">
        <f t="shared" si="1"/>
        <v>Yes</v>
      </c>
      <c r="B111" s="1" t="s">
        <v>241</v>
      </c>
      <c r="C111" s="1" t="s">
        <v>70</v>
      </c>
      <c r="D111" s="11" t="s">
        <v>209</v>
      </c>
      <c r="E111" s="1" t="s">
        <v>275</v>
      </c>
      <c r="F111" s="2" t="s">
        <v>63</v>
      </c>
      <c r="G111" s="5" t="s">
        <v>63</v>
      </c>
      <c r="H111" s="5" t="s">
        <v>63</v>
      </c>
      <c r="I111" s="5" t="s">
        <v>63</v>
      </c>
      <c r="J111" s="5" t="s">
        <v>63</v>
      </c>
      <c r="K111" s="5" t="s">
        <v>63</v>
      </c>
      <c r="L111" s="5" t="s">
        <v>63</v>
      </c>
      <c r="M111" s="5" t="s">
        <v>64</v>
      </c>
      <c r="N111" s="5" t="s">
        <v>63</v>
      </c>
      <c r="O111" s="5" t="s">
        <v>63</v>
      </c>
      <c r="P111" s="5" t="s">
        <v>63</v>
      </c>
      <c r="Q111" s="5" t="s">
        <v>63</v>
      </c>
      <c r="R111" s="5" t="s">
        <v>63</v>
      </c>
      <c r="S111" s="5" t="s">
        <v>63</v>
      </c>
      <c r="T111" s="5" t="s">
        <v>63</v>
      </c>
      <c r="U111" s="5" t="s">
        <v>63</v>
      </c>
      <c r="V111" s="5" t="s">
        <v>63</v>
      </c>
      <c r="W111" s="5" t="s">
        <v>64</v>
      </c>
      <c r="X111" s="5" t="s">
        <v>63</v>
      </c>
      <c r="Y111" s="5" t="s">
        <v>63</v>
      </c>
      <c r="Z111" s="5" t="s">
        <v>63</v>
      </c>
      <c r="AA111" s="5" t="s">
        <v>63</v>
      </c>
      <c r="AB111" s="5" t="s">
        <v>63</v>
      </c>
      <c r="AC111" s="5" t="s">
        <v>63</v>
      </c>
      <c r="AD111" s="5" t="s">
        <v>63</v>
      </c>
      <c r="AE111" s="5" t="s">
        <v>63</v>
      </c>
      <c r="AF111" s="5" t="s">
        <v>63</v>
      </c>
      <c r="AG111" s="5" t="s">
        <v>63</v>
      </c>
      <c r="AH111" s="5" t="s">
        <v>63</v>
      </c>
      <c r="AI111" s="5" t="s">
        <v>63</v>
      </c>
      <c r="AJ111" s="14" t="s">
        <v>63</v>
      </c>
      <c r="AK111" s="5" t="s">
        <v>63</v>
      </c>
      <c r="AL111" s="5" t="s">
        <v>63</v>
      </c>
      <c r="AM111" s="5" t="s">
        <v>63</v>
      </c>
      <c r="AN111" s="5" t="s">
        <v>63</v>
      </c>
      <c r="AO111" s="5" t="s">
        <v>63</v>
      </c>
      <c r="AP111" s="5" t="s">
        <v>63</v>
      </c>
      <c r="AQ111" s="5" t="s">
        <v>63</v>
      </c>
      <c r="AR111" s="5" t="s">
        <v>63</v>
      </c>
      <c r="AS111" s="8" t="s">
        <v>63</v>
      </c>
      <c r="AT111" s="5" t="s">
        <v>63</v>
      </c>
      <c r="AU111" s="5" t="s">
        <v>63</v>
      </c>
      <c r="AV111" s="5" t="s">
        <v>63</v>
      </c>
      <c r="AW111" s="5" t="s">
        <v>63</v>
      </c>
      <c r="AX111" s="5" t="s">
        <v>63</v>
      </c>
      <c r="AY111" s="5" t="s">
        <v>63</v>
      </c>
      <c r="AZ111" s="5" t="s">
        <v>63</v>
      </c>
      <c r="BA111" s="5" t="s">
        <v>63</v>
      </c>
      <c r="BB111" s="5" t="s">
        <v>63</v>
      </c>
      <c r="BC111" s="5" t="s">
        <v>63</v>
      </c>
      <c r="BD111" s="5" t="s">
        <v>63</v>
      </c>
      <c r="BE111" s="5" t="s">
        <v>64</v>
      </c>
    </row>
    <row r="112" spans="1:67">
      <c r="A112" s="1" t="str">
        <f t="shared" si="1"/>
        <v>No</v>
      </c>
      <c r="B112" s="1" t="s">
        <v>59</v>
      </c>
      <c r="C112" s="1" t="s">
        <v>70</v>
      </c>
      <c r="D112" s="11" t="s">
        <v>209</v>
      </c>
      <c r="E112" s="1" t="s">
        <v>276</v>
      </c>
      <c r="F112" s="2" t="s">
        <v>63</v>
      </c>
      <c r="G112" s="5" t="s">
        <v>63</v>
      </c>
      <c r="H112" s="5" t="s">
        <v>63</v>
      </c>
      <c r="I112" s="5" t="s">
        <v>63</v>
      </c>
      <c r="J112" s="5" t="s">
        <v>63</v>
      </c>
      <c r="K112" s="5" t="s">
        <v>63</v>
      </c>
      <c r="L112" s="5" t="s">
        <v>63</v>
      </c>
      <c r="M112" s="5" t="s">
        <v>64</v>
      </c>
      <c r="N112" s="5" t="s">
        <v>63</v>
      </c>
      <c r="O112" s="5" t="s">
        <v>63</v>
      </c>
      <c r="P112" s="5" t="s">
        <v>63</v>
      </c>
      <c r="Q112" s="5" t="s">
        <v>63</v>
      </c>
      <c r="R112" s="5" t="s">
        <v>63</v>
      </c>
      <c r="S112" s="5" t="s">
        <v>63</v>
      </c>
      <c r="T112" s="5" t="s">
        <v>63</v>
      </c>
      <c r="U112" s="5" t="s">
        <v>63</v>
      </c>
      <c r="V112" s="5" t="s">
        <v>64</v>
      </c>
      <c r="W112" s="5" t="s">
        <v>63</v>
      </c>
      <c r="X112" s="5" t="s">
        <v>63</v>
      </c>
      <c r="Y112" s="5" t="s">
        <v>63</v>
      </c>
      <c r="Z112" s="5" t="s">
        <v>63</v>
      </c>
      <c r="AA112" s="5" t="s">
        <v>63</v>
      </c>
      <c r="AB112" s="5" t="s">
        <v>63</v>
      </c>
      <c r="AC112" s="5" t="s">
        <v>63</v>
      </c>
      <c r="AD112" s="5" t="s">
        <v>63</v>
      </c>
      <c r="AE112" s="5" t="s">
        <v>63</v>
      </c>
      <c r="AF112" s="5" t="s">
        <v>63</v>
      </c>
      <c r="AG112" s="5" t="s">
        <v>63</v>
      </c>
      <c r="AH112" s="5" t="s">
        <v>63</v>
      </c>
      <c r="AI112" s="5" t="s">
        <v>63</v>
      </c>
      <c r="AJ112" s="14" t="s">
        <v>63</v>
      </c>
      <c r="AK112" s="5" t="s">
        <v>63</v>
      </c>
      <c r="AL112" s="5" t="s">
        <v>63</v>
      </c>
      <c r="AM112" s="5" t="s">
        <v>63</v>
      </c>
      <c r="AN112" s="5" t="s">
        <v>63</v>
      </c>
      <c r="AO112" s="5" t="s">
        <v>63</v>
      </c>
      <c r="AP112" s="5" t="s">
        <v>63</v>
      </c>
      <c r="AQ112" s="5" t="s">
        <v>63</v>
      </c>
      <c r="AR112" s="5" t="s">
        <v>63</v>
      </c>
      <c r="AS112" s="8" t="s">
        <v>63</v>
      </c>
      <c r="AT112" s="5" t="s">
        <v>63</v>
      </c>
      <c r="AU112" s="5" t="s">
        <v>63</v>
      </c>
      <c r="AV112" s="5" t="s">
        <v>63</v>
      </c>
      <c r="AW112" s="5" t="s">
        <v>63</v>
      </c>
      <c r="AX112" s="5" t="s">
        <v>63</v>
      </c>
      <c r="AY112" s="5" t="s">
        <v>63</v>
      </c>
      <c r="AZ112" s="5" t="s">
        <v>63</v>
      </c>
      <c r="BA112" s="5" t="s">
        <v>63</v>
      </c>
      <c r="BB112" s="5" t="s">
        <v>63</v>
      </c>
      <c r="BC112" s="5" t="s">
        <v>63</v>
      </c>
      <c r="BD112" s="5" t="s">
        <v>63</v>
      </c>
      <c r="BE112" s="5" t="s">
        <v>64</v>
      </c>
    </row>
    <row r="113" spans="1:67">
      <c r="A113" s="1" t="str">
        <f t="shared" si="1"/>
        <v>No</v>
      </c>
      <c r="B113" s="1" t="s">
        <v>59</v>
      </c>
      <c r="C113" s="1" t="s">
        <v>70</v>
      </c>
      <c r="D113" s="11" t="s">
        <v>209</v>
      </c>
      <c r="E113" s="1" t="s">
        <v>277</v>
      </c>
      <c r="F113" s="2" t="s">
        <v>63</v>
      </c>
      <c r="G113" s="5" t="s">
        <v>63</v>
      </c>
      <c r="H113" s="5" t="s">
        <v>63</v>
      </c>
      <c r="I113" s="5" t="s">
        <v>63</v>
      </c>
      <c r="J113" s="5" t="s">
        <v>63</v>
      </c>
      <c r="K113" s="5" t="s">
        <v>63</v>
      </c>
      <c r="L113" s="5" t="s">
        <v>63</v>
      </c>
      <c r="M113" s="5" t="s">
        <v>64</v>
      </c>
      <c r="N113" s="5" t="s">
        <v>63</v>
      </c>
      <c r="O113" s="5" t="s">
        <v>63</v>
      </c>
      <c r="P113" s="5" t="s">
        <v>63</v>
      </c>
      <c r="Q113" s="5" t="s">
        <v>63</v>
      </c>
      <c r="R113" s="5" t="s">
        <v>63</v>
      </c>
      <c r="S113" s="5" t="s">
        <v>63</v>
      </c>
      <c r="T113" s="5" t="s">
        <v>63</v>
      </c>
      <c r="U113" s="5" t="s">
        <v>63</v>
      </c>
      <c r="V113" s="5" t="s">
        <v>64</v>
      </c>
      <c r="W113" s="5" t="s">
        <v>63</v>
      </c>
      <c r="X113" s="5" t="s">
        <v>63</v>
      </c>
      <c r="Y113" s="5" t="s">
        <v>63</v>
      </c>
      <c r="Z113" s="5" t="s">
        <v>63</v>
      </c>
      <c r="AA113" s="5" t="s">
        <v>63</v>
      </c>
      <c r="AB113" s="5" t="s">
        <v>63</v>
      </c>
      <c r="AC113" s="5" t="s">
        <v>63</v>
      </c>
      <c r="AD113" s="5" t="s">
        <v>63</v>
      </c>
      <c r="AE113" s="5" t="s">
        <v>63</v>
      </c>
      <c r="AF113" s="5" t="s">
        <v>63</v>
      </c>
      <c r="AG113" s="5" t="s">
        <v>63</v>
      </c>
      <c r="AH113" s="5" t="s">
        <v>63</v>
      </c>
      <c r="AI113" s="5" t="s">
        <v>63</v>
      </c>
      <c r="AJ113" s="14" t="s">
        <v>63</v>
      </c>
      <c r="AK113" s="5" t="s">
        <v>63</v>
      </c>
      <c r="AL113" s="5" t="s">
        <v>63</v>
      </c>
      <c r="AM113" s="5" t="s">
        <v>63</v>
      </c>
      <c r="AN113" s="5" t="s">
        <v>63</v>
      </c>
      <c r="AO113" s="5" t="s">
        <v>63</v>
      </c>
      <c r="AP113" s="5" t="s">
        <v>63</v>
      </c>
      <c r="AQ113" s="5" t="s">
        <v>63</v>
      </c>
      <c r="AR113" s="5" t="s">
        <v>63</v>
      </c>
      <c r="AS113" s="8" t="s">
        <v>63</v>
      </c>
      <c r="AT113" s="5" t="s">
        <v>63</v>
      </c>
      <c r="AU113" s="5" t="s">
        <v>63</v>
      </c>
      <c r="AV113" s="5" t="s">
        <v>63</v>
      </c>
      <c r="AW113" s="5" t="s">
        <v>63</v>
      </c>
      <c r="AX113" s="5" t="s">
        <v>63</v>
      </c>
      <c r="AY113" s="5" t="s">
        <v>63</v>
      </c>
      <c r="AZ113" s="5" t="s">
        <v>63</v>
      </c>
      <c r="BA113" s="5" t="s">
        <v>63</v>
      </c>
      <c r="BB113" s="5" t="s">
        <v>63</v>
      </c>
      <c r="BC113" s="5" t="s">
        <v>63</v>
      </c>
      <c r="BD113" s="5" t="s">
        <v>63</v>
      </c>
      <c r="BE113" s="5" t="s">
        <v>64</v>
      </c>
    </row>
    <row r="114" spans="1:67">
      <c r="A114" s="1" t="str">
        <f t="shared" si="1"/>
        <v>Yes</v>
      </c>
      <c r="B114" s="1" t="s">
        <v>241</v>
      </c>
      <c r="C114" s="1" t="s">
        <v>70</v>
      </c>
      <c r="D114" s="11" t="s">
        <v>209</v>
      </c>
      <c r="E114" s="1" t="s">
        <v>278</v>
      </c>
      <c r="F114" s="2" t="s">
        <v>63</v>
      </c>
      <c r="G114" s="5" t="s">
        <v>63</v>
      </c>
      <c r="H114" s="5" t="s">
        <v>63</v>
      </c>
      <c r="I114" s="5" t="s">
        <v>63</v>
      </c>
      <c r="J114" s="5" t="s">
        <v>63</v>
      </c>
      <c r="K114" s="5" t="s">
        <v>63</v>
      </c>
      <c r="L114" s="5" t="s">
        <v>63</v>
      </c>
      <c r="M114" s="5" t="s">
        <v>63</v>
      </c>
      <c r="N114" s="5" t="s">
        <v>63</v>
      </c>
      <c r="O114" s="5" t="s">
        <v>63</v>
      </c>
      <c r="P114" s="5" t="s">
        <v>63</v>
      </c>
      <c r="Q114" s="5" t="s">
        <v>63</v>
      </c>
      <c r="R114" s="5" t="s">
        <v>63</v>
      </c>
      <c r="S114" s="5" t="s">
        <v>63</v>
      </c>
      <c r="T114" s="5" t="s">
        <v>63</v>
      </c>
      <c r="U114" s="5" t="s">
        <v>63</v>
      </c>
      <c r="V114" s="5" t="s">
        <v>63</v>
      </c>
      <c r="W114" s="5" t="s">
        <v>64</v>
      </c>
      <c r="X114" s="5" t="s">
        <v>63</v>
      </c>
      <c r="Y114" s="5" t="s">
        <v>63</v>
      </c>
      <c r="Z114" s="5" t="s">
        <v>63</v>
      </c>
      <c r="AA114" s="5" t="s">
        <v>63</v>
      </c>
      <c r="AB114" s="5" t="s">
        <v>63</v>
      </c>
      <c r="AC114" s="5" t="s">
        <v>63</v>
      </c>
      <c r="AD114" s="5" t="s">
        <v>64</v>
      </c>
      <c r="AE114" s="5" t="s">
        <v>63</v>
      </c>
      <c r="AF114" s="5" t="s">
        <v>63</v>
      </c>
      <c r="AG114" s="5" t="s">
        <v>63</v>
      </c>
      <c r="AH114" s="5" t="s">
        <v>63</v>
      </c>
      <c r="AI114" s="5" t="s">
        <v>63</v>
      </c>
      <c r="AJ114" s="14" t="s">
        <v>63</v>
      </c>
      <c r="AK114" s="5" t="s">
        <v>63</v>
      </c>
      <c r="AL114" s="5" t="s">
        <v>63</v>
      </c>
      <c r="AM114" s="5" t="s">
        <v>63</v>
      </c>
      <c r="AN114" s="5" t="s">
        <v>63</v>
      </c>
      <c r="AO114" s="5" t="s">
        <v>63</v>
      </c>
      <c r="AP114" s="5" t="s">
        <v>63</v>
      </c>
      <c r="AQ114" s="5" t="s">
        <v>63</v>
      </c>
      <c r="AR114" s="5" t="s">
        <v>63</v>
      </c>
      <c r="AS114" s="8" t="s">
        <v>63</v>
      </c>
      <c r="AT114" s="5" t="s">
        <v>63</v>
      </c>
      <c r="AU114" s="5" t="s">
        <v>63</v>
      </c>
      <c r="AV114" s="5" t="s">
        <v>63</v>
      </c>
      <c r="AW114" s="5" t="s">
        <v>63</v>
      </c>
      <c r="AX114" s="5" t="s">
        <v>63</v>
      </c>
      <c r="AY114" s="5" t="s">
        <v>63</v>
      </c>
      <c r="AZ114" s="5" t="s">
        <v>63</v>
      </c>
      <c r="BA114" s="5" t="s">
        <v>63</v>
      </c>
      <c r="BB114" s="5" t="s">
        <v>63</v>
      </c>
      <c r="BC114" s="5" t="s">
        <v>63</v>
      </c>
      <c r="BD114" s="5" t="s">
        <v>63</v>
      </c>
      <c r="BE114" s="5" t="s">
        <v>64</v>
      </c>
      <c r="BI114" s="5" t="s">
        <v>64</v>
      </c>
    </row>
    <row r="115" spans="1:67">
      <c r="A115" s="1" t="str">
        <f t="shared" si="1"/>
        <v>Yes</v>
      </c>
      <c r="B115" s="1" t="s">
        <v>241</v>
      </c>
      <c r="C115" s="1" t="s">
        <v>70</v>
      </c>
      <c r="D115" s="11" t="s">
        <v>209</v>
      </c>
      <c r="E115" s="1" t="s">
        <v>279</v>
      </c>
      <c r="F115" s="2" t="s">
        <v>63</v>
      </c>
      <c r="G115" s="5" t="s">
        <v>63</v>
      </c>
      <c r="H115" s="5" t="s">
        <v>63</v>
      </c>
      <c r="I115" s="5" t="s">
        <v>63</v>
      </c>
      <c r="J115" s="5" t="s">
        <v>63</v>
      </c>
      <c r="K115" s="5" t="s">
        <v>63</v>
      </c>
      <c r="L115" s="5" t="s">
        <v>63</v>
      </c>
      <c r="M115" s="5" t="s">
        <v>64</v>
      </c>
      <c r="N115" s="5" t="s">
        <v>63</v>
      </c>
      <c r="O115" s="5" t="s">
        <v>63</v>
      </c>
      <c r="P115" s="5" t="s">
        <v>63</v>
      </c>
      <c r="Q115" s="5" t="s">
        <v>63</v>
      </c>
      <c r="R115" s="5" t="s">
        <v>63</v>
      </c>
      <c r="S115" s="5" t="s">
        <v>63</v>
      </c>
      <c r="T115" s="5" t="s">
        <v>63</v>
      </c>
      <c r="U115" s="5" t="s">
        <v>63</v>
      </c>
      <c r="V115" s="5" t="s">
        <v>64</v>
      </c>
      <c r="W115" s="5" t="s">
        <v>63</v>
      </c>
      <c r="X115" s="5" t="s">
        <v>63</v>
      </c>
      <c r="Y115" s="5" t="s">
        <v>63</v>
      </c>
      <c r="Z115" s="5" t="s">
        <v>63</v>
      </c>
      <c r="AA115" s="5" t="s">
        <v>63</v>
      </c>
      <c r="AB115" s="5" t="s">
        <v>63</v>
      </c>
      <c r="AC115" s="5" t="s">
        <v>63</v>
      </c>
      <c r="AD115" s="5" t="s">
        <v>63</v>
      </c>
      <c r="AE115" s="5" t="s">
        <v>63</v>
      </c>
      <c r="AF115" s="5" t="s">
        <v>63</v>
      </c>
      <c r="AG115" s="5" t="s">
        <v>63</v>
      </c>
      <c r="AH115" s="5" t="s">
        <v>63</v>
      </c>
      <c r="AI115" s="5" t="s">
        <v>63</v>
      </c>
      <c r="AJ115" s="14" t="s">
        <v>63</v>
      </c>
      <c r="AK115" s="5" t="s">
        <v>63</v>
      </c>
      <c r="AL115" s="5" t="s">
        <v>63</v>
      </c>
      <c r="AM115" s="5" t="s">
        <v>63</v>
      </c>
      <c r="AN115" s="5" t="s">
        <v>63</v>
      </c>
      <c r="AO115" s="5" t="s">
        <v>63</v>
      </c>
      <c r="AP115" s="5" t="s">
        <v>63</v>
      </c>
      <c r="AQ115" s="5" t="s">
        <v>63</v>
      </c>
      <c r="AR115" s="5" t="s">
        <v>63</v>
      </c>
      <c r="AS115" s="8" t="s">
        <v>63</v>
      </c>
      <c r="AT115" s="5" t="s">
        <v>63</v>
      </c>
      <c r="AU115" s="5" t="s">
        <v>63</v>
      </c>
      <c r="AV115" s="5" t="s">
        <v>63</v>
      </c>
      <c r="AW115" s="5" t="s">
        <v>63</v>
      </c>
      <c r="AX115" s="5" t="s">
        <v>63</v>
      </c>
      <c r="AY115" s="5" t="s">
        <v>63</v>
      </c>
      <c r="AZ115" s="5" t="s">
        <v>63</v>
      </c>
      <c r="BA115" s="5" t="s">
        <v>63</v>
      </c>
      <c r="BB115" s="5" t="s">
        <v>63</v>
      </c>
      <c r="BC115" s="5" t="s">
        <v>63</v>
      </c>
      <c r="BD115" s="5" t="s">
        <v>63</v>
      </c>
      <c r="BE115" s="5" t="s">
        <v>64</v>
      </c>
    </row>
    <row r="116" spans="1:67">
      <c r="A116" s="1" t="str">
        <f t="shared" si="1"/>
        <v>Yes</v>
      </c>
      <c r="B116" s="1" t="s">
        <v>241</v>
      </c>
      <c r="C116" s="1" t="s">
        <v>70</v>
      </c>
      <c r="D116" s="11" t="s">
        <v>209</v>
      </c>
      <c r="E116" s="1" t="s">
        <v>280</v>
      </c>
      <c r="F116" s="2" t="s">
        <v>63</v>
      </c>
      <c r="G116" s="5" t="s">
        <v>63</v>
      </c>
      <c r="H116" s="5" t="s">
        <v>63</v>
      </c>
      <c r="I116" s="5" t="s">
        <v>63</v>
      </c>
      <c r="J116" s="5" t="s">
        <v>63</v>
      </c>
      <c r="K116" s="5" t="s">
        <v>63</v>
      </c>
      <c r="L116" s="5" t="s">
        <v>63</v>
      </c>
      <c r="M116" s="5" t="s">
        <v>64</v>
      </c>
      <c r="N116" s="5" t="s">
        <v>63</v>
      </c>
      <c r="O116" s="5" t="s">
        <v>63</v>
      </c>
      <c r="P116" s="5" t="s">
        <v>63</v>
      </c>
      <c r="Q116" s="5" t="s">
        <v>63</v>
      </c>
      <c r="R116" s="5" t="s">
        <v>63</v>
      </c>
      <c r="S116" s="5" t="s">
        <v>63</v>
      </c>
      <c r="T116" s="5" t="s">
        <v>63</v>
      </c>
      <c r="U116" s="5" t="s">
        <v>63</v>
      </c>
      <c r="V116" s="5" t="s">
        <v>64</v>
      </c>
      <c r="W116" s="5" t="s">
        <v>63</v>
      </c>
      <c r="X116" s="5" t="s">
        <v>63</v>
      </c>
      <c r="Y116" s="5" t="s">
        <v>63</v>
      </c>
      <c r="Z116" s="5" t="s">
        <v>63</v>
      </c>
      <c r="AA116" s="5" t="s">
        <v>63</v>
      </c>
      <c r="AB116" s="5" t="s">
        <v>63</v>
      </c>
      <c r="AC116" s="5" t="s">
        <v>63</v>
      </c>
      <c r="AD116" s="5" t="s">
        <v>63</v>
      </c>
      <c r="AE116" s="5" t="s">
        <v>63</v>
      </c>
      <c r="AF116" s="5" t="s">
        <v>63</v>
      </c>
      <c r="AG116" s="5" t="s">
        <v>63</v>
      </c>
      <c r="AH116" s="5" t="s">
        <v>63</v>
      </c>
      <c r="AI116" s="5" t="s">
        <v>63</v>
      </c>
      <c r="AJ116" s="14" t="s">
        <v>63</v>
      </c>
      <c r="AK116" s="5" t="s">
        <v>63</v>
      </c>
      <c r="AL116" s="5" t="s">
        <v>63</v>
      </c>
      <c r="AM116" s="5" t="s">
        <v>63</v>
      </c>
      <c r="AN116" s="5" t="s">
        <v>63</v>
      </c>
      <c r="AO116" s="5" t="s">
        <v>63</v>
      </c>
      <c r="AP116" s="5" t="s">
        <v>63</v>
      </c>
      <c r="AQ116" s="5" t="s">
        <v>63</v>
      </c>
      <c r="AR116" s="5" t="s">
        <v>63</v>
      </c>
      <c r="AS116" s="8" t="s">
        <v>63</v>
      </c>
      <c r="AT116" s="5" t="s">
        <v>63</v>
      </c>
      <c r="AU116" s="5" t="s">
        <v>63</v>
      </c>
      <c r="AV116" s="5" t="s">
        <v>63</v>
      </c>
      <c r="AW116" s="5" t="s">
        <v>63</v>
      </c>
      <c r="AX116" s="5" t="s">
        <v>63</v>
      </c>
      <c r="AY116" s="5" t="s">
        <v>63</v>
      </c>
      <c r="AZ116" s="5" t="s">
        <v>63</v>
      </c>
      <c r="BA116" s="5" t="s">
        <v>63</v>
      </c>
      <c r="BB116" s="5" t="s">
        <v>63</v>
      </c>
      <c r="BC116" s="5" t="s">
        <v>63</v>
      </c>
      <c r="BD116" s="5" t="s">
        <v>63</v>
      </c>
      <c r="BE116" s="5" t="s">
        <v>64</v>
      </c>
    </row>
    <row r="117" spans="1:67">
      <c r="A117" s="1" t="str">
        <f t="shared" si="1"/>
        <v>Yes</v>
      </c>
      <c r="B117" s="1" t="s">
        <v>241</v>
      </c>
      <c r="C117" s="1" t="s">
        <v>70</v>
      </c>
      <c r="D117" s="11" t="s">
        <v>209</v>
      </c>
      <c r="E117" s="1" t="s">
        <v>281</v>
      </c>
      <c r="F117" s="2" t="s">
        <v>63</v>
      </c>
      <c r="G117" s="5" t="s">
        <v>63</v>
      </c>
      <c r="H117" s="5" t="s">
        <v>63</v>
      </c>
      <c r="I117" s="5" t="s">
        <v>63</v>
      </c>
      <c r="J117" s="5" t="s">
        <v>63</v>
      </c>
      <c r="K117" s="5" t="s">
        <v>63</v>
      </c>
      <c r="L117" s="5" t="s">
        <v>63</v>
      </c>
      <c r="M117" s="5" t="s">
        <v>64</v>
      </c>
      <c r="N117" s="5" t="s">
        <v>63</v>
      </c>
      <c r="O117" s="5" t="s">
        <v>63</v>
      </c>
      <c r="P117" s="5" t="s">
        <v>63</v>
      </c>
      <c r="Q117" s="5" t="s">
        <v>63</v>
      </c>
      <c r="R117" s="5" t="s">
        <v>63</v>
      </c>
      <c r="S117" s="5" t="s">
        <v>63</v>
      </c>
      <c r="T117" s="5" t="s">
        <v>63</v>
      </c>
      <c r="U117" s="5" t="s">
        <v>63</v>
      </c>
      <c r="V117" s="5" t="s">
        <v>63</v>
      </c>
      <c r="W117" s="5" t="s">
        <v>63</v>
      </c>
      <c r="X117" s="5" t="s">
        <v>63</v>
      </c>
      <c r="Y117" s="5" t="s">
        <v>63</v>
      </c>
      <c r="Z117" s="5" t="s">
        <v>63</v>
      </c>
      <c r="AA117" s="5" t="s">
        <v>63</v>
      </c>
      <c r="AB117" s="5" t="s">
        <v>63</v>
      </c>
      <c r="AC117" s="5" t="s">
        <v>63</v>
      </c>
      <c r="AD117" s="5" t="s">
        <v>64</v>
      </c>
      <c r="AE117" s="5" t="s">
        <v>63</v>
      </c>
      <c r="AF117" s="5" t="s">
        <v>63</v>
      </c>
      <c r="AG117" s="5" t="s">
        <v>63</v>
      </c>
      <c r="AH117" s="5" t="s">
        <v>63</v>
      </c>
      <c r="AI117" s="5" t="s">
        <v>63</v>
      </c>
      <c r="AJ117" s="14" t="s">
        <v>63</v>
      </c>
      <c r="AK117" s="5" t="s">
        <v>63</v>
      </c>
      <c r="AL117" s="5" t="s">
        <v>63</v>
      </c>
      <c r="AM117" s="5" t="s">
        <v>63</v>
      </c>
      <c r="AN117" s="5" t="s">
        <v>63</v>
      </c>
      <c r="AO117" s="5" t="s">
        <v>63</v>
      </c>
      <c r="AP117" s="5" t="s">
        <v>63</v>
      </c>
      <c r="AQ117" s="5" t="s">
        <v>63</v>
      </c>
      <c r="AR117" s="5" t="s">
        <v>63</v>
      </c>
      <c r="AS117" s="8" t="s">
        <v>63</v>
      </c>
      <c r="AT117" s="5" t="s">
        <v>63</v>
      </c>
      <c r="AU117" s="5" t="s">
        <v>63</v>
      </c>
      <c r="AV117" s="5" t="s">
        <v>63</v>
      </c>
      <c r="AW117" s="5" t="s">
        <v>63</v>
      </c>
      <c r="AX117" s="5" t="s">
        <v>63</v>
      </c>
      <c r="AY117" s="5" t="s">
        <v>63</v>
      </c>
      <c r="AZ117" s="5" t="s">
        <v>63</v>
      </c>
      <c r="BA117" s="5" t="s">
        <v>63</v>
      </c>
      <c r="BB117" s="5" t="s">
        <v>63</v>
      </c>
      <c r="BC117" s="5" t="s">
        <v>63</v>
      </c>
      <c r="BD117" s="5" t="s">
        <v>63</v>
      </c>
      <c r="BE117" s="5" t="s">
        <v>64</v>
      </c>
      <c r="BI117" s="5" t="s">
        <v>64</v>
      </c>
    </row>
    <row r="118" spans="1:67">
      <c r="A118" s="1" t="str">
        <f t="shared" si="1"/>
        <v>Yes</v>
      </c>
      <c r="B118" s="1" t="s">
        <v>241</v>
      </c>
      <c r="C118" s="1" t="s">
        <v>70</v>
      </c>
      <c r="D118" s="11" t="s">
        <v>209</v>
      </c>
      <c r="E118" s="1" t="s">
        <v>282</v>
      </c>
      <c r="F118" s="2" t="s">
        <v>63</v>
      </c>
      <c r="G118" s="5" t="s">
        <v>63</v>
      </c>
      <c r="H118" s="5" t="s">
        <v>63</v>
      </c>
      <c r="I118" s="5" t="s">
        <v>63</v>
      </c>
      <c r="J118" s="5" t="s">
        <v>63</v>
      </c>
      <c r="K118" s="5" t="s">
        <v>63</v>
      </c>
      <c r="L118" s="5" t="s">
        <v>63</v>
      </c>
      <c r="M118" s="5" t="s">
        <v>64</v>
      </c>
      <c r="N118" s="5" t="s">
        <v>63</v>
      </c>
      <c r="O118" s="5" t="s">
        <v>63</v>
      </c>
      <c r="P118" s="5" t="s">
        <v>63</v>
      </c>
      <c r="Q118" s="5" t="s">
        <v>63</v>
      </c>
      <c r="R118" s="5" t="s">
        <v>63</v>
      </c>
      <c r="S118" s="5" t="s">
        <v>63</v>
      </c>
      <c r="T118" s="5" t="s">
        <v>63</v>
      </c>
      <c r="U118" s="5" t="s">
        <v>63</v>
      </c>
      <c r="V118" s="5" t="s">
        <v>63</v>
      </c>
      <c r="W118" s="5" t="s">
        <v>63</v>
      </c>
      <c r="X118" s="5" t="s">
        <v>63</v>
      </c>
      <c r="Y118" s="5" t="s">
        <v>63</v>
      </c>
      <c r="Z118" s="5" t="s">
        <v>63</v>
      </c>
      <c r="AA118" s="5" t="s">
        <v>63</v>
      </c>
      <c r="AB118" s="5" t="s">
        <v>63</v>
      </c>
      <c r="AC118" s="5" t="s">
        <v>63</v>
      </c>
      <c r="AD118" s="5" t="s">
        <v>64</v>
      </c>
      <c r="AE118" s="5" t="s">
        <v>63</v>
      </c>
      <c r="AF118" s="5" t="s">
        <v>63</v>
      </c>
      <c r="AG118" s="5" t="s">
        <v>63</v>
      </c>
      <c r="AH118" s="5" t="s">
        <v>63</v>
      </c>
      <c r="AI118" s="5" t="s">
        <v>63</v>
      </c>
      <c r="AJ118" s="14" t="s">
        <v>63</v>
      </c>
      <c r="AK118" s="5" t="s">
        <v>63</v>
      </c>
      <c r="AL118" s="5" t="s">
        <v>63</v>
      </c>
      <c r="AM118" s="5" t="s">
        <v>63</v>
      </c>
      <c r="AN118" s="5" t="s">
        <v>63</v>
      </c>
      <c r="AO118" s="5" t="s">
        <v>63</v>
      </c>
      <c r="AP118" s="5" t="s">
        <v>64</v>
      </c>
      <c r="AQ118" s="5" t="s">
        <v>63</v>
      </c>
      <c r="AR118" s="5" t="s">
        <v>64</v>
      </c>
      <c r="AS118" s="8" t="s">
        <v>63</v>
      </c>
      <c r="AT118" s="5" t="s">
        <v>63</v>
      </c>
      <c r="AU118" s="5" t="s">
        <v>63</v>
      </c>
      <c r="AV118" s="5" t="s">
        <v>63</v>
      </c>
      <c r="AW118" s="5" t="s">
        <v>63</v>
      </c>
      <c r="AX118" s="5" t="s">
        <v>63</v>
      </c>
      <c r="AY118" s="5" t="s">
        <v>63</v>
      </c>
      <c r="AZ118" s="5" t="s">
        <v>63</v>
      </c>
      <c r="BA118" s="5" t="s">
        <v>63</v>
      </c>
      <c r="BB118" s="5" t="s">
        <v>63</v>
      </c>
      <c r="BC118" s="5" t="s">
        <v>63</v>
      </c>
      <c r="BD118" s="5" t="s">
        <v>63</v>
      </c>
      <c r="BE118" s="5" t="s">
        <v>64</v>
      </c>
      <c r="BI118" s="5" t="s">
        <v>64</v>
      </c>
      <c r="BO118" s="5" t="s">
        <v>64</v>
      </c>
    </row>
    <row r="119" spans="1:67">
      <c r="A119" s="1" t="str">
        <f t="shared" si="1"/>
        <v>Yes</v>
      </c>
      <c r="B119" s="1" t="s">
        <v>241</v>
      </c>
      <c r="C119" s="1" t="s">
        <v>283</v>
      </c>
      <c r="E119" s="1" t="s">
        <v>284</v>
      </c>
      <c r="F119" s="2" t="s">
        <v>63</v>
      </c>
      <c r="G119" s="5" t="s">
        <v>63</v>
      </c>
      <c r="H119" s="5" t="s">
        <v>63</v>
      </c>
      <c r="I119" s="5" t="s">
        <v>63</v>
      </c>
      <c r="J119" s="5" t="s">
        <v>63</v>
      </c>
      <c r="K119" s="5" t="s">
        <v>63</v>
      </c>
      <c r="L119" s="5" t="s">
        <v>63</v>
      </c>
      <c r="M119" s="5" t="s">
        <v>63</v>
      </c>
      <c r="N119" s="5" t="s">
        <v>63</v>
      </c>
      <c r="O119" s="5" t="s">
        <v>63</v>
      </c>
      <c r="P119" s="5" t="s">
        <v>63</v>
      </c>
      <c r="Q119" s="5" t="s">
        <v>63</v>
      </c>
      <c r="R119" s="5" t="s">
        <v>63</v>
      </c>
      <c r="S119" s="5" t="s">
        <v>63</v>
      </c>
      <c r="T119" s="5" t="s">
        <v>63</v>
      </c>
      <c r="U119" s="5" t="s">
        <v>63</v>
      </c>
      <c r="V119" s="5" t="s">
        <v>64</v>
      </c>
      <c r="W119" s="5" t="s">
        <v>63</v>
      </c>
      <c r="X119" s="5" t="s">
        <v>63</v>
      </c>
      <c r="Y119" s="5" t="s">
        <v>63</v>
      </c>
      <c r="Z119" s="5" t="s">
        <v>63</v>
      </c>
      <c r="AA119" s="5" t="s">
        <v>63</v>
      </c>
      <c r="AB119" s="5" t="s">
        <v>63</v>
      </c>
      <c r="AC119" s="5" t="s">
        <v>63</v>
      </c>
      <c r="AD119" s="5" t="s">
        <v>63</v>
      </c>
      <c r="AE119" s="5" t="s">
        <v>63</v>
      </c>
      <c r="AF119" s="5" t="s">
        <v>63</v>
      </c>
      <c r="AG119" s="5" t="s">
        <v>63</v>
      </c>
      <c r="AH119" s="5" t="s">
        <v>63</v>
      </c>
      <c r="AI119" s="5" t="s">
        <v>63</v>
      </c>
      <c r="AJ119" s="14" t="s">
        <v>63</v>
      </c>
      <c r="AK119" s="5" t="s">
        <v>63</v>
      </c>
      <c r="AL119" s="5" t="s">
        <v>63</v>
      </c>
      <c r="AM119" s="5" t="s">
        <v>63</v>
      </c>
      <c r="AN119" s="5" t="s">
        <v>63</v>
      </c>
      <c r="AO119" s="5" t="s">
        <v>63</v>
      </c>
      <c r="AP119" s="5" t="s">
        <v>63</v>
      </c>
      <c r="AQ119" s="5" t="s">
        <v>63</v>
      </c>
      <c r="AR119" s="5" t="s">
        <v>63</v>
      </c>
      <c r="AS119" s="8" t="s">
        <v>63</v>
      </c>
      <c r="AT119" s="5" t="s">
        <v>63</v>
      </c>
      <c r="AU119" s="5" t="s">
        <v>63</v>
      </c>
      <c r="AV119" s="5" t="s">
        <v>63</v>
      </c>
      <c r="AW119" s="5" t="s">
        <v>63</v>
      </c>
      <c r="AX119" s="5" t="s">
        <v>63</v>
      </c>
      <c r="AY119" s="5" t="s">
        <v>63</v>
      </c>
      <c r="AZ119" s="5" t="s">
        <v>63</v>
      </c>
      <c r="BA119" s="5" t="s">
        <v>63</v>
      </c>
      <c r="BB119" s="5" t="s">
        <v>63</v>
      </c>
      <c r="BC119" s="5" t="s">
        <v>63</v>
      </c>
      <c r="BD119" s="5" t="s">
        <v>63</v>
      </c>
    </row>
    <row r="120" spans="1:67">
      <c r="A120" s="1" t="str">
        <f t="shared" si="1"/>
        <v>Yes</v>
      </c>
      <c r="B120" s="1" t="s">
        <v>241</v>
      </c>
      <c r="C120" s="1" t="s">
        <v>285</v>
      </c>
      <c r="D120" s="11" t="s">
        <v>286</v>
      </c>
      <c r="E120" s="1" t="s">
        <v>287</v>
      </c>
      <c r="F120" s="2">
        <v>3</v>
      </c>
      <c r="G120" s="5" t="s">
        <v>63</v>
      </c>
      <c r="H120" s="5" t="s">
        <v>63</v>
      </c>
      <c r="I120" s="5" t="s">
        <v>63</v>
      </c>
      <c r="J120" s="5" t="s">
        <v>63</v>
      </c>
      <c r="K120" s="5" t="s">
        <v>63</v>
      </c>
      <c r="L120" s="5" t="s">
        <v>63</v>
      </c>
      <c r="M120" s="5" t="s">
        <v>63</v>
      </c>
      <c r="N120" s="5" t="s">
        <v>63</v>
      </c>
      <c r="O120" s="5" t="s">
        <v>63</v>
      </c>
      <c r="P120" s="5" t="s">
        <v>63</v>
      </c>
      <c r="Q120" s="5" t="s">
        <v>63</v>
      </c>
      <c r="R120" s="5" t="s">
        <v>63</v>
      </c>
      <c r="S120" s="5" t="s">
        <v>63</v>
      </c>
      <c r="T120" s="5" t="s">
        <v>63</v>
      </c>
      <c r="U120" s="5" t="s">
        <v>63</v>
      </c>
      <c r="V120" s="5" t="s">
        <v>63</v>
      </c>
      <c r="W120" s="5" t="s">
        <v>63</v>
      </c>
      <c r="X120" s="5" t="s">
        <v>63</v>
      </c>
      <c r="Y120" s="5" t="s">
        <v>63</v>
      </c>
      <c r="Z120" s="5" t="s">
        <v>64</v>
      </c>
      <c r="AA120" s="5" t="s">
        <v>64</v>
      </c>
      <c r="AB120" s="5" t="s">
        <v>63</v>
      </c>
      <c r="AC120" s="5" t="s">
        <v>63</v>
      </c>
      <c r="AD120" s="5" t="s">
        <v>63</v>
      </c>
      <c r="AE120" s="5" t="s">
        <v>63</v>
      </c>
      <c r="AF120" s="5" t="s">
        <v>63</v>
      </c>
      <c r="AG120" s="5" t="s">
        <v>63</v>
      </c>
      <c r="AH120" s="5" t="s">
        <v>63</v>
      </c>
      <c r="AI120" s="5" t="s">
        <v>63</v>
      </c>
      <c r="AJ120" s="14" t="s">
        <v>63</v>
      </c>
      <c r="AK120" s="5" t="s">
        <v>63</v>
      </c>
      <c r="AL120" s="5" t="s">
        <v>63</v>
      </c>
      <c r="AM120" s="5" t="s">
        <v>63</v>
      </c>
      <c r="AN120" s="5" t="s">
        <v>63</v>
      </c>
      <c r="AO120" s="5" t="s">
        <v>63</v>
      </c>
      <c r="AP120" s="5" t="s">
        <v>63</v>
      </c>
      <c r="AQ120" s="5" t="s">
        <v>63</v>
      </c>
      <c r="AR120" s="5" t="s">
        <v>63</v>
      </c>
      <c r="AS120" s="8" t="s">
        <v>63</v>
      </c>
      <c r="AT120" s="5" t="s">
        <v>63</v>
      </c>
      <c r="AU120" s="5" t="s">
        <v>63</v>
      </c>
      <c r="AV120" s="5" t="s">
        <v>63</v>
      </c>
      <c r="AW120" s="5" t="s">
        <v>63</v>
      </c>
      <c r="AX120" s="5" t="s">
        <v>63</v>
      </c>
      <c r="AY120" s="5" t="s">
        <v>63</v>
      </c>
      <c r="AZ120" s="5" t="s">
        <v>63</v>
      </c>
      <c r="BA120" s="5" t="s">
        <v>63</v>
      </c>
      <c r="BB120" s="5" t="s">
        <v>63</v>
      </c>
      <c r="BC120" s="5" t="s">
        <v>63</v>
      </c>
      <c r="BD120" s="5" t="s">
        <v>63</v>
      </c>
      <c r="BF120" s="5" t="s">
        <v>64</v>
      </c>
    </row>
    <row r="121" spans="1:67">
      <c r="A121" s="1" t="str">
        <f t="shared" si="1"/>
        <v>Yes</v>
      </c>
      <c r="B121" s="1" t="s">
        <v>241</v>
      </c>
      <c r="C121" s="1" t="s">
        <v>288</v>
      </c>
      <c r="D121" s="11" t="s">
        <v>286</v>
      </c>
      <c r="E121" s="1" t="s">
        <v>289</v>
      </c>
      <c r="F121" s="2">
        <v>3</v>
      </c>
      <c r="G121" s="5" t="s">
        <v>63</v>
      </c>
      <c r="H121" s="5" t="s">
        <v>63</v>
      </c>
      <c r="I121" s="5" t="s">
        <v>63</v>
      </c>
      <c r="J121" s="5" t="s">
        <v>63</v>
      </c>
      <c r="K121" s="5" t="s">
        <v>63</v>
      </c>
      <c r="L121" s="5" t="s">
        <v>63</v>
      </c>
      <c r="M121" s="5" t="s">
        <v>63</v>
      </c>
      <c r="N121" s="5" t="s">
        <v>63</v>
      </c>
      <c r="O121" s="5" t="s">
        <v>63</v>
      </c>
      <c r="P121" s="5" t="s">
        <v>63</v>
      </c>
      <c r="Q121" s="5" t="s">
        <v>63</v>
      </c>
      <c r="R121" s="5" t="s">
        <v>63</v>
      </c>
      <c r="S121" s="5" t="s">
        <v>63</v>
      </c>
      <c r="T121" s="5" t="s">
        <v>63</v>
      </c>
      <c r="U121" s="5" t="s">
        <v>63</v>
      </c>
      <c r="V121" s="5" t="s">
        <v>64</v>
      </c>
      <c r="W121" s="5" t="s">
        <v>63</v>
      </c>
      <c r="X121" s="5" t="s">
        <v>63</v>
      </c>
      <c r="Y121" s="5" t="s">
        <v>63</v>
      </c>
      <c r="Z121" s="5" t="s">
        <v>63</v>
      </c>
      <c r="AA121" s="5" t="s">
        <v>63</v>
      </c>
      <c r="AB121" s="5" t="s">
        <v>64</v>
      </c>
      <c r="AC121" s="5" t="s">
        <v>63</v>
      </c>
      <c r="AD121" s="5" t="s">
        <v>63</v>
      </c>
      <c r="AE121" s="5" t="s">
        <v>63</v>
      </c>
      <c r="AF121" s="5" t="s">
        <v>63</v>
      </c>
      <c r="AG121" s="5" t="s">
        <v>63</v>
      </c>
      <c r="AH121" s="5" t="s">
        <v>63</v>
      </c>
      <c r="AI121" s="5" t="s">
        <v>63</v>
      </c>
      <c r="AJ121" s="14" t="s">
        <v>63</v>
      </c>
      <c r="AK121" s="5" t="s">
        <v>63</v>
      </c>
      <c r="AL121" s="5" t="s">
        <v>63</v>
      </c>
      <c r="AM121" s="5" t="s">
        <v>63</v>
      </c>
      <c r="AN121" s="5" t="s">
        <v>63</v>
      </c>
      <c r="AO121" s="5" t="s">
        <v>63</v>
      </c>
      <c r="AP121" s="5" t="s">
        <v>63</v>
      </c>
      <c r="AQ121" s="5" t="s">
        <v>63</v>
      </c>
      <c r="AR121" s="5" t="s">
        <v>63</v>
      </c>
      <c r="AS121" s="8" t="s">
        <v>63</v>
      </c>
      <c r="AT121" s="5" t="s">
        <v>63</v>
      </c>
      <c r="AU121" s="5" t="s">
        <v>63</v>
      </c>
      <c r="AV121" s="5" t="s">
        <v>63</v>
      </c>
      <c r="AW121" s="5" t="s">
        <v>63</v>
      </c>
      <c r="AX121" s="5" t="s">
        <v>63</v>
      </c>
      <c r="AY121" s="5" t="s">
        <v>63</v>
      </c>
      <c r="AZ121" s="5" t="s">
        <v>63</v>
      </c>
      <c r="BA121" s="5" t="s">
        <v>63</v>
      </c>
      <c r="BB121" s="5" t="s">
        <v>63</v>
      </c>
      <c r="BC121" s="5" t="s">
        <v>63</v>
      </c>
      <c r="BD121" s="5" t="s">
        <v>63</v>
      </c>
      <c r="BE121" s="5" t="s">
        <v>64</v>
      </c>
      <c r="BG121" s="5" t="s">
        <v>64</v>
      </c>
    </row>
    <row r="122" spans="1:67">
      <c r="A122" s="1" t="str">
        <f t="shared" si="1"/>
        <v>Yes</v>
      </c>
      <c r="B122" s="1" t="s">
        <v>241</v>
      </c>
      <c r="C122" s="1" t="s">
        <v>290</v>
      </c>
      <c r="D122" s="11" t="s">
        <v>286</v>
      </c>
      <c r="E122" s="1" t="s">
        <v>291</v>
      </c>
      <c r="F122" s="2">
        <v>3</v>
      </c>
      <c r="G122" s="5" t="s">
        <v>63</v>
      </c>
      <c r="H122" s="5" t="s">
        <v>63</v>
      </c>
      <c r="I122" s="5" t="s">
        <v>63</v>
      </c>
      <c r="J122" s="5" t="s">
        <v>63</v>
      </c>
      <c r="K122" s="5" t="s">
        <v>63</v>
      </c>
      <c r="L122" s="5" t="s">
        <v>63</v>
      </c>
      <c r="M122" s="5" t="s">
        <v>63</v>
      </c>
      <c r="N122" s="5" t="s">
        <v>63</v>
      </c>
      <c r="O122" s="5" t="s">
        <v>63</v>
      </c>
      <c r="P122" s="5" t="s">
        <v>63</v>
      </c>
      <c r="Q122" s="5" t="s">
        <v>63</v>
      </c>
      <c r="R122" s="5" t="s">
        <v>63</v>
      </c>
      <c r="S122" s="5" t="s">
        <v>63</v>
      </c>
      <c r="T122" s="5" t="s">
        <v>63</v>
      </c>
      <c r="U122" s="5" t="s">
        <v>63</v>
      </c>
      <c r="V122" s="5" t="s">
        <v>64</v>
      </c>
      <c r="W122" s="5" t="s">
        <v>63</v>
      </c>
      <c r="X122" s="5" t="s">
        <v>63</v>
      </c>
      <c r="Y122" s="5" t="s">
        <v>63</v>
      </c>
      <c r="Z122" s="5" t="s">
        <v>64</v>
      </c>
      <c r="AA122" s="5" t="s">
        <v>64</v>
      </c>
      <c r="AB122" s="5" t="s">
        <v>64</v>
      </c>
      <c r="AC122" s="5" t="s">
        <v>63</v>
      </c>
      <c r="AD122" s="5" t="s">
        <v>63</v>
      </c>
      <c r="AE122" s="5" t="s">
        <v>63</v>
      </c>
      <c r="AF122" s="5" t="s">
        <v>63</v>
      </c>
      <c r="AG122" s="5" t="s">
        <v>63</v>
      </c>
      <c r="AH122" s="5" t="s">
        <v>63</v>
      </c>
      <c r="AI122" s="5" t="s">
        <v>63</v>
      </c>
      <c r="AJ122" s="14" t="s">
        <v>63</v>
      </c>
      <c r="AK122" s="5" t="s">
        <v>63</v>
      </c>
      <c r="AL122" s="5" t="s">
        <v>63</v>
      </c>
      <c r="AM122" s="5" t="s">
        <v>63</v>
      </c>
      <c r="AN122" s="5" t="s">
        <v>63</v>
      </c>
      <c r="AO122" s="5" t="s">
        <v>63</v>
      </c>
      <c r="AP122" s="5" t="s">
        <v>63</v>
      </c>
      <c r="AQ122" s="5" t="s">
        <v>63</v>
      </c>
      <c r="AR122" s="5" t="s">
        <v>63</v>
      </c>
      <c r="AS122" s="8" t="s">
        <v>63</v>
      </c>
      <c r="AT122" s="5" t="s">
        <v>63</v>
      </c>
      <c r="AU122" s="5" t="s">
        <v>63</v>
      </c>
      <c r="AV122" s="5" t="s">
        <v>63</v>
      </c>
      <c r="AW122" s="5" t="s">
        <v>63</v>
      </c>
      <c r="AX122" s="5" t="s">
        <v>63</v>
      </c>
      <c r="AY122" s="5" t="s">
        <v>63</v>
      </c>
      <c r="AZ122" s="5" t="s">
        <v>63</v>
      </c>
      <c r="BA122" s="5" t="s">
        <v>63</v>
      </c>
      <c r="BB122" s="5" t="s">
        <v>63</v>
      </c>
      <c r="BC122" s="5" t="s">
        <v>63</v>
      </c>
      <c r="BD122" s="5" t="s">
        <v>63</v>
      </c>
      <c r="BE122" s="5" t="s">
        <v>64</v>
      </c>
      <c r="BF122" s="5" t="s">
        <v>64</v>
      </c>
      <c r="BG122" s="5" t="s">
        <v>64</v>
      </c>
    </row>
    <row r="123" spans="1:67">
      <c r="A123" s="1" t="str">
        <f t="shared" si="1"/>
        <v>Yes</v>
      </c>
      <c r="B123" s="1" t="s">
        <v>241</v>
      </c>
      <c r="C123" s="1" t="s">
        <v>292</v>
      </c>
      <c r="D123" s="11" t="s">
        <v>286</v>
      </c>
      <c r="E123" s="1" t="s">
        <v>293</v>
      </c>
      <c r="F123" s="2">
        <v>2</v>
      </c>
      <c r="G123" s="5" t="s">
        <v>63</v>
      </c>
      <c r="H123" s="5" t="s">
        <v>63</v>
      </c>
      <c r="I123" s="5" t="s">
        <v>63</v>
      </c>
      <c r="J123" s="5" t="s">
        <v>63</v>
      </c>
      <c r="K123" s="5" t="s">
        <v>63</v>
      </c>
      <c r="L123" s="5" t="s">
        <v>63</v>
      </c>
      <c r="M123" s="5" t="s">
        <v>63</v>
      </c>
      <c r="N123" s="5" t="s">
        <v>63</v>
      </c>
      <c r="O123" s="5" t="s">
        <v>63</v>
      </c>
      <c r="P123" s="5" t="s">
        <v>63</v>
      </c>
      <c r="Q123" s="5" t="s">
        <v>63</v>
      </c>
      <c r="R123" s="5" t="s">
        <v>63</v>
      </c>
      <c r="S123" s="5" t="s">
        <v>63</v>
      </c>
      <c r="T123" s="5" t="s">
        <v>63</v>
      </c>
      <c r="U123" s="5" t="s">
        <v>63</v>
      </c>
      <c r="V123" s="5" t="s">
        <v>63</v>
      </c>
      <c r="W123" s="5" t="s">
        <v>63</v>
      </c>
      <c r="X123" s="5" t="s">
        <v>63</v>
      </c>
      <c r="Y123" s="5" t="s">
        <v>63</v>
      </c>
      <c r="Z123" s="5" t="s">
        <v>64</v>
      </c>
      <c r="AA123" s="5" t="s">
        <v>64</v>
      </c>
      <c r="AB123" s="5" t="s">
        <v>63</v>
      </c>
      <c r="AC123" s="5" t="s">
        <v>63</v>
      </c>
      <c r="AD123" s="5" t="s">
        <v>63</v>
      </c>
      <c r="AE123" s="5" t="s">
        <v>63</v>
      </c>
      <c r="AF123" s="5" t="s">
        <v>63</v>
      </c>
      <c r="AG123" s="5" t="s">
        <v>63</v>
      </c>
      <c r="AH123" s="5" t="s">
        <v>63</v>
      </c>
      <c r="AI123" s="5" t="s">
        <v>63</v>
      </c>
      <c r="AJ123" s="14" t="s">
        <v>63</v>
      </c>
      <c r="AK123" s="5" t="s">
        <v>63</v>
      </c>
      <c r="AL123" s="5" t="s">
        <v>63</v>
      </c>
      <c r="AM123" s="5" t="s">
        <v>63</v>
      </c>
      <c r="AN123" s="5" t="s">
        <v>63</v>
      </c>
      <c r="AO123" s="5" t="s">
        <v>63</v>
      </c>
      <c r="AP123" s="5" t="s">
        <v>63</v>
      </c>
      <c r="AQ123" s="5" t="s">
        <v>63</v>
      </c>
      <c r="AR123" s="5" t="s">
        <v>63</v>
      </c>
      <c r="AS123" s="8" t="s">
        <v>63</v>
      </c>
      <c r="AT123" s="5" t="s">
        <v>63</v>
      </c>
      <c r="AU123" s="5" t="s">
        <v>63</v>
      </c>
      <c r="AV123" s="5" t="s">
        <v>63</v>
      </c>
      <c r="AW123" s="5" t="s">
        <v>63</v>
      </c>
      <c r="AX123" s="5" t="s">
        <v>63</v>
      </c>
      <c r="AY123" s="5" t="s">
        <v>63</v>
      </c>
      <c r="AZ123" s="5" t="s">
        <v>63</v>
      </c>
      <c r="BA123" s="5" t="s">
        <v>63</v>
      </c>
      <c r="BB123" s="5" t="s">
        <v>63</v>
      </c>
      <c r="BC123" s="5" t="s">
        <v>63</v>
      </c>
      <c r="BD123" s="5" t="s">
        <v>63</v>
      </c>
      <c r="BF123" s="5" t="s">
        <v>64</v>
      </c>
    </row>
    <row r="124" spans="1:67">
      <c r="A124" s="1" t="str">
        <f t="shared" si="1"/>
        <v>No</v>
      </c>
      <c r="B124" s="1" t="s">
        <v>59</v>
      </c>
      <c r="C124" s="1" t="s">
        <v>294</v>
      </c>
      <c r="D124" s="11" t="s">
        <v>182</v>
      </c>
      <c r="E124" s="1" t="s">
        <v>295</v>
      </c>
      <c r="F124" s="2">
        <v>3</v>
      </c>
      <c r="G124" s="5" t="s">
        <v>63</v>
      </c>
      <c r="H124" s="5" t="s">
        <v>63</v>
      </c>
      <c r="I124" s="5" t="s">
        <v>64</v>
      </c>
      <c r="J124" s="5" t="s">
        <v>63</v>
      </c>
      <c r="K124" s="5" t="s">
        <v>63</v>
      </c>
      <c r="L124" s="5" t="s">
        <v>63</v>
      </c>
      <c r="M124" s="5" t="s">
        <v>63</v>
      </c>
      <c r="N124" s="5" t="s">
        <v>63</v>
      </c>
      <c r="O124" s="5" t="s">
        <v>63</v>
      </c>
      <c r="P124" s="5" t="s">
        <v>63</v>
      </c>
      <c r="Q124" s="5" t="s">
        <v>64</v>
      </c>
      <c r="R124" s="5" t="s">
        <v>63</v>
      </c>
      <c r="S124" s="5" t="s">
        <v>63</v>
      </c>
      <c r="T124" s="5" t="s">
        <v>63</v>
      </c>
      <c r="U124" s="5" t="s">
        <v>64</v>
      </c>
      <c r="V124" s="5" t="s">
        <v>63</v>
      </c>
      <c r="W124" s="5" t="s">
        <v>63</v>
      </c>
      <c r="X124" s="5" t="s">
        <v>63</v>
      </c>
      <c r="Y124" s="5" t="s">
        <v>63</v>
      </c>
      <c r="Z124" s="5" t="s">
        <v>63</v>
      </c>
      <c r="AA124" s="5" t="s">
        <v>63</v>
      </c>
      <c r="AB124" s="5" t="s">
        <v>63</v>
      </c>
      <c r="AC124" s="5" t="s">
        <v>63</v>
      </c>
      <c r="AD124" s="5" t="s">
        <v>63</v>
      </c>
      <c r="AE124" s="5" t="s">
        <v>63</v>
      </c>
      <c r="AF124" s="5" t="s">
        <v>63</v>
      </c>
      <c r="AG124" s="5" t="s">
        <v>63</v>
      </c>
      <c r="AH124" s="5" t="s">
        <v>63</v>
      </c>
      <c r="AI124" s="5" t="s">
        <v>63</v>
      </c>
      <c r="AJ124" s="14" t="s">
        <v>63</v>
      </c>
      <c r="AK124" s="5" t="s">
        <v>63</v>
      </c>
      <c r="AL124" s="5" t="s">
        <v>63</v>
      </c>
      <c r="AM124" s="5" t="s">
        <v>63</v>
      </c>
      <c r="AN124" s="5" t="s">
        <v>63</v>
      </c>
      <c r="AO124" s="5" t="s">
        <v>63</v>
      </c>
      <c r="AP124" s="5" t="s">
        <v>63</v>
      </c>
      <c r="AQ124" s="5" t="s">
        <v>63</v>
      </c>
      <c r="AR124" s="5" t="s">
        <v>63</v>
      </c>
      <c r="AS124" s="8" t="s">
        <v>63</v>
      </c>
      <c r="AT124" s="5" t="s">
        <v>63</v>
      </c>
      <c r="AU124" s="5" t="s">
        <v>63</v>
      </c>
      <c r="AV124" s="5" t="s">
        <v>63</v>
      </c>
      <c r="AW124" s="5" t="s">
        <v>63</v>
      </c>
      <c r="AX124" s="5" t="s">
        <v>63</v>
      </c>
      <c r="AY124" s="5" t="s">
        <v>63</v>
      </c>
      <c r="AZ124" s="5" t="s">
        <v>63</v>
      </c>
      <c r="BA124" s="5" t="s">
        <v>63</v>
      </c>
      <c r="BB124" s="5" t="s">
        <v>63</v>
      </c>
      <c r="BC124" s="5" t="s">
        <v>63</v>
      </c>
      <c r="BD124" s="5" t="s">
        <v>63</v>
      </c>
      <c r="BE124" s="5" t="s">
        <v>64</v>
      </c>
    </row>
    <row r="125" spans="1:67">
      <c r="A125" s="1" t="str">
        <f t="shared" si="1"/>
        <v>No</v>
      </c>
      <c r="B125" s="1" t="s">
        <v>59</v>
      </c>
      <c r="C125" s="1" t="s">
        <v>296</v>
      </c>
      <c r="D125" s="11" t="s">
        <v>209</v>
      </c>
      <c r="E125" s="1" t="s">
        <v>297</v>
      </c>
      <c r="F125" s="2">
        <v>3</v>
      </c>
      <c r="G125" s="5" t="s">
        <v>63</v>
      </c>
      <c r="H125" s="5" t="s">
        <v>63</v>
      </c>
      <c r="I125" s="5" t="s">
        <v>63</v>
      </c>
      <c r="J125" s="5" t="s">
        <v>63</v>
      </c>
      <c r="K125" s="5" t="s">
        <v>63</v>
      </c>
      <c r="L125" s="5" t="s">
        <v>63</v>
      </c>
      <c r="M125" s="5" t="s">
        <v>63</v>
      </c>
      <c r="N125" s="5" t="s">
        <v>63</v>
      </c>
      <c r="O125" s="5" t="s">
        <v>63</v>
      </c>
      <c r="P125" s="5" t="s">
        <v>63</v>
      </c>
      <c r="Q125" s="5" t="s">
        <v>63</v>
      </c>
      <c r="R125" s="5" t="s">
        <v>63</v>
      </c>
      <c r="S125" s="5" t="s">
        <v>63</v>
      </c>
      <c r="T125" s="5" t="s">
        <v>63</v>
      </c>
      <c r="U125" s="5" t="s">
        <v>63</v>
      </c>
      <c r="V125" s="5" t="s">
        <v>63</v>
      </c>
      <c r="W125" s="5" t="s">
        <v>63</v>
      </c>
      <c r="X125" s="5" t="s">
        <v>63</v>
      </c>
      <c r="Y125" s="5" t="s">
        <v>63</v>
      </c>
      <c r="Z125" s="5" t="s">
        <v>64</v>
      </c>
      <c r="AA125" s="5" t="s">
        <v>64</v>
      </c>
      <c r="AB125" s="5" t="s">
        <v>63</v>
      </c>
      <c r="AC125" s="5" t="s">
        <v>63</v>
      </c>
      <c r="AD125" s="5" t="s">
        <v>64</v>
      </c>
      <c r="AE125" s="5" t="s">
        <v>63</v>
      </c>
      <c r="AF125" s="5" t="s">
        <v>63</v>
      </c>
      <c r="AG125" s="5" t="s">
        <v>63</v>
      </c>
      <c r="AH125" s="5" t="s">
        <v>63</v>
      </c>
      <c r="AI125" s="5" t="s">
        <v>63</v>
      </c>
      <c r="AJ125" s="14" t="s">
        <v>63</v>
      </c>
      <c r="AK125" s="5" t="s">
        <v>63</v>
      </c>
      <c r="AL125" s="5" t="s">
        <v>63</v>
      </c>
      <c r="AM125" s="5" t="s">
        <v>63</v>
      </c>
      <c r="AN125" s="5" t="s">
        <v>63</v>
      </c>
      <c r="AO125" s="5" t="s">
        <v>63</v>
      </c>
      <c r="AP125" s="5" t="s">
        <v>63</v>
      </c>
      <c r="AQ125" s="5" t="s">
        <v>63</v>
      </c>
      <c r="AR125" s="5" t="s">
        <v>63</v>
      </c>
      <c r="AS125" s="8" t="s">
        <v>63</v>
      </c>
      <c r="AT125" s="5" t="s">
        <v>63</v>
      </c>
      <c r="AU125" s="5" t="s">
        <v>63</v>
      </c>
      <c r="AV125" s="5" t="s">
        <v>63</v>
      </c>
      <c r="AW125" s="5" t="s">
        <v>63</v>
      </c>
      <c r="AX125" s="5" t="s">
        <v>63</v>
      </c>
      <c r="AY125" s="5" t="s">
        <v>63</v>
      </c>
      <c r="AZ125" s="5" t="s">
        <v>63</v>
      </c>
      <c r="BA125" s="5" t="s">
        <v>63</v>
      </c>
      <c r="BB125" s="5" t="s">
        <v>63</v>
      </c>
      <c r="BC125" s="5" t="s">
        <v>63</v>
      </c>
      <c r="BD125" s="5" t="s">
        <v>63</v>
      </c>
      <c r="BF125" s="5" t="s">
        <v>64</v>
      </c>
      <c r="BI125" s="5" t="s">
        <v>64</v>
      </c>
    </row>
    <row r="126" spans="1:67">
      <c r="A126" s="1" t="str">
        <f t="shared" si="1"/>
        <v>No</v>
      </c>
      <c r="B126" s="1" t="s">
        <v>59</v>
      </c>
      <c r="C126" s="1" t="s">
        <v>298</v>
      </c>
      <c r="D126" s="11" t="s">
        <v>299</v>
      </c>
      <c r="E126" s="1" t="s">
        <v>300</v>
      </c>
      <c r="F126" s="2">
        <v>1</v>
      </c>
      <c r="G126" s="5" t="s">
        <v>63</v>
      </c>
      <c r="H126" s="5" t="s">
        <v>63</v>
      </c>
      <c r="I126" s="5" t="s">
        <v>64</v>
      </c>
      <c r="J126" s="5" t="s">
        <v>63</v>
      </c>
      <c r="K126" s="5" t="s">
        <v>63</v>
      </c>
      <c r="L126" s="5" t="s">
        <v>63</v>
      </c>
      <c r="M126" s="5" t="s">
        <v>64</v>
      </c>
      <c r="N126" s="5" t="s">
        <v>63</v>
      </c>
      <c r="O126" s="5" t="s">
        <v>63</v>
      </c>
      <c r="P126" s="5" t="s">
        <v>63</v>
      </c>
      <c r="Q126" s="5" t="s">
        <v>63</v>
      </c>
      <c r="R126" s="5" t="s">
        <v>63</v>
      </c>
      <c r="S126" s="5" t="s">
        <v>63</v>
      </c>
      <c r="T126" s="5" t="s">
        <v>63</v>
      </c>
      <c r="U126" s="5" t="s">
        <v>64</v>
      </c>
      <c r="V126" s="5"/>
      <c r="W126" s="5" t="s">
        <v>63</v>
      </c>
      <c r="X126" s="5" t="s">
        <v>63</v>
      </c>
      <c r="Y126" s="5" t="s">
        <v>63</v>
      </c>
      <c r="Z126" s="5" t="s">
        <v>63</v>
      </c>
      <c r="AA126" s="5" t="s">
        <v>63</v>
      </c>
      <c r="AB126" s="5" t="s">
        <v>63</v>
      </c>
      <c r="AC126" s="5" t="s">
        <v>63</v>
      </c>
      <c r="AD126" s="5" t="s">
        <v>63</v>
      </c>
      <c r="AE126" s="5" t="s">
        <v>63</v>
      </c>
      <c r="AF126" s="5" t="s">
        <v>63</v>
      </c>
      <c r="AG126" s="5" t="s">
        <v>63</v>
      </c>
      <c r="AH126" s="5" t="s">
        <v>63</v>
      </c>
      <c r="AI126" s="5" t="s">
        <v>63</v>
      </c>
      <c r="AJ126" s="14" t="s">
        <v>63</v>
      </c>
      <c r="AK126" s="5" t="s">
        <v>63</v>
      </c>
      <c r="AL126" s="5" t="s">
        <v>63</v>
      </c>
      <c r="AM126" s="5" t="s">
        <v>63</v>
      </c>
      <c r="AN126" s="5" t="s">
        <v>63</v>
      </c>
      <c r="AO126" s="5" t="s">
        <v>63</v>
      </c>
      <c r="AP126" s="5" t="s">
        <v>63</v>
      </c>
      <c r="AQ126" s="5" t="s">
        <v>63</v>
      </c>
      <c r="AR126" s="5" t="s">
        <v>63</v>
      </c>
      <c r="AS126" s="8" t="s">
        <v>63</v>
      </c>
      <c r="AT126" s="5" t="s">
        <v>63</v>
      </c>
      <c r="AU126" s="5" t="s">
        <v>63</v>
      </c>
      <c r="AV126" s="5" t="s">
        <v>63</v>
      </c>
      <c r="AW126" s="5" t="s">
        <v>63</v>
      </c>
      <c r="AX126" s="5" t="s">
        <v>63</v>
      </c>
      <c r="AY126" s="5" t="s">
        <v>63</v>
      </c>
      <c r="AZ126" s="5" t="s">
        <v>63</v>
      </c>
      <c r="BA126" s="5" t="s">
        <v>63</v>
      </c>
      <c r="BB126" s="5" t="s">
        <v>63</v>
      </c>
      <c r="BC126" s="5" t="s">
        <v>63</v>
      </c>
      <c r="BD126" s="5" t="s">
        <v>63</v>
      </c>
      <c r="BE126" s="5" t="s">
        <v>64</v>
      </c>
    </row>
    <row r="127" spans="1:67">
      <c r="A127" s="1" t="str">
        <f t="shared" si="1"/>
        <v>No</v>
      </c>
      <c r="B127" s="1" t="s">
        <v>59</v>
      </c>
      <c r="C127" s="1" t="s">
        <v>301</v>
      </c>
      <c r="D127" s="11" t="s">
        <v>299</v>
      </c>
      <c r="E127" s="1" t="s">
        <v>302</v>
      </c>
      <c r="F127" s="2">
        <v>1</v>
      </c>
      <c r="G127" s="5" t="s">
        <v>63</v>
      </c>
      <c r="H127" s="5" t="s">
        <v>63</v>
      </c>
      <c r="I127" s="5" t="s">
        <v>64</v>
      </c>
      <c r="J127" s="5" t="s">
        <v>63</v>
      </c>
      <c r="K127" s="5" t="s">
        <v>63</v>
      </c>
      <c r="L127" s="5" t="s">
        <v>63</v>
      </c>
      <c r="M127" s="5" t="s">
        <v>64</v>
      </c>
      <c r="N127" s="5" t="s">
        <v>63</v>
      </c>
      <c r="O127" s="5" t="s">
        <v>63</v>
      </c>
      <c r="P127" s="5" t="s">
        <v>63</v>
      </c>
      <c r="Q127" s="5" t="s">
        <v>63</v>
      </c>
      <c r="R127" s="5" t="s">
        <v>63</v>
      </c>
      <c r="S127" s="5" t="s">
        <v>63</v>
      </c>
      <c r="T127" s="5" t="s">
        <v>63</v>
      </c>
      <c r="U127" s="5" t="s">
        <v>64</v>
      </c>
      <c r="V127" s="5"/>
      <c r="W127" s="5" t="s">
        <v>63</v>
      </c>
      <c r="X127" s="5" t="s">
        <v>63</v>
      </c>
      <c r="Y127" s="5" t="s">
        <v>63</v>
      </c>
      <c r="Z127" s="5" t="s">
        <v>63</v>
      </c>
      <c r="AA127" s="5" t="s">
        <v>63</v>
      </c>
      <c r="AB127" s="5" t="s">
        <v>63</v>
      </c>
      <c r="AC127" s="5" t="s">
        <v>63</v>
      </c>
      <c r="AD127" s="5" t="s">
        <v>63</v>
      </c>
      <c r="AE127" s="5" t="s">
        <v>63</v>
      </c>
      <c r="AF127" s="5" t="s">
        <v>63</v>
      </c>
      <c r="AG127" s="5" t="s">
        <v>63</v>
      </c>
      <c r="AH127" s="5" t="s">
        <v>63</v>
      </c>
      <c r="AI127" s="5" t="s">
        <v>63</v>
      </c>
      <c r="AJ127" s="14" t="s">
        <v>63</v>
      </c>
      <c r="AK127" s="5" t="s">
        <v>63</v>
      </c>
      <c r="AL127" s="5" t="s">
        <v>63</v>
      </c>
      <c r="AM127" s="5" t="s">
        <v>63</v>
      </c>
      <c r="AN127" s="5" t="s">
        <v>63</v>
      </c>
      <c r="AO127" s="5" t="s">
        <v>63</v>
      </c>
      <c r="AP127" s="5" t="s">
        <v>63</v>
      </c>
      <c r="AQ127" s="5" t="s">
        <v>63</v>
      </c>
      <c r="AR127" s="5" t="s">
        <v>63</v>
      </c>
      <c r="AS127" s="8" t="s">
        <v>63</v>
      </c>
      <c r="AT127" s="5" t="s">
        <v>63</v>
      </c>
      <c r="AU127" s="5" t="s">
        <v>63</v>
      </c>
      <c r="AV127" s="5" t="s">
        <v>63</v>
      </c>
      <c r="AW127" s="5" t="s">
        <v>63</v>
      </c>
      <c r="AX127" s="5" t="s">
        <v>63</v>
      </c>
      <c r="AY127" s="5" t="s">
        <v>63</v>
      </c>
      <c r="AZ127" s="5" t="s">
        <v>63</v>
      </c>
      <c r="BA127" s="5" t="s">
        <v>63</v>
      </c>
      <c r="BB127" s="5" t="s">
        <v>63</v>
      </c>
      <c r="BC127" s="5" t="s">
        <v>63</v>
      </c>
      <c r="BD127" s="5" t="s">
        <v>63</v>
      </c>
      <c r="BE127" s="5" t="s">
        <v>64</v>
      </c>
    </row>
    <row r="128" spans="1:67">
      <c r="A128" s="1" t="str">
        <f t="shared" si="1"/>
        <v>No</v>
      </c>
      <c r="B128" s="1" t="s">
        <v>59</v>
      </c>
      <c r="C128" s="1" t="s">
        <v>303</v>
      </c>
      <c r="D128" s="11" t="s">
        <v>299</v>
      </c>
      <c r="E128" s="1" t="s">
        <v>304</v>
      </c>
      <c r="F128" s="2">
        <v>1</v>
      </c>
      <c r="G128" s="5" t="s">
        <v>63</v>
      </c>
      <c r="H128" s="5" t="s">
        <v>63</v>
      </c>
      <c r="I128" s="5" t="s">
        <v>64</v>
      </c>
      <c r="J128" s="5" t="s">
        <v>63</v>
      </c>
      <c r="K128" s="5" t="s">
        <v>63</v>
      </c>
      <c r="L128" s="5" t="s">
        <v>63</v>
      </c>
      <c r="M128" s="5" t="s">
        <v>64</v>
      </c>
      <c r="N128" s="5" t="s">
        <v>63</v>
      </c>
      <c r="O128" s="5" t="s">
        <v>63</v>
      </c>
      <c r="P128" s="5" t="s">
        <v>63</v>
      </c>
      <c r="Q128" s="5" t="s">
        <v>63</v>
      </c>
      <c r="R128" s="5" t="s">
        <v>63</v>
      </c>
      <c r="S128" s="5" t="s">
        <v>63</v>
      </c>
      <c r="T128" s="5" t="s">
        <v>63</v>
      </c>
      <c r="U128" s="5" t="s">
        <v>64</v>
      </c>
      <c r="V128" s="5"/>
      <c r="W128" s="5" t="s">
        <v>63</v>
      </c>
      <c r="X128" s="5" t="s">
        <v>63</v>
      </c>
      <c r="Y128" s="5" t="s">
        <v>63</v>
      </c>
      <c r="Z128" s="5" t="s">
        <v>63</v>
      </c>
      <c r="AA128" s="5" t="s">
        <v>63</v>
      </c>
      <c r="AB128" s="5" t="s">
        <v>63</v>
      </c>
      <c r="AC128" s="5" t="s">
        <v>63</v>
      </c>
      <c r="AD128" s="5" t="s">
        <v>63</v>
      </c>
      <c r="AE128" s="5" t="s">
        <v>63</v>
      </c>
      <c r="AF128" s="5" t="s">
        <v>63</v>
      </c>
      <c r="AG128" s="5" t="s">
        <v>63</v>
      </c>
      <c r="AH128" s="5" t="s">
        <v>63</v>
      </c>
      <c r="AI128" s="5" t="s">
        <v>63</v>
      </c>
      <c r="AJ128" s="14" t="s">
        <v>63</v>
      </c>
      <c r="AK128" s="5" t="s">
        <v>63</v>
      </c>
      <c r="AL128" s="5" t="s">
        <v>63</v>
      </c>
      <c r="AM128" s="5" t="s">
        <v>63</v>
      </c>
      <c r="AN128" s="5" t="s">
        <v>63</v>
      </c>
      <c r="AO128" s="5" t="s">
        <v>63</v>
      </c>
      <c r="AP128" s="5" t="s">
        <v>63</v>
      </c>
      <c r="AQ128" s="5" t="s">
        <v>63</v>
      </c>
      <c r="AR128" s="5" t="s">
        <v>63</v>
      </c>
      <c r="AS128" s="8" t="s">
        <v>63</v>
      </c>
      <c r="AT128" s="5" t="s">
        <v>63</v>
      </c>
      <c r="AU128" s="5" t="s">
        <v>63</v>
      </c>
      <c r="AV128" s="5" t="s">
        <v>63</v>
      </c>
      <c r="AW128" s="5" t="s">
        <v>63</v>
      </c>
      <c r="AX128" s="5" t="s">
        <v>63</v>
      </c>
      <c r="AY128" s="5" t="s">
        <v>63</v>
      </c>
      <c r="AZ128" s="5" t="s">
        <v>63</v>
      </c>
      <c r="BA128" s="5" t="s">
        <v>63</v>
      </c>
      <c r="BB128" s="5" t="s">
        <v>63</v>
      </c>
      <c r="BC128" s="5" t="s">
        <v>63</v>
      </c>
      <c r="BD128" s="5" t="s">
        <v>63</v>
      </c>
      <c r="BE128" s="5" t="s">
        <v>64</v>
      </c>
    </row>
    <row r="129" spans="1:68">
      <c r="A129" s="1" t="str">
        <f t="shared" si="1"/>
        <v>No</v>
      </c>
      <c r="B129" s="1" t="s">
        <v>59</v>
      </c>
      <c r="C129" s="1" t="s">
        <v>305</v>
      </c>
      <c r="D129" s="11" t="s">
        <v>209</v>
      </c>
      <c r="E129" s="1" t="s">
        <v>306</v>
      </c>
      <c r="F129" s="2">
        <v>3</v>
      </c>
      <c r="G129" s="5" t="s">
        <v>63</v>
      </c>
      <c r="H129" s="5" t="s">
        <v>63</v>
      </c>
      <c r="I129" s="5" t="s">
        <v>63</v>
      </c>
      <c r="J129" s="5" t="s">
        <v>63</v>
      </c>
      <c r="K129" s="5" t="s">
        <v>63</v>
      </c>
      <c r="L129" s="5" t="s">
        <v>63</v>
      </c>
      <c r="M129" s="5" t="s">
        <v>63</v>
      </c>
      <c r="N129" s="5" t="s">
        <v>63</v>
      </c>
      <c r="O129" s="5" t="s">
        <v>63</v>
      </c>
      <c r="P129" s="5" t="s">
        <v>63</v>
      </c>
      <c r="Q129" s="5" t="s">
        <v>63</v>
      </c>
      <c r="R129" s="5" t="s">
        <v>63</v>
      </c>
      <c r="S129" s="5" t="s">
        <v>63</v>
      </c>
      <c r="T129" s="5" t="s">
        <v>63</v>
      </c>
      <c r="U129" s="5" t="s">
        <v>63</v>
      </c>
      <c r="V129" s="5" t="s">
        <v>63</v>
      </c>
      <c r="W129" s="5" t="s">
        <v>63</v>
      </c>
      <c r="X129" s="5" t="s">
        <v>63</v>
      </c>
      <c r="Y129" s="5" t="s">
        <v>63</v>
      </c>
      <c r="Z129" s="5" t="s">
        <v>64</v>
      </c>
      <c r="AA129" s="5" t="s">
        <v>64</v>
      </c>
      <c r="AB129" s="5" t="s">
        <v>63</v>
      </c>
      <c r="AC129" s="5" t="s">
        <v>63</v>
      </c>
      <c r="AD129" s="5" t="s">
        <v>63</v>
      </c>
      <c r="AE129" s="5" t="s">
        <v>63</v>
      </c>
      <c r="AF129" s="5" t="s">
        <v>63</v>
      </c>
      <c r="AG129" s="5" t="s">
        <v>63</v>
      </c>
      <c r="AH129" s="5" t="s">
        <v>63</v>
      </c>
      <c r="AI129" s="5" t="s">
        <v>63</v>
      </c>
      <c r="AJ129" s="14" t="s">
        <v>63</v>
      </c>
      <c r="AK129" s="5" t="s">
        <v>63</v>
      </c>
      <c r="AL129" s="5" t="s">
        <v>63</v>
      </c>
      <c r="AM129" s="5" t="s">
        <v>63</v>
      </c>
      <c r="AN129" s="5" t="s">
        <v>63</v>
      </c>
      <c r="AO129" s="5" t="s">
        <v>63</v>
      </c>
      <c r="AP129" s="5" t="s">
        <v>63</v>
      </c>
      <c r="AQ129" s="5" t="s">
        <v>63</v>
      </c>
      <c r="AR129" s="5" t="s">
        <v>63</v>
      </c>
      <c r="AS129" s="8" t="s">
        <v>63</v>
      </c>
      <c r="AT129" s="5" t="s">
        <v>63</v>
      </c>
      <c r="AU129" s="5" t="s">
        <v>63</v>
      </c>
      <c r="AV129" s="5" t="s">
        <v>63</v>
      </c>
      <c r="AW129" s="5" t="s">
        <v>63</v>
      </c>
      <c r="AX129" s="5" t="s">
        <v>63</v>
      </c>
      <c r="AY129" s="5" t="s">
        <v>63</v>
      </c>
      <c r="AZ129" s="5" t="s">
        <v>63</v>
      </c>
      <c r="BA129" s="5" t="s">
        <v>63</v>
      </c>
      <c r="BB129" s="5" t="s">
        <v>63</v>
      </c>
      <c r="BC129" s="5" t="s">
        <v>63</v>
      </c>
      <c r="BD129" s="5" t="s">
        <v>63</v>
      </c>
      <c r="BF129" s="5" t="s">
        <v>64</v>
      </c>
    </row>
    <row r="130" spans="1:68">
      <c r="A130" s="1" t="str">
        <f t="shared" si="1"/>
        <v>No</v>
      </c>
      <c r="B130" s="1" t="s">
        <v>59</v>
      </c>
      <c r="C130" s="1" t="s">
        <v>307</v>
      </c>
      <c r="D130" s="11" t="s">
        <v>209</v>
      </c>
      <c r="E130" s="1" t="s">
        <v>308</v>
      </c>
      <c r="F130" s="2">
        <v>3</v>
      </c>
      <c r="G130" s="5" t="s">
        <v>63</v>
      </c>
      <c r="H130" s="5" t="s">
        <v>63</v>
      </c>
      <c r="I130" s="5" t="s">
        <v>63</v>
      </c>
      <c r="J130" s="5" t="s">
        <v>63</v>
      </c>
      <c r="K130" s="5" t="s">
        <v>63</v>
      </c>
      <c r="L130" s="5" t="s">
        <v>63</v>
      </c>
      <c r="M130" s="5" t="s">
        <v>63</v>
      </c>
      <c r="N130" s="5" t="s">
        <v>63</v>
      </c>
      <c r="O130" s="5" t="s">
        <v>63</v>
      </c>
      <c r="P130" s="5" t="s">
        <v>63</v>
      </c>
      <c r="Q130" s="5" t="s">
        <v>63</v>
      </c>
      <c r="R130" s="5" t="s">
        <v>63</v>
      </c>
      <c r="S130" s="5" t="s">
        <v>63</v>
      </c>
      <c r="T130" s="5" t="s">
        <v>63</v>
      </c>
      <c r="U130" s="5" t="s">
        <v>63</v>
      </c>
      <c r="V130" s="5" t="s">
        <v>63</v>
      </c>
      <c r="W130" s="5" t="s">
        <v>63</v>
      </c>
      <c r="X130" s="5" t="s">
        <v>63</v>
      </c>
      <c r="Y130" s="5" t="s">
        <v>63</v>
      </c>
      <c r="Z130" s="5" t="s">
        <v>63</v>
      </c>
      <c r="AA130" s="5" t="s">
        <v>63</v>
      </c>
      <c r="AB130" s="5" t="s">
        <v>63</v>
      </c>
      <c r="AC130" s="5" t="s">
        <v>63</v>
      </c>
      <c r="AD130" s="5" t="s">
        <v>63</v>
      </c>
      <c r="AE130" s="5" t="s">
        <v>63</v>
      </c>
      <c r="AF130" s="5" t="s">
        <v>63</v>
      </c>
      <c r="AG130" s="5" t="s">
        <v>63</v>
      </c>
      <c r="AH130" s="5" t="s">
        <v>63</v>
      </c>
      <c r="AI130" s="5" t="s">
        <v>63</v>
      </c>
      <c r="AJ130" s="14" t="s">
        <v>63</v>
      </c>
      <c r="AK130" s="5" t="s">
        <v>63</v>
      </c>
      <c r="AL130" s="5" t="s">
        <v>63</v>
      </c>
      <c r="AM130" s="5" t="s">
        <v>63</v>
      </c>
      <c r="AN130" s="5" t="s">
        <v>63</v>
      </c>
      <c r="AO130" s="5" t="s">
        <v>63</v>
      </c>
      <c r="AP130" s="5" t="s">
        <v>63</v>
      </c>
      <c r="AQ130" s="5" t="s">
        <v>63</v>
      </c>
      <c r="AR130" s="5" t="s">
        <v>63</v>
      </c>
      <c r="AS130" s="8" t="s">
        <v>63</v>
      </c>
      <c r="AT130" s="5" t="s">
        <v>63</v>
      </c>
      <c r="AU130" s="5" t="s">
        <v>63</v>
      </c>
      <c r="AV130" s="5" t="s">
        <v>63</v>
      </c>
      <c r="AW130" s="5" t="s">
        <v>63</v>
      </c>
      <c r="AX130" s="5" t="s">
        <v>63</v>
      </c>
      <c r="AY130" s="5" t="s">
        <v>63</v>
      </c>
      <c r="AZ130" s="5" t="s">
        <v>63</v>
      </c>
      <c r="BA130" s="5" t="s">
        <v>63</v>
      </c>
      <c r="BB130" s="5" t="s">
        <v>63</v>
      </c>
      <c r="BC130" s="5" t="s">
        <v>63</v>
      </c>
      <c r="BD130" s="5" t="s">
        <v>63</v>
      </c>
    </row>
    <row r="131" spans="1:68">
      <c r="A131" s="1" t="str">
        <f t="shared" si="1"/>
        <v>No</v>
      </c>
      <c r="B131" s="1" t="s">
        <v>59</v>
      </c>
      <c r="C131" s="1" t="s">
        <v>309</v>
      </c>
      <c r="D131" s="11" t="s">
        <v>182</v>
      </c>
      <c r="E131" s="1" t="s">
        <v>310</v>
      </c>
      <c r="F131" s="2">
        <v>3</v>
      </c>
      <c r="G131" s="5" t="s">
        <v>63</v>
      </c>
      <c r="H131" s="5" t="s">
        <v>63</v>
      </c>
      <c r="I131" s="5" t="s">
        <v>63</v>
      </c>
      <c r="J131" s="5" t="s">
        <v>63</v>
      </c>
      <c r="K131" s="5" t="s">
        <v>63</v>
      </c>
      <c r="L131" s="5" t="s">
        <v>63</v>
      </c>
      <c r="M131" s="5" t="s">
        <v>63</v>
      </c>
      <c r="N131" s="5" t="s">
        <v>63</v>
      </c>
      <c r="O131" s="5" t="s">
        <v>64</v>
      </c>
      <c r="P131" s="5" t="s">
        <v>63</v>
      </c>
      <c r="Q131" s="5" t="s">
        <v>63</v>
      </c>
      <c r="R131" s="5" t="s">
        <v>63</v>
      </c>
      <c r="S131" s="5" t="s">
        <v>63</v>
      </c>
      <c r="T131" s="5" t="s">
        <v>63</v>
      </c>
      <c r="U131" s="5" t="s">
        <v>63</v>
      </c>
      <c r="V131" s="5" t="s">
        <v>63</v>
      </c>
      <c r="W131" s="5" t="s">
        <v>64</v>
      </c>
      <c r="X131" s="5" t="s">
        <v>63</v>
      </c>
      <c r="Y131" s="5" t="s">
        <v>63</v>
      </c>
      <c r="Z131" s="5" t="s">
        <v>63</v>
      </c>
      <c r="AA131" s="5" t="s">
        <v>63</v>
      </c>
      <c r="AB131" s="5" t="s">
        <v>63</v>
      </c>
      <c r="AC131" s="5" t="s">
        <v>63</v>
      </c>
      <c r="AD131" s="5" t="s">
        <v>63</v>
      </c>
      <c r="AE131" s="5" t="s">
        <v>63</v>
      </c>
      <c r="AF131" s="5" t="s">
        <v>63</v>
      </c>
      <c r="AG131" s="5" t="s">
        <v>63</v>
      </c>
      <c r="AH131" s="5" t="s">
        <v>63</v>
      </c>
      <c r="AI131" s="5" t="s">
        <v>63</v>
      </c>
      <c r="AJ131" s="14" t="s">
        <v>63</v>
      </c>
      <c r="AK131" s="5" t="s">
        <v>63</v>
      </c>
      <c r="AL131" s="5" t="s">
        <v>63</v>
      </c>
      <c r="AM131" s="5" t="s">
        <v>63</v>
      </c>
      <c r="AN131" s="5" t="s">
        <v>63</v>
      </c>
      <c r="AO131" s="5" t="s">
        <v>63</v>
      </c>
      <c r="AP131" s="5" t="s">
        <v>63</v>
      </c>
      <c r="AQ131" s="5" t="s">
        <v>63</v>
      </c>
      <c r="AR131" s="5" t="s">
        <v>63</v>
      </c>
      <c r="AS131" s="8" t="s">
        <v>63</v>
      </c>
      <c r="AT131" s="5" t="s">
        <v>63</v>
      </c>
      <c r="AU131" s="5" t="s">
        <v>63</v>
      </c>
      <c r="AV131" s="5" t="s">
        <v>63</v>
      </c>
      <c r="AW131" s="5" t="s">
        <v>63</v>
      </c>
      <c r="AX131" s="5" t="s">
        <v>63</v>
      </c>
      <c r="AY131" s="5" t="s">
        <v>63</v>
      </c>
      <c r="AZ131" s="5" t="s">
        <v>63</v>
      </c>
      <c r="BA131" s="5" t="s">
        <v>63</v>
      </c>
      <c r="BB131" s="5" t="s">
        <v>63</v>
      </c>
      <c r="BC131" s="5" t="s">
        <v>63</v>
      </c>
      <c r="BD131" s="5" t="s">
        <v>63</v>
      </c>
      <c r="BE131" s="5" t="s">
        <v>64</v>
      </c>
    </row>
    <row r="132" spans="1:68">
      <c r="A132" s="1" t="str">
        <f t="shared" ref="A132:A195" si="2">IF(B132="uncategorized","No","Yes")</f>
        <v>No</v>
      </c>
      <c r="B132" s="1" t="s">
        <v>59</v>
      </c>
      <c r="C132" s="1" t="s">
        <v>311</v>
      </c>
      <c r="D132" s="11" t="s">
        <v>182</v>
      </c>
      <c r="E132" s="1" t="s">
        <v>312</v>
      </c>
      <c r="F132" s="2" t="s">
        <v>63</v>
      </c>
      <c r="G132" s="5" t="s">
        <v>64</v>
      </c>
      <c r="H132" s="5" t="s">
        <v>63</v>
      </c>
      <c r="I132" s="5" t="s">
        <v>63</v>
      </c>
      <c r="J132" s="5" t="s">
        <v>63</v>
      </c>
      <c r="K132" s="5" t="s">
        <v>63</v>
      </c>
      <c r="L132" s="5" t="s">
        <v>63</v>
      </c>
      <c r="M132" s="5" t="s">
        <v>63</v>
      </c>
      <c r="N132" s="5" t="s">
        <v>63</v>
      </c>
      <c r="O132" s="5" t="s">
        <v>63</v>
      </c>
      <c r="P132" s="5" t="s">
        <v>63</v>
      </c>
      <c r="Q132" s="5" t="s">
        <v>63</v>
      </c>
      <c r="R132" s="5" t="s">
        <v>63</v>
      </c>
      <c r="S132" s="5" t="s">
        <v>63</v>
      </c>
      <c r="T132" s="5" t="s">
        <v>63</v>
      </c>
      <c r="U132" s="5" t="s">
        <v>63</v>
      </c>
      <c r="V132" s="5" t="s">
        <v>63</v>
      </c>
      <c r="W132" s="5" t="s">
        <v>63</v>
      </c>
      <c r="X132" s="5" t="s">
        <v>63</v>
      </c>
      <c r="Y132" s="5" t="s">
        <v>63</v>
      </c>
      <c r="Z132" s="5" t="s">
        <v>63</v>
      </c>
      <c r="AA132" s="5" t="s">
        <v>63</v>
      </c>
      <c r="AB132" s="5" t="s">
        <v>63</v>
      </c>
      <c r="AC132" s="5" t="s">
        <v>63</v>
      </c>
      <c r="AD132" s="5" t="s">
        <v>63</v>
      </c>
      <c r="AE132" s="5" t="s">
        <v>63</v>
      </c>
      <c r="AF132" s="5" t="s">
        <v>63</v>
      </c>
      <c r="AG132" s="5" t="s">
        <v>63</v>
      </c>
      <c r="AH132" s="5" t="s">
        <v>63</v>
      </c>
      <c r="AI132" s="5" t="s">
        <v>63</v>
      </c>
      <c r="AJ132" s="14" t="s">
        <v>63</v>
      </c>
      <c r="AK132" s="5" t="s">
        <v>63</v>
      </c>
      <c r="AL132" s="5" t="s">
        <v>63</v>
      </c>
      <c r="AM132" s="5" t="s">
        <v>63</v>
      </c>
      <c r="AN132" s="5" t="s">
        <v>63</v>
      </c>
      <c r="AO132" s="5" t="s">
        <v>63</v>
      </c>
      <c r="AP132" s="5" t="s">
        <v>63</v>
      </c>
      <c r="AQ132" s="5" t="s">
        <v>63</v>
      </c>
      <c r="AR132" s="5" t="s">
        <v>63</v>
      </c>
      <c r="AS132" s="8" t="s">
        <v>63</v>
      </c>
      <c r="AT132" s="5" t="s">
        <v>63</v>
      </c>
      <c r="AU132" s="5" t="s">
        <v>63</v>
      </c>
      <c r="AV132" s="5" t="s">
        <v>63</v>
      </c>
      <c r="AW132" s="5" t="s">
        <v>63</v>
      </c>
      <c r="AX132" s="5" t="s">
        <v>63</v>
      </c>
      <c r="AY132" s="5" t="s">
        <v>63</v>
      </c>
      <c r="AZ132" s="5" t="s">
        <v>63</v>
      </c>
      <c r="BA132" s="5" t="s">
        <v>63</v>
      </c>
      <c r="BB132" s="5" t="s">
        <v>63</v>
      </c>
      <c r="BC132" s="5" t="s">
        <v>63</v>
      </c>
      <c r="BD132" s="5" t="s">
        <v>63</v>
      </c>
      <c r="BE132" s="5" t="s">
        <v>64</v>
      </c>
    </row>
    <row r="133" spans="1:68">
      <c r="A133" s="1" t="str">
        <f t="shared" si="2"/>
        <v>No</v>
      </c>
      <c r="B133" s="1" t="s">
        <v>59</v>
      </c>
      <c r="C133" s="1" t="s">
        <v>313</v>
      </c>
      <c r="D133" s="11" t="s">
        <v>314</v>
      </c>
      <c r="E133" s="1" t="s">
        <v>315</v>
      </c>
      <c r="F133" s="2">
        <v>3</v>
      </c>
      <c r="G133" s="5" t="s">
        <v>63</v>
      </c>
      <c r="H133" s="5" t="s">
        <v>64</v>
      </c>
      <c r="I133" s="5" t="s">
        <v>64</v>
      </c>
      <c r="J133" s="5" t="s">
        <v>63</v>
      </c>
      <c r="K133" s="5" t="s">
        <v>63</v>
      </c>
      <c r="L133" s="5" t="s">
        <v>63</v>
      </c>
      <c r="M133" s="5" t="s">
        <v>63</v>
      </c>
      <c r="N133" s="5" t="s">
        <v>63</v>
      </c>
      <c r="O133" s="5" t="s">
        <v>63</v>
      </c>
      <c r="P133" s="5" t="s">
        <v>63</v>
      </c>
      <c r="Q133" s="5" t="s">
        <v>63</v>
      </c>
      <c r="R133" s="5" t="s">
        <v>63</v>
      </c>
      <c r="S133" s="5" t="s">
        <v>63</v>
      </c>
      <c r="T133" s="5" t="s">
        <v>63</v>
      </c>
      <c r="U133" s="5" t="s">
        <v>63</v>
      </c>
      <c r="V133" s="5" t="s">
        <v>63</v>
      </c>
      <c r="W133" s="5" t="s">
        <v>63</v>
      </c>
      <c r="X133" s="5" t="s">
        <v>63</v>
      </c>
      <c r="Y133" s="5" t="s">
        <v>63</v>
      </c>
      <c r="Z133" s="5" t="s">
        <v>63</v>
      </c>
      <c r="AA133" s="5" t="s">
        <v>63</v>
      </c>
      <c r="AB133" s="5" t="s">
        <v>63</v>
      </c>
      <c r="AC133" s="5" t="s">
        <v>63</v>
      </c>
      <c r="AD133" s="5" t="s">
        <v>63</v>
      </c>
      <c r="AE133" s="5" t="s">
        <v>63</v>
      </c>
      <c r="AF133" s="5" t="s">
        <v>63</v>
      </c>
      <c r="AG133" s="5" t="s">
        <v>63</v>
      </c>
      <c r="AH133" s="5" t="s">
        <v>63</v>
      </c>
      <c r="AI133" s="5" t="s">
        <v>63</v>
      </c>
      <c r="AJ133" s="14" t="s">
        <v>63</v>
      </c>
      <c r="AK133" s="5" t="s">
        <v>63</v>
      </c>
      <c r="AL133" s="5" t="s">
        <v>63</v>
      </c>
      <c r="AM133" s="5" t="s">
        <v>63</v>
      </c>
      <c r="AN133" s="5" t="s">
        <v>63</v>
      </c>
      <c r="AO133" s="5" t="s">
        <v>63</v>
      </c>
      <c r="AP133" s="5" t="s">
        <v>63</v>
      </c>
      <c r="AQ133" s="5" t="s">
        <v>63</v>
      </c>
      <c r="AR133" s="5" t="s">
        <v>63</v>
      </c>
      <c r="AS133" s="5" t="s">
        <v>63</v>
      </c>
      <c r="AT133" s="5" t="s">
        <v>63</v>
      </c>
      <c r="AU133" s="5" t="s">
        <v>63</v>
      </c>
      <c r="AV133" s="5" t="s">
        <v>63</v>
      </c>
      <c r="AW133" s="5" t="s">
        <v>63</v>
      </c>
      <c r="AX133" s="5" t="s">
        <v>63</v>
      </c>
      <c r="AY133" s="5" t="s">
        <v>63</v>
      </c>
      <c r="AZ133" s="5" t="s">
        <v>63</v>
      </c>
      <c r="BA133" s="5" t="s">
        <v>63</v>
      </c>
      <c r="BB133" s="5" t="s">
        <v>63</v>
      </c>
      <c r="BC133" s="5" t="s">
        <v>63</v>
      </c>
      <c r="BD133" s="5" t="s">
        <v>63</v>
      </c>
      <c r="BE133" s="5" t="s">
        <v>64</v>
      </c>
    </row>
    <row r="134" spans="1:68">
      <c r="A134" s="1" t="str">
        <f t="shared" si="2"/>
        <v>No</v>
      </c>
      <c r="B134" s="1" t="s">
        <v>59</v>
      </c>
      <c r="C134" s="1" t="s">
        <v>316</v>
      </c>
      <c r="D134" s="11" t="s">
        <v>314</v>
      </c>
      <c r="E134" s="1" t="s">
        <v>317</v>
      </c>
      <c r="F134" s="2">
        <v>3</v>
      </c>
      <c r="G134" s="5" t="s">
        <v>63</v>
      </c>
      <c r="H134" s="5" t="s">
        <v>63</v>
      </c>
      <c r="I134" s="5" t="s">
        <v>63</v>
      </c>
      <c r="J134" s="5" t="s">
        <v>63</v>
      </c>
      <c r="K134" s="5" t="s">
        <v>63</v>
      </c>
      <c r="L134" s="5" t="s">
        <v>63</v>
      </c>
      <c r="M134" s="5" t="s">
        <v>63</v>
      </c>
      <c r="N134" s="5" t="s">
        <v>64</v>
      </c>
      <c r="O134" s="5" t="s">
        <v>63</v>
      </c>
      <c r="P134" s="5" t="s">
        <v>63</v>
      </c>
      <c r="Q134" s="5" t="s">
        <v>63</v>
      </c>
      <c r="R134" s="5" t="s">
        <v>63</v>
      </c>
      <c r="S134" s="5" t="s">
        <v>63</v>
      </c>
      <c r="T134" s="5" t="s">
        <v>63</v>
      </c>
      <c r="U134" s="5" t="s">
        <v>63</v>
      </c>
      <c r="V134" s="5" t="s">
        <v>63</v>
      </c>
      <c r="W134" s="5" t="s">
        <v>63</v>
      </c>
      <c r="X134" s="5" t="s">
        <v>63</v>
      </c>
      <c r="Y134" s="5" t="s">
        <v>63</v>
      </c>
      <c r="Z134" s="5" t="s">
        <v>63</v>
      </c>
      <c r="AA134" s="5" t="s">
        <v>63</v>
      </c>
      <c r="AB134" s="5" t="s">
        <v>63</v>
      </c>
      <c r="AC134" s="5" t="s">
        <v>63</v>
      </c>
      <c r="AD134" s="5" t="s">
        <v>63</v>
      </c>
      <c r="AE134" s="5" t="s">
        <v>63</v>
      </c>
      <c r="AF134" s="5" t="s">
        <v>63</v>
      </c>
      <c r="AG134" s="5" t="s">
        <v>63</v>
      </c>
      <c r="AH134" s="5" t="s">
        <v>63</v>
      </c>
      <c r="AI134" s="5" t="s">
        <v>63</v>
      </c>
      <c r="AJ134" s="14" t="s">
        <v>63</v>
      </c>
      <c r="AK134" s="5" t="s">
        <v>63</v>
      </c>
      <c r="AL134" s="5" t="s">
        <v>64</v>
      </c>
      <c r="AM134" s="5" t="s">
        <v>63</v>
      </c>
      <c r="AN134" s="5" t="s">
        <v>63</v>
      </c>
      <c r="AO134" s="5" t="s">
        <v>63</v>
      </c>
      <c r="AP134" s="5" t="s">
        <v>63</v>
      </c>
      <c r="AQ134" s="5" t="s">
        <v>63</v>
      </c>
      <c r="AR134" s="5" t="s">
        <v>63</v>
      </c>
      <c r="AS134" s="8" t="s">
        <v>63</v>
      </c>
      <c r="AT134" s="5" t="s">
        <v>63</v>
      </c>
      <c r="AU134" s="5" t="s">
        <v>63</v>
      </c>
      <c r="AV134" s="5" t="s">
        <v>63</v>
      </c>
      <c r="AW134" s="5" t="s">
        <v>63</v>
      </c>
      <c r="AX134" s="5" t="s">
        <v>63</v>
      </c>
      <c r="AY134" s="5" t="s">
        <v>63</v>
      </c>
      <c r="AZ134" s="5" t="s">
        <v>63</v>
      </c>
      <c r="BA134" s="5" t="s">
        <v>63</v>
      </c>
      <c r="BB134" s="5" t="s">
        <v>63</v>
      </c>
      <c r="BC134" s="5" t="s">
        <v>63</v>
      </c>
      <c r="BD134" s="5" t="s">
        <v>63</v>
      </c>
      <c r="BE134" s="5" t="s">
        <v>64</v>
      </c>
      <c r="BM134" s="5" t="s">
        <v>64</v>
      </c>
    </row>
    <row r="135" spans="1:68">
      <c r="A135" s="1" t="str">
        <f t="shared" si="2"/>
        <v>No</v>
      </c>
      <c r="B135" s="1" t="s">
        <v>59</v>
      </c>
      <c r="C135" s="1" t="s">
        <v>316</v>
      </c>
      <c r="D135" s="11" t="s">
        <v>314</v>
      </c>
      <c r="E135" s="1" t="s">
        <v>317</v>
      </c>
      <c r="F135" s="2">
        <v>3</v>
      </c>
      <c r="G135" s="5" t="s">
        <v>63</v>
      </c>
      <c r="H135" s="5" t="s">
        <v>63</v>
      </c>
      <c r="I135" s="5" t="s">
        <v>63</v>
      </c>
      <c r="J135" s="5" t="s">
        <v>63</v>
      </c>
      <c r="K135" s="5" t="s">
        <v>63</v>
      </c>
      <c r="L135" s="5" t="s">
        <v>63</v>
      </c>
      <c r="M135" s="5" t="s">
        <v>63</v>
      </c>
      <c r="N135" s="5" t="s">
        <v>63</v>
      </c>
      <c r="O135" s="5" t="s">
        <v>63</v>
      </c>
      <c r="P135" s="5" t="s">
        <v>63</v>
      </c>
      <c r="Q135" s="5" t="s">
        <v>63</v>
      </c>
      <c r="R135" s="5" t="s">
        <v>63</v>
      </c>
      <c r="S135" s="5" t="s">
        <v>63</v>
      </c>
      <c r="T135" s="5" t="s">
        <v>63</v>
      </c>
      <c r="U135" s="5" t="s">
        <v>63</v>
      </c>
      <c r="V135" s="5" t="s">
        <v>63</v>
      </c>
      <c r="W135" s="5" t="s">
        <v>63</v>
      </c>
      <c r="X135" s="5" t="s">
        <v>63</v>
      </c>
      <c r="Y135" s="5" t="s">
        <v>64</v>
      </c>
      <c r="Z135" s="5" t="s">
        <v>63</v>
      </c>
      <c r="AA135" s="5" t="s">
        <v>63</v>
      </c>
      <c r="AB135" s="5" t="s">
        <v>63</v>
      </c>
      <c r="AC135" s="5" t="s">
        <v>63</v>
      </c>
      <c r="AD135" s="5" t="s">
        <v>63</v>
      </c>
      <c r="AE135" s="5" t="s">
        <v>63</v>
      </c>
      <c r="AF135" s="5" t="s">
        <v>63</v>
      </c>
      <c r="AG135" s="5" t="s">
        <v>63</v>
      </c>
      <c r="AH135" s="5" t="s">
        <v>63</v>
      </c>
      <c r="AI135" s="5" t="s">
        <v>63</v>
      </c>
      <c r="AJ135" s="14" t="s">
        <v>63</v>
      </c>
      <c r="AK135" s="5" t="s">
        <v>63</v>
      </c>
      <c r="AL135" s="5" t="s">
        <v>63</v>
      </c>
      <c r="AM135" s="5" t="s">
        <v>63</v>
      </c>
      <c r="AN135" s="5" t="s">
        <v>63</v>
      </c>
      <c r="AO135" s="5" t="s">
        <v>63</v>
      </c>
      <c r="AP135" s="5" t="s">
        <v>63</v>
      </c>
      <c r="AQ135" s="5" t="s">
        <v>63</v>
      </c>
      <c r="AR135" s="5" t="s">
        <v>63</v>
      </c>
      <c r="AS135" s="5" t="s">
        <v>63</v>
      </c>
      <c r="AT135" s="5" t="s">
        <v>63</v>
      </c>
      <c r="AU135" s="5" t="s">
        <v>63</v>
      </c>
      <c r="AV135" s="5" t="s">
        <v>63</v>
      </c>
      <c r="AW135" s="5" t="s">
        <v>63</v>
      </c>
      <c r="AX135" s="5" t="s">
        <v>63</v>
      </c>
      <c r="AY135" s="5" t="s">
        <v>63</v>
      </c>
      <c r="AZ135" s="5" t="s">
        <v>63</v>
      </c>
      <c r="BA135" s="5" t="s">
        <v>63</v>
      </c>
      <c r="BB135" s="5" t="s">
        <v>63</v>
      </c>
      <c r="BC135" s="5" t="s">
        <v>63</v>
      </c>
      <c r="BD135" s="5" t="s">
        <v>63</v>
      </c>
      <c r="BE135" s="5" t="s">
        <v>64</v>
      </c>
    </row>
    <row r="136" spans="1:68">
      <c r="A136" s="1" t="str">
        <f t="shared" si="2"/>
        <v>No</v>
      </c>
      <c r="B136" s="1" t="s">
        <v>59</v>
      </c>
      <c r="C136" s="1" t="s">
        <v>318</v>
      </c>
      <c r="D136" s="11" t="s">
        <v>314</v>
      </c>
      <c r="E136" s="1" t="s">
        <v>319</v>
      </c>
      <c r="F136" s="2">
        <v>3</v>
      </c>
      <c r="G136" s="5" t="s">
        <v>63</v>
      </c>
      <c r="H136" s="5" t="s">
        <v>63</v>
      </c>
      <c r="I136" s="5" t="s">
        <v>63</v>
      </c>
      <c r="J136" s="5" t="s">
        <v>63</v>
      </c>
      <c r="K136" s="5" t="s">
        <v>63</v>
      </c>
      <c r="L136" s="5" t="s">
        <v>63</v>
      </c>
      <c r="M136" s="5" t="s">
        <v>63</v>
      </c>
      <c r="N136" s="5" t="s">
        <v>63</v>
      </c>
      <c r="O136" s="5" t="s">
        <v>63</v>
      </c>
      <c r="P136" s="5" t="s">
        <v>63</v>
      </c>
      <c r="Q136" s="5" t="s">
        <v>63</v>
      </c>
      <c r="R136" s="5" t="s">
        <v>63</v>
      </c>
      <c r="S136" s="5" t="s">
        <v>63</v>
      </c>
      <c r="T136" s="5" t="s">
        <v>63</v>
      </c>
      <c r="U136" s="5" t="s">
        <v>63</v>
      </c>
      <c r="V136" s="5" t="s">
        <v>63</v>
      </c>
      <c r="W136" s="5" t="s">
        <v>63</v>
      </c>
      <c r="X136" s="5" t="s">
        <v>63</v>
      </c>
      <c r="Y136" s="5" t="s">
        <v>63</v>
      </c>
      <c r="Z136" s="5" t="s">
        <v>63</v>
      </c>
      <c r="AA136" s="5" t="s">
        <v>63</v>
      </c>
      <c r="AB136" s="5" t="s">
        <v>63</v>
      </c>
      <c r="AC136" s="5" t="s">
        <v>63</v>
      </c>
      <c r="AD136" s="5" t="s">
        <v>63</v>
      </c>
      <c r="AE136" s="5" t="s">
        <v>63</v>
      </c>
      <c r="AF136" s="5" t="s">
        <v>63</v>
      </c>
      <c r="AG136" s="5" t="s">
        <v>63</v>
      </c>
      <c r="AH136" s="5" t="s">
        <v>63</v>
      </c>
      <c r="AI136" s="5" t="s">
        <v>63</v>
      </c>
      <c r="AJ136" s="14" t="s">
        <v>63</v>
      </c>
      <c r="AK136" s="5" t="s">
        <v>63</v>
      </c>
      <c r="AL136" s="5" t="s">
        <v>63</v>
      </c>
      <c r="AM136" s="5" t="s">
        <v>63</v>
      </c>
      <c r="AN136" s="5" t="s">
        <v>63</v>
      </c>
      <c r="AO136" s="5" t="s">
        <v>63</v>
      </c>
      <c r="AP136" s="5" t="s">
        <v>64</v>
      </c>
      <c r="AQ136" s="5" t="s">
        <v>63</v>
      </c>
      <c r="AR136" s="5" t="s">
        <v>63</v>
      </c>
      <c r="AS136" s="5" t="s">
        <v>64</v>
      </c>
      <c r="AT136" s="5" t="s">
        <v>63</v>
      </c>
      <c r="AU136" s="5" t="s">
        <v>63</v>
      </c>
      <c r="AV136" s="5" t="s">
        <v>63</v>
      </c>
      <c r="AW136" s="5" t="s">
        <v>63</v>
      </c>
      <c r="AX136" s="5" t="s">
        <v>63</v>
      </c>
      <c r="AY136" s="5" t="s">
        <v>63</v>
      </c>
      <c r="AZ136" s="5" t="s">
        <v>63</v>
      </c>
      <c r="BA136" s="5" t="s">
        <v>63</v>
      </c>
      <c r="BB136" s="5" t="s">
        <v>63</v>
      </c>
      <c r="BC136" s="5" t="s">
        <v>63</v>
      </c>
      <c r="BD136" s="5" t="s">
        <v>63</v>
      </c>
      <c r="BO136" s="5" t="s">
        <v>64</v>
      </c>
    </row>
    <row r="137" spans="1:68">
      <c r="A137" s="1" t="str">
        <f t="shared" si="2"/>
        <v>No</v>
      </c>
      <c r="B137" s="1" t="s">
        <v>59</v>
      </c>
      <c r="C137" s="1" t="s">
        <v>320</v>
      </c>
      <c r="D137" s="11" t="s">
        <v>314</v>
      </c>
      <c r="E137" s="1" t="s">
        <v>321</v>
      </c>
      <c r="F137" s="2">
        <v>3</v>
      </c>
      <c r="G137" s="5" t="s">
        <v>63</v>
      </c>
      <c r="H137" s="5" t="s">
        <v>63</v>
      </c>
      <c r="I137" s="5" t="s">
        <v>63</v>
      </c>
      <c r="J137" s="5" t="s">
        <v>63</v>
      </c>
      <c r="K137" s="5" t="s">
        <v>63</v>
      </c>
      <c r="L137" s="5" t="s">
        <v>63</v>
      </c>
      <c r="M137" s="5" t="s">
        <v>63</v>
      </c>
      <c r="N137" s="5" t="s">
        <v>63</v>
      </c>
      <c r="O137" s="5" t="s">
        <v>63</v>
      </c>
      <c r="P137" s="5" t="s">
        <v>63</v>
      </c>
      <c r="Q137" s="5" t="s">
        <v>63</v>
      </c>
      <c r="R137" s="5" t="s">
        <v>63</v>
      </c>
      <c r="S137" s="5" t="s">
        <v>63</v>
      </c>
      <c r="T137" s="5" t="s">
        <v>63</v>
      </c>
      <c r="U137" s="5" t="s">
        <v>63</v>
      </c>
      <c r="V137" s="5" t="s">
        <v>63</v>
      </c>
      <c r="W137" s="5" t="s">
        <v>63</v>
      </c>
      <c r="X137" s="5" t="s">
        <v>63</v>
      </c>
      <c r="Y137" s="5" t="s">
        <v>63</v>
      </c>
      <c r="Z137" s="5" t="s">
        <v>63</v>
      </c>
      <c r="AA137" s="5" t="s">
        <v>63</v>
      </c>
      <c r="AB137" s="5" t="s">
        <v>63</v>
      </c>
      <c r="AC137" s="5" t="s">
        <v>63</v>
      </c>
      <c r="AD137" s="5" t="s">
        <v>63</v>
      </c>
      <c r="AE137" s="5" t="s">
        <v>63</v>
      </c>
      <c r="AF137" s="5" t="s">
        <v>63</v>
      </c>
      <c r="AG137" s="5" t="s">
        <v>63</v>
      </c>
      <c r="AH137" s="5" t="s">
        <v>63</v>
      </c>
      <c r="AI137" s="5" t="s">
        <v>63</v>
      </c>
      <c r="AJ137" s="14" t="s">
        <v>63</v>
      </c>
      <c r="AK137" s="5" t="s">
        <v>63</v>
      </c>
      <c r="AL137" s="5" t="s">
        <v>63</v>
      </c>
      <c r="AM137" s="5" t="s">
        <v>63</v>
      </c>
      <c r="AN137" s="5" t="s">
        <v>63</v>
      </c>
      <c r="AO137" s="5" t="s">
        <v>63</v>
      </c>
      <c r="AP137" s="5" t="s">
        <v>63</v>
      </c>
      <c r="AQ137" s="5" t="s">
        <v>63</v>
      </c>
      <c r="AR137" s="5" t="s">
        <v>63</v>
      </c>
      <c r="AS137" s="8" t="s">
        <v>63</v>
      </c>
      <c r="AT137" s="5" t="s">
        <v>63</v>
      </c>
      <c r="AU137" s="5" t="s">
        <v>64</v>
      </c>
      <c r="AV137" s="5" t="s">
        <v>63</v>
      </c>
      <c r="AW137" s="5" t="s">
        <v>63</v>
      </c>
      <c r="AX137" s="5" t="s">
        <v>63</v>
      </c>
      <c r="AY137" s="5" t="s">
        <v>63</v>
      </c>
      <c r="AZ137" s="5" t="s">
        <v>63</v>
      </c>
      <c r="BA137" s="5" t="s">
        <v>63</v>
      </c>
      <c r="BB137" s="5" t="s">
        <v>63</v>
      </c>
      <c r="BC137" s="5" t="s">
        <v>63</v>
      </c>
      <c r="BD137" s="5" t="s">
        <v>63</v>
      </c>
      <c r="BP137" s="5" t="s">
        <v>64</v>
      </c>
    </row>
    <row r="138" spans="1:68">
      <c r="A138" s="1" t="str">
        <f t="shared" si="2"/>
        <v>No</v>
      </c>
      <c r="B138" s="1" t="s">
        <v>59</v>
      </c>
      <c r="C138" s="1" t="s">
        <v>320</v>
      </c>
      <c r="D138" s="11" t="s">
        <v>314</v>
      </c>
      <c r="E138" s="1" t="s">
        <v>322</v>
      </c>
      <c r="F138" s="2">
        <v>3</v>
      </c>
      <c r="G138" s="5" t="s">
        <v>63</v>
      </c>
      <c r="H138" s="5" t="s">
        <v>63</v>
      </c>
      <c r="I138" s="5" t="s">
        <v>63</v>
      </c>
      <c r="J138" s="5" t="s">
        <v>63</v>
      </c>
      <c r="K138" s="5" t="s">
        <v>63</v>
      </c>
      <c r="L138" s="5" t="s">
        <v>63</v>
      </c>
      <c r="M138" s="5" t="s">
        <v>63</v>
      </c>
      <c r="N138" s="5" t="s">
        <v>63</v>
      </c>
      <c r="O138" s="5" t="s">
        <v>63</v>
      </c>
      <c r="P138" s="5" t="s">
        <v>63</v>
      </c>
      <c r="Q138" s="5" t="s">
        <v>63</v>
      </c>
      <c r="R138" s="5" t="s">
        <v>63</v>
      </c>
      <c r="S138" s="5" t="s">
        <v>64</v>
      </c>
      <c r="T138" s="5" t="s">
        <v>63</v>
      </c>
      <c r="U138" s="5" t="s">
        <v>63</v>
      </c>
      <c r="V138" s="5" t="s">
        <v>63</v>
      </c>
      <c r="W138" s="5" t="s">
        <v>63</v>
      </c>
      <c r="X138" s="5" t="s">
        <v>63</v>
      </c>
      <c r="Y138" s="5" t="s">
        <v>63</v>
      </c>
      <c r="Z138" s="5" t="s">
        <v>63</v>
      </c>
      <c r="AA138" s="5" t="s">
        <v>63</v>
      </c>
      <c r="AB138" s="5" t="s">
        <v>63</v>
      </c>
      <c r="AC138" s="5" t="s">
        <v>63</v>
      </c>
      <c r="AD138" s="5" t="s">
        <v>63</v>
      </c>
      <c r="AE138" s="5" t="s">
        <v>63</v>
      </c>
      <c r="AF138" s="5" t="s">
        <v>63</v>
      </c>
      <c r="AG138" s="5" t="s">
        <v>63</v>
      </c>
      <c r="AH138" s="5" t="s">
        <v>63</v>
      </c>
      <c r="AI138" s="5" t="s">
        <v>63</v>
      </c>
      <c r="AJ138" s="14" t="s">
        <v>63</v>
      </c>
      <c r="AK138" s="5" t="s">
        <v>63</v>
      </c>
      <c r="AL138" s="5" t="s">
        <v>63</v>
      </c>
      <c r="AM138" s="5" t="s">
        <v>63</v>
      </c>
      <c r="AN138" s="5" t="s">
        <v>63</v>
      </c>
      <c r="AO138" s="5" t="s">
        <v>63</v>
      </c>
      <c r="AP138" s="5" t="s">
        <v>63</v>
      </c>
      <c r="AQ138" s="5" t="s">
        <v>63</v>
      </c>
      <c r="AR138" s="5" t="s">
        <v>63</v>
      </c>
      <c r="AS138" s="5" t="s">
        <v>63</v>
      </c>
      <c r="AT138" s="5" t="s">
        <v>63</v>
      </c>
      <c r="AU138" s="5" t="s">
        <v>63</v>
      </c>
      <c r="AV138" s="5" t="s">
        <v>63</v>
      </c>
      <c r="AW138" s="5" t="s">
        <v>63</v>
      </c>
      <c r="AX138" s="5" t="s">
        <v>63</v>
      </c>
      <c r="AY138" s="5" t="s">
        <v>63</v>
      </c>
      <c r="AZ138" s="5" t="s">
        <v>63</v>
      </c>
      <c r="BA138" s="5" t="s">
        <v>63</v>
      </c>
      <c r="BB138" s="5" t="s">
        <v>63</v>
      </c>
      <c r="BC138" s="5" t="s">
        <v>63</v>
      </c>
      <c r="BD138" s="5" t="s">
        <v>63</v>
      </c>
      <c r="BE138" s="5" t="s">
        <v>64</v>
      </c>
    </row>
    <row r="139" spans="1:68">
      <c r="A139" s="1" t="str">
        <f t="shared" si="2"/>
        <v>No</v>
      </c>
      <c r="B139" s="1" t="s">
        <v>59</v>
      </c>
      <c r="C139" s="1" t="s">
        <v>323</v>
      </c>
      <c r="D139" s="11" t="s">
        <v>314</v>
      </c>
      <c r="E139" s="1" t="s">
        <v>324</v>
      </c>
      <c r="F139" s="2">
        <v>3</v>
      </c>
      <c r="G139" s="5" t="s">
        <v>63</v>
      </c>
      <c r="H139" s="5" t="s">
        <v>63</v>
      </c>
      <c r="I139" s="5" t="s">
        <v>63</v>
      </c>
      <c r="J139" s="5" t="s">
        <v>63</v>
      </c>
      <c r="K139" s="5" t="s">
        <v>63</v>
      </c>
      <c r="L139" s="5" t="s">
        <v>63</v>
      </c>
      <c r="M139" s="5" t="s">
        <v>63</v>
      </c>
      <c r="N139" s="5" t="s">
        <v>64</v>
      </c>
      <c r="O139" s="5" t="s">
        <v>63</v>
      </c>
      <c r="P139" s="5" t="s">
        <v>63</v>
      </c>
      <c r="Q139" s="5" t="s">
        <v>63</v>
      </c>
      <c r="R139" s="5" t="s">
        <v>63</v>
      </c>
      <c r="S139" s="5" t="s">
        <v>63</v>
      </c>
      <c r="T139" s="5" t="s">
        <v>63</v>
      </c>
      <c r="U139" s="5" t="s">
        <v>63</v>
      </c>
      <c r="V139" s="5" t="s">
        <v>63</v>
      </c>
      <c r="W139" s="5" t="s">
        <v>63</v>
      </c>
      <c r="X139" s="5" t="s">
        <v>63</v>
      </c>
      <c r="Y139" s="5" t="s">
        <v>63</v>
      </c>
      <c r="Z139" s="5" t="s">
        <v>63</v>
      </c>
      <c r="AA139" s="5" t="s">
        <v>63</v>
      </c>
      <c r="AB139" s="5" t="s">
        <v>63</v>
      </c>
      <c r="AC139" s="5" t="s">
        <v>63</v>
      </c>
      <c r="AD139" s="5" t="s">
        <v>63</v>
      </c>
      <c r="AE139" s="5" t="s">
        <v>63</v>
      </c>
      <c r="AF139" s="5" t="s">
        <v>63</v>
      </c>
      <c r="AG139" s="5" t="s">
        <v>63</v>
      </c>
      <c r="AH139" s="5" t="s">
        <v>63</v>
      </c>
      <c r="AI139" s="5" t="s">
        <v>63</v>
      </c>
      <c r="AJ139" s="14" t="s">
        <v>63</v>
      </c>
      <c r="AK139" s="5" t="s">
        <v>63</v>
      </c>
      <c r="AL139" s="5" t="s">
        <v>63</v>
      </c>
      <c r="AM139" s="5" t="s">
        <v>63</v>
      </c>
      <c r="AN139" s="5" t="s">
        <v>63</v>
      </c>
      <c r="AO139" s="5" t="s">
        <v>63</v>
      </c>
      <c r="AP139" s="5" t="s">
        <v>63</v>
      </c>
      <c r="AQ139" s="5" t="s">
        <v>63</v>
      </c>
      <c r="AR139" s="5" t="s">
        <v>63</v>
      </c>
      <c r="AS139" s="8" t="s">
        <v>63</v>
      </c>
      <c r="AT139" s="5" t="s">
        <v>63</v>
      </c>
      <c r="AU139" s="5" t="s">
        <v>64</v>
      </c>
      <c r="AV139" s="5" t="s">
        <v>63</v>
      </c>
      <c r="AW139" s="5" t="s">
        <v>63</v>
      </c>
      <c r="AX139" s="5" t="s">
        <v>63</v>
      </c>
      <c r="AY139" s="5" t="s">
        <v>63</v>
      </c>
      <c r="AZ139" s="5" t="s">
        <v>63</v>
      </c>
      <c r="BA139" s="5" t="s">
        <v>63</v>
      </c>
      <c r="BB139" s="5" t="s">
        <v>63</v>
      </c>
      <c r="BC139" s="5" t="s">
        <v>63</v>
      </c>
      <c r="BD139" s="5" t="s">
        <v>63</v>
      </c>
      <c r="BE139" s="5" t="s">
        <v>64</v>
      </c>
      <c r="BP139" s="5" t="s">
        <v>64</v>
      </c>
    </row>
    <row r="140" spans="1:68">
      <c r="A140" s="1" t="str">
        <f t="shared" si="2"/>
        <v>No</v>
      </c>
      <c r="B140" s="1" t="s">
        <v>59</v>
      </c>
      <c r="C140" s="1" t="s">
        <v>325</v>
      </c>
      <c r="D140" s="11" t="s">
        <v>314</v>
      </c>
      <c r="E140" s="1" t="s">
        <v>326</v>
      </c>
      <c r="F140" s="2">
        <v>3</v>
      </c>
      <c r="G140" s="5" t="s">
        <v>63</v>
      </c>
      <c r="H140" s="5" t="s">
        <v>63</v>
      </c>
      <c r="I140" s="5" t="s">
        <v>63</v>
      </c>
      <c r="J140" s="5" t="s">
        <v>63</v>
      </c>
      <c r="K140" s="5" t="s">
        <v>63</v>
      </c>
      <c r="L140" s="5" t="s">
        <v>63</v>
      </c>
      <c r="M140" s="5" t="s">
        <v>63</v>
      </c>
      <c r="N140" s="5" t="s">
        <v>63</v>
      </c>
      <c r="O140" s="5" t="s">
        <v>63</v>
      </c>
      <c r="P140" s="5" t="s">
        <v>63</v>
      </c>
      <c r="Q140" s="5" t="s">
        <v>63</v>
      </c>
      <c r="R140" s="5" t="s">
        <v>63</v>
      </c>
      <c r="S140" s="5" t="s">
        <v>63</v>
      </c>
      <c r="T140" s="5" t="s">
        <v>63</v>
      </c>
      <c r="U140" s="5" t="s">
        <v>63</v>
      </c>
      <c r="V140" s="5" t="s">
        <v>63</v>
      </c>
      <c r="W140" s="5" t="s">
        <v>63</v>
      </c>
      <c r="X140" s="5" t="s">
        <v>63</v>
      </c>
      <c r="Y140" s="5" t="s">
        <v>63</v>
      </c>
      <c r="Z140" s="5" t="s">
        <v>63</v>
      </c>
      <c r="AA140" s="5" t="s">
        <v>63</v>
      </c>
      <c r="AB140" s="5" t="s">
        <v>63</v>
      </c>
      <c r="AC140" s="5" t="s">
        <v>63</v>
      </c>
      <c r="AD140" s="5" t="s">
        <v>63</v>
      </c>
      <c r="AE140" s="5" t="s">
        <v>63</v>
      </c>
      <c r="AF140" s="5" t="s">
        <v>63</v>
      </c>
      <c r="AG140" s="5" t="s">
        <v>63</v>
      </c>
      <c r="AH140" s="5" t="s">
        <v>63</v>
      </c>
      <c r="AI140" s="5" t="s">
        <v>63</v>
      </c>
      <c r="AJ140" s="14" t="s">
        <v>63</v>
      </c>
      <c r="AK140" s="5" t="s">
        <v>63</v>
      </c>
      <c r="AL140" s="5" t="s">
        <v>63</v>
      </c>
      <c r="AM140" s="5" t="s">
        <v>63</v>
      </c>
      <c r="AN140" s="5" t="s">
        <v>63</v>
      </c>
      <c r="AO140" s="5" t="s">
        <v>63</v>
      </c>
      <c r="AP140" s="5" t="s">
        <v>64</v>
      </c>
      <c r="AQ140" s="5" t="s">
        <v>63</v>
      </c>
      <c r="AR140" s="5" t="s">
        <v>63</v>
      </c>
      <c r="AS140" s="5" t="s">
        <v>64</v>
      </c>
      <c r="AT140" s="5" t="s">
        <v>63</v>
      </c>
      <c r="AU140" s="5" t="s">
        <v>63</v>
      </c>
      <c r="AV140" s="5" t="s">
        <v>63</v>
      </c>
      <c r="AW140" s="5" t="s">
        <v>63</v>
      </c>
      <c r="AX140" s="5" t="s">
        <v>63</v>
      </c>
      <c r="AY140" s="5" t="s">
        <v>63</v>
      </c>
      <c r="AZ140" s="5" t="s">
        <v>63</v>
      </c>
      <c r="BA140" s="5" t="s">
        <v>63</v>
      </c>
      <c r="BB140" s="5" t="s">
        <v>63</v>
      </c>
      <c r="BC140" s="5" t="s">
        <v>63</v>
      </c>
      <c r="BD140" s="5" t="s">
        <v>63</v>
      </c>
      <c r="BO140" s="5" t="s">
        <v>64</v>
      </c>
    </row>
    <row r="141" spans="1:68">
      <c r="A141" s="1" t="str">
        <f t="shared" si="2"/>
        <v>No</v>
      </c>
      <c r="B141" s="1" t="s">
        <v>59</v>
      </c>
      <c r="C141" s="1" t="s">
        <v>327</v>
      </c>
      <c r="D141" s="11" t="s">
        <v>314</v>
      </c>
      <c r="E141" s="1" t="s">
        <v>328</v>
      </c>
      <c r="F141" s="2">
        <v>3</v>
      </c>
      <c r="G141" s="5" t="s">
        <v>63</v>
      </c>
      <c r="H141" s="5" t="s">
        <v>64</v>
      </c>
      <c r="I141" s="5" t="s">
        <v>64</v>
      </c>
      <c r="J141" s="5" t="s">
        <v>63</v>
      </c>
      <c r="K141" s="5" t="s">
        <v>63</v>
      </c>
      <c r="L141" s="5" t="s">
        <v>63</v>
      </c>
      <c r="M141" s="5" t="s">
        <v>63</v>
      </c>
      <c r="N141" s="5" t="s">
        <v>63</v>
      </c>
      <c r="O141" s="5" t="s">
        <v>63</v>
      </c>
      <c r="P141" s="5" t="s">
        <v>63</v>
      </c>
      <c r="Q141" s="5" t="s">
        <v>63</v>
      </c>
      <c r="R141" s="5" t="s">
        <v>63</v>
      </c>
      <c r="S141" s="5" t="s">
        <v>63</v>
      </c>
      <c r="T141" s="5" t="s">
        <v>63</v>
      </c>
      <c r="U141" s="5" t="s">
        <v>63</v>
      </c>
      <c r="V141" s="5" t="s">
        <v>63</v>
      </c>
      <c r="W141" s="5" t="s">
        <v>63</v>
      </c>
      <c r="X141" s="5" t="s">
        <v>63</v>
      </c>
      <c r="Y141" s="5" t="s">
        <v>63</v>
      </c>
      <c r="Z141" s="5" t="s">
        <v>63</v>
      </c>
      <c r="AA141" s="5" t="s">
        <v>63</v>
      </c>
      <c r="AB141" s="5" t="s">
        <v>63</v>
      </c>
      <c r="AC141" s="5" t="s">
        <v>63</v>
      </c>
      <c r="AD141" s="5" t="s">
        <v>63</v>
      </c>
      <c r="AE141" s="5" t="s">
        <v>63</v>
      </c>
      <c r="AF141" s="5" t="s">
        <v>63</v>
      </c>
      <c r="AG141" s="5" t="s">
        <v>63</v>
      </c>
      <c r="AH141" s="5" t="s">
        <v>63</v>
      </c>
      <c r="AI141" s="5" t="s">
        <v>63</v>
      </c>
      <c r="AJ141" s="14" t="s">
        <v>63</v>
      </c>
      <c r="AK141" s="5" t="s">
        <v>63</v>
      </c>
      <c r="AL141" s="5" t="s">
        <v>63</v>
      </c>
      <c r="AM141" s="5" t="s">
        <v>63</v>
      </c>
      <c r="AN141" s="5" t="s">
        <v>63</v>
      </c>
      <c r="AO141" s="5" t="s">
        <v>63</v>
      </c>
      <c r="AP141" s="5" t="s">
        <v>63</v>
      </c>
      <c r="AQ141" s="5" t="s">
        <v>63</v>
      </c>
      <c r="AR141" s="5" t="s">
        <v>63</v>
      </c>
      <c r="AS141" s="8" t="s">
        <v>63</v>
      </c>
      <c r="AT141" s="5" t="s">
        <v>63</v>
      </c>
      <c r="AU141" s="5" t="s">
        <v>63</v>
      </c>
      <c r="AV141" s="5" t="s">
        <v>63</v>
      </c>
      <c r="AW141" s="5" t="s">
        <v>63</v>
      </c>
      <c r="AX141" s="5" t="s">
        <v>63</v>
      </c>
      <c r="AY141" s="5" t="s">
        <v>63</v>
      </c>
      <c r="AZ141" s="5" t="s">
        <v>63</v>
      </c>
      <c r="BA141" s="5" t="s">
        <v>63</v>
      </c>
      <c r="BB141" s="5" t="s">
        <v>63</v>
      </c>
      <c r="BC141" s="5" t="s">
        <v>63</v>
      </c>
      <c r="BD141" s="5" t="s">
        <v>63</v>
      </c>
      <c r="BE141" s="5" t="s">
        <v>64</v>
      </c>
    </row>
    <row r="142" spans="1:68">
      <c r="A142" s="1" t="str">
        <f t="shared" si="2"/>
        <v>No</v>
      </c>
      <c r="B142" s="1" t="s">
        <v>59</v>
      </c>
      <c r="C142" s="1" t="s">
        <v>329</v>
      </c>
      <c r="D142" s="11" t="s">
        <v>314</v>
      </c>
      <c r="E142" s="1" t="s">
        <v>330</v>
      </c>
      <c r="F142" s="2">
        <v>3</v>
      </c>
      <c r="G142" s="5" t="s">
        <v>63</v>
      </c>
      <c r="H142" s="5" t="s">
        <v>63</v>
      </c>
      <c r="I142" s="5" t="s">
        <v>63</v>
      </c>
      <c r="J142" s="5" t="s">
        <v>63</v>
      </c>
      <c r="K142" s="5" t="s">
        <v>63</v>
      </c>
      <c r="L142" s="5" t="s">
        <v>63</v>
      </c>
      <c r="M142" s="5" t="s">
        <v>63</v>
      </c>
      <c r="N142" s="5" t="s">
        <v>64</v>
      </c>
      <c r="O142" s="5" t="s">
        <v>63</v>
      </c>
      <c r="P142" s="5" t="s">
        <v>63</v>
      </c>
      <c r="Q142" s="5" t="s">
        <v>63</v>
      </c>
      <c r="R142" s="5" t="s">
        <v>63</v>
      </c>
      <c r="S142" s="5" t="s">
        <v>63</v>
      </c>
      <c r="T142" s="5" t="s">
        <v>63</v>
      </c>
      <c r="U142" s="5" t="s">
        <v>63</v>
      </c>
      <c r="V142" s="5" t="s">
        <v>63</v>
      </c>
      <c r="W142" s="5" t="s">
        <v>63</v>
      </c>
      <c r="X142" s="5" t="s">
        <v>63</v>
      </c>
      <c r="Y142" s="5" t="s">
        <v>63</v>
      </c>
      <c r="Z142" s="5" t="s">
        <v>63</v>
      </c>
      <c r="AA142" s="5" t="s">
        <v>63</v>
      </c>
      <c r="AB142" s="5" t="s">
        <v>63</v>
      </c>
      <c r="AC142" s="5" t="s">
        <v>63</v>
      </c>
      <c r="AD142" s="5" t="s">
        <v>63</v>
      </c>
      <c r="AE142" s="5" t="s">
        <v>63</v>
      </c>
      <c r="AF142" s="5" t="s">
        <v>63</v>
      </c>
      <c r="AG142" s="5" t="s">
        <v>63</v>
      </c>
      <c r="AH142" s="5" t="s">
        <v>63</v>
      </c>
      <c r="AI142" s="5" t="s">
        <v>63</v>
      </c>
      <c r="AJ142" s="14" t="s">
        <v>63</v>
      </c>
      <c r="AK142" s="5" t="s">
        <v>63</v>
      </c>
      <c r="AL142" s="5" t="s">
        <v>64</v>
      </c>
      <c r="AM142" s="5" t="s">
        <v>63</v>
      </c>
      <c r="AN142" s="5" t="s">
        <v>63</v>
      </c>
      <c r="AO142" s="5" t="s">
        <v>63</v>
      </c>
      <c r="AP142" s="5" t="s">
        <v>63</v>
      </c>
      <c r="AQ142" s="5" t="s">
        <v>63</v>
      </c>
      <c r="AR142" s="5" t="s">
        <v>63</v>
      </c>
      <c r="AS142" s="8" t="s">
        <v>63</v>
      </c>
      <c r="AT142" s="5" t="s">
        <v>63</v>
      </c>
      <c r="AU142" s="5" t="s">
        <v>63</v>
      </c>
      <c r="AV142" s="5" t="s">
        <v>63</v>
      </c>
      <c r="AW142" s="5" t="s">
        <v>63</v>
      </c>
      <c r="AX142" s="5" t="s">
        <v>63</v>
      </c>
      <c r="AY142" s="5" t="s">
        <v>63</v>
      </c>
      <c r="AZ142" s="5" t="s">
        <v>63</v>
      </c>
      <c r="BA142" s="5" t="s">
        <v>63</v>
      </c>
      <c r="BB142" s="5" t="s">
        <v>63</v>
      </c>
      <c r="BC142" s="5" t="s">
        <v>63</v>
      </c>
      <c r="BD142" s="5" t="s">
        <v>63</v>
      </c>
      <c r="BE142" s="5" t="s">
        <v>64</v>
      </c>
      <c r="BM142" s="5" t="s">
        <v>64</v>
      </c>
    </row>
    <row r="143" spans="1:68">
      <c r="A143" s="1" t="str">
        <f t="shared" si="2"/>
        <v>No</v>
      </c>
      <c r="B143" s="1" t="s">
        <v>59</v>
      </c>
      <c r="C143" s="1" t="s">
        <v>331</v>
      </c>
      <c r="D143" s="11" t="s">
        <v>314</v>
      </c>
      <c r="E143" s="1" t="s">
        <v>332</v>
      </c>
      <c r="F143" s="2">
        <v>3</v>
      </c>
      <c r="G143" s="5" t="s">
        <v>63</v>
      </c>
      <c r="H143" s="5" t="s">
        <v>63</v>
      </c>
      <c r="I143" s="5" t="s">
        <v>63</v>
      </c>
      <c r="J143" s="5" t="s">
        <v>63</v>
      </c>
      <c r="K143" s="5" t="s">
        <v>63</v>
      </c>
      <c r="L143" s="5" t="s">
        <v>63</v>
      </c>
      <c r="M143" s="5" t="s">
        <v>63</v>
      </c>
      <c r="N143" s="5" t="s">
        <v>63</v>
      </c>
      <c r="O143" s="5" t="s">
        <v>63</v>
      </c>
      <c r="P143" s="5" t="s">
        <v>63</v>
      </c>
      <c r="Q143" s="5" t="s">
        <v>63</v>
      </c>
      <c r="R143" s="5" t="s">
        <v>63</v>
      </c>
      <c r="S143" s="5" t="s">
        <v>63</v>
      </c>
      <c r="T143" s="5" t="s">
        <v>63</v>
      </c>
      <c r="U143" s="5" t="s">
        <v>63</v>
      </c>
      <c r="V143" s="5" t="s">
        <v>63</v>
      </c>
      <c r="W143" s="5" t="s">
        <v>63</v>
      </c>
      <c r="X143" s="5" t="s">
        <v>63</v>
      </c>
      <c r="Y143" s="5" t="s">
        <v>63</v>
      </c>
      <c r="Z143" s="5" t="s">
        <v>63</v>
      </c>
      <c r="AA143" s="5" t="s">
        <v>63</v>
      </c>
      <c r="AB143" s="5" t="s">
        <v>63</v>
      </c>
      <c r="AC143" s="5" t="s">
        <v>63</v>
      </c>
      <c r="AD143" s="5" t="s">
        <v>63</v>
      </c>
      <c r="AE143" s="5" t="s">
        <v>63</v>
      </c>
      <c r="AF143" s="5" t="s">
        <v>63</v>
      </c>
      <c r="AG143" s="5" t="s">
        <v>63</v>
      </c>
      <c r="AH143" s="5" t="s">
        <v>63</v>
      </c>
      <c r="AI143" s="5" t="s">
        <v>63</v>
      </c>
      <c r="AJ143" s="14" t="s">
        <v>63</v>
      </c>
      <c r="AK143" s="5" t="s">
        <v>63</v>
      </c>
      <c r="AL143" s="5" t="s">
        <v>63</v>
      </c>
      <c r="AM143" s="5" t="s">
        <v>63</v>
      </c>
      <c r="AN143" s="5" t="s">
        <v>63</v>
      </c>
      <c r="AO143" s="5" t="s">
        <v>63</v>
      </c>
      <c r="AP143" s="5" t="s">
        <v>63</v>
      </c>
      <c r="AQ143" s="5" t="s">
        <v>63</v>
      </c>
      <c r="AR143" s="5" t="s">
        <v>63</v>
      </c>
      <c r="AS143" s="8" t="s">
        <v>63</v>
      </c>
      <c r="AT143" s="5" t="s">
        <v>63</v>
      </c>
      <c r="AU143" s="5" t="s">
        <v>64</v>
      </c>
      <c r="AV143" s="5" t="s">
        <v>63</v>
      </c>
      <c r="AW143" s="5" t="s">
        <v>63</v>
      </c>
      <c r="AX143" s="5" t="s">
        <v>63</v>
      </c>
      <c r="AY143" s="5" t="s">
        <v>63</v>
      </c>
      <c r="AZ143" s="5" t="s">
        <v>63</v>
      </c>
      <c r="BA143" s="5" t="s">
        <v>63</v>
      </c>
      <c r="BB143" s="5" t="s">
        <v>63</v>
      </c>
      <c r="BC143" s="5" t="s">
        <v>63</v>
      </c>
      <c r="BD143" s="5" t="s">
        <v>63</v>
      </c>
      <c r="BP143" s="5" t="s">
        <v>64</v>
      </c>
    </row>
    <row r="144" spans="1:68">
      <c r="A144" s="1" t="str">
        <f t="shared" si="2"/>
        <v>No</v>
      </c>
      <c r="B144" s="1" t="s">
        <v>59</v>
      </c>
      <c r="C144" s="1" t="s">
        <v>331</v>
      </c>
      <c r="D144" s="11" t="s">
        <v>314</v>
      </c>
      <c r="E144" s="1" t="s">
        <v>333</v>
      </c>
      <c r="F144" s="2">
        <v>3</v>
      </c>
      <c r="G144" s="5" t="s">
        <v>63</v>
      </c>
      <c r="H144" s="5" t="s">
        <v>63</v>
      </c>
      <c r="I144" s="5" t="s">
        <v>63</v>
      </c>
      <c r="J144" s="5" t="s">
        <v>63</v>
      </c>
      <c r="K144" s="5" t="s">
        <v>63</v>
      </c>
      <c r="L144" s="5" t="s">
        <v>63</v>
      </c>
      <c r="M144" s="5" t="s">
        <v>63</v>
      </c>
      <c r="N144" s="5" t="s">
        <v>64</v>
      </c>
      <c r="O144" s="5" t="s">
        <v>63</v>
      </c>
      <c r="P144" s="5" t="s">
        <v>63</v>
      </c>
      <c r="Q144" s="5" t="s">
        <v>63</v>
      </c>
      <c r="R144" s="5" t="s">
        <v>63</v>
      </c>
      <c r="S144" s="5" t="s">
        <v>63</v>
      </c>
      <c r="T144" s="5" t="s">
        <v>63</v>
      </c>
      <c r="U144" s="5" t="s">
        <v>63</v>
      </c>
      <c r="V144" s="5" t="s">
        <v>63</v>
      </c>
      <c r="W144" s="5" t="s">
        <v>63</v>
      </c>
      <c r="X144" s="5" t="s">
        <v>63</v>
      </c>
      <c r="Y144" s="5" t="s">
        <v>64</v>
      </c>
      <c r="Z144" s="5" t="s">
        <v>63</v>
      </c>
      <c r="AA144" s="5" t="s">
        <v>63</v>
      </c>
      <c r="AB144" s="5" t="s">
        <v>63</v>
      </c>
      <c r="AC144" s="5" t="s">
        <v>63</v>
      </c>
      <c r="AD144" s="5" t="s">
        <v>63</v>
      </c>
      <c r="AE144" s="5" t="s">
        <v>63</v>
      </c>
      <c r="AF144" s="5" t="s">
        <v>63</v>
      </c>
      <c r="AG144" s="5" t="s">
        <v>63</v>
      </c>
      <c r="AH144" s="5" t="s">
        <v>63</v>
      </c>
      <c r="AI144" s="5" t="s">
        <v>63</v>
      </c>
      <c r="AJ144" s="14" t="s">
        <v>63</v>
      </c>
      <c r="AK144" s="5" t="s">
        <v>63</v>
      </c>
      <c r="AL144" s="5" t="s">
        <v>63</v>
      </c>
      <c r="AM144" s="5" t="s">
        <v>63</v>
      </c>
      <c r="AN144" s="5" t="s">
        <v>63</v>
      </c>
      <c r="AO144" s="5" t="s">
        <v>63</v>
      </c>
      <c r="AP144" s="5" t="s">
        <v>63</v>
      </c>
      <c r="AQ144" s="5" t="s">
        <v>63</v>
      </c>
      <c r="AR144" s="5" t="s">
        <v>63</v>
      </c>
      <c r="AS144" s="5" t="s">
        <v>63</v>
      </c>
      <c r="AT144" s="5" t="s">
        <v>63</v>
      </c>
      <c r="AU144" s="5" t="s">
        <v>63</v>
      </c>
      <c r="AV144" s="5" t="s">
        <v>63</v>
      </c>
      <c r="AW144" s="5" t="s">
        <v>63</v>
      </c>
      <c r="AX144" s="5" t="s">
        <v>63</v>
      </c>
      <c r="AY144" s="5" t="s">
        <v>63</v>
      </c>
      <c r="AZ144" s="5" t="s">
        <v>63</v>
      </c>
      <c r="BA144" s="5" t="s">
        <v>63</v>
      </c>
      <c r="BB144" s="5" t="s">
        <v>63</v>
      </c>
      <c r="BC144" s="5" t="s">
        <v>63</v>
      </c>
      <c r="BD144" s="5" t="s">
        <v>63</v>
      </c>
      <c r="BE144" s="5" t="s">
        <v>64</v>
      </c>
    </row>
    <row r="145" spans="1:72">
      <c r="A145" s="1" t="str">
        <f t="shared" si="2"/>
        <v>No</v>
      </c>
      <c r="B145" s="1" t="s">
        <v>59</v>
      </c>
      <c r="C145" s="1" t="s">
        <v>334</v>
      </c>
      <c r="D145" s="11" t="s">
        <v>314</v>
      </c>
      <c r="E145" s="1" t="s">
        <v>335</v>
      </c>
      <c r="F145" s="2">
        <v>3</v>
      </c>
      <c r="G145" s="5" t="s">
        <v>63</v>
      </c>
      <c r="H145" s="5" t="s">
        <v>63</v>
      </c>
      <c r="I145" s="5" t="s">
        <v>63</v>
      </c>
      <c r="J145" s="5" t="s">
        <v>63</v>
      </c>
      <c r="K145" s="5" t="s">
        <v>63</v>
      </c>
      <c r="L145" s="5" t="s">
        <v>63</v>
      </c>
      <c r="M145" s="5" t="s">
        <v>63</v>
      </c>
      <c r="N145" s="5" t="s">
        <v>63</v>
      </c>
      <c r="O145" s="5" t="s">
        <v>63</v>
      </c>
      <c r="P145" s="5" t="s">
        <v>63</v>
      </c>
      <c r="Q145" s="5" t="s">
        <v>63</v>
      </c>
      <c r="R145" s="5" t="s">
        <v>63</v>
      </c>
      <c r="S145" s="5" t="s">
        <v>63</v>
      </c>
      <c r="T145" s="5" t="s">
        <v>63</v>
      </c>
      <c r="U145" s="5" t="s">
        <v>63</v>
      </c>
      <c r="V145" s="5" t="s">
        <v>63</v>
      </c>
      <c r="W145" s="5" t="s">
        <v>63</v>
      </c>
      <c r="X145" s="5" t="s">
        <v>63</v>
      </c>
      <c r="Y145" s="5" t="s">
        <v>63</v>
      </c>
      <c r="Z145" s="5" t="s">
        <v>63</v>
      </c>
      <c r="AA145" s="5" t="s">
        <v>63</v>
      </c>
      <c r="AB145" s="5" t="s">
        <v>63</v>
      </c>
      <c r="AC145" s="5" t="s">
        <v>63</v>
      </c>
      <c r="AD145" s="5" t="s">
        <v>63</v>
      </c>
      <c r="AE145" s="5" t="s">
        <v>63</v>
      </c>
      <c r="AF145" s="5" t="s">
        <v>63</v>
      </c>
      <c r="AG145" s="5" t="s">
        <v>63</v>
      </c>
      <c r="AH145" s="5" t="s">
        <v>63</v>
      </c>
      <c r="AI145" s="5" t="s">
        <v>63</v>
      </c>
      <c r="AJ145" s="14" t="s">
        <v>63</v>
      </c>
      <c r="AK145" s="5" t="s">
        <v>63</v>
      </c>
      <c r="AL145" s="5" t="s">
        <v>63</v>
      </c>
      <c r="AM145" s="5" t="s">
        <v>63</v>
      </c>
      <c r="AN145" s="5" t="s">
        <v>63</v>
      </c>
      <c r="AO145" s="5" t="s">
        <v>63</v>
      </c>
      <c r="AP145" s="5" t="s">
        <v>63</v>
      </c>
      <c r="AQ145" s="5" t="s">
        <v>63</v>
      </c>
      <c r="AR145" s="5" t="s">
        <v>63</v>
      </c>
      <c r="AS145" s="8" t="s">
        <v>63</v>
      </c>
      <c r="AT145" s="5" t="s">
        <v>63</v>
      </c>
      <c r="AU145" s="5" t="s">
        <v>63</v>
      </c>
      <c r="AV145" s="5" t="s">
        <v>63</v>
      </c>
      <c r="AW145" s="5" t="s">
        <v>63</v>
      </c>
      <c r="AX145" s="5" t="s">
        <v>63</v>
      </c>
      <c r="AY145" s="5" t="s">
        <v>63</v>
      </c>
      <c r="AZ145" s="5" t="s">
        <v>63</v>
      </c>
      <c r="BA145" s="5" t="s">
        <v>63</v>
      </c>
      <c r="BB145" s="5" t="s">
        <v>63</v>
      </c>
      <c r="BC145" s="5" t="s">
        <v>63</v>
      </c>
      <c r="BD145" s="5" t="s">
        <v>63</v>
      </c>
    </row>
    <row r="146" spans="1:72">
      <c r="A146" s="1" t="str">
        <f t="shared" si="2"/>
        <v>No</v>
      </c>
      <c r="B146" s="1" t="s">
        <v>59</v>
      </c>
      <c r="C146" s="1" t="s">
        <v>336</v>
      </c>
      <c r="D146" s="11" t="s">
        <v>314</v>
      </c>
      <c r="E146" s="1" t="s">
        <v>337</v>
      </c>
      <c r="F146" s="2" t="s">
        <v>63</v>
      </c>
      <c r="G146" s="5" t="s">
        <v>64</v>
      </c>
      <c r="H146" s="5" t="s">
        <v>63</v>
      </c>
      <c r="I146" s="5" t="s">
        <v>63</v>
      </c>
      <c r="J146" s="5" t="s">
        <v>63</v>
      </c>
      <c r="K146" s="5" t="s">
        <v>63</v>
      </c>
      <c r="L146" s="5" t="s">
        <v>63</v>
      </c>
      <c r="M146" s="5" t="s">
        <v>63</v>
      </c>
      <c r="N146" s="5" t="s">
        <v>64</v>
      </c>
      <c r="O146" s="5" t="s">
        <v>63</v>
      </c>
      <c r="P146" s="5" t="s">
        <v>63</v>
      </c>
      <c r="Q146" s="5" t="s">
        <v>63</v>
      </c>
      <c r="R146" s="5" t="s">
        <v>63</v>
      </c>
      <c r="S146" s="5" t="s">
        <v>63</v>
      </c>
      <c r="T146" s="5" t="s">
        <v>63</v>
      </c>
      <c r="U146" s="5" t="s">
        <v>63</v>
      </c>
      <c r="V146" s="5" t="s">
        <v>64</v>
      </c>
      <c r="W146" s="5" t="s">
        <v>63</v>
      </c>
      <c r="X146" s="5" t="s">
        <v>63</v>
      </c>
      <c r="Y146" s="5" t="s">
        <v>63</v>
      </c>
      <c r="Z146" s="5" t="s">
        <v>63</v>
      </c>
      <c r="AA146" s="5" t="s">
        <v>63</v>
      </c>
      <c r="AB146" s="5" t="s">
        <v>63</v>
      </c>
      <c r="AC146" s="5" t="s">
        <v>63</v>
      </c>
      <c r="AD146" s="5" t="s">
        <v>63</v>
      </c>
      <c r="AE146" s="5" t="s">
        <v>63</v>
      </c>
      <c r="AF146" s="5" t="s">
        <v>63</v>
      </c>
      <c r="AG146" s="5" t="s">
        <v>63</v>
      </c>
      <c r="AH146" s="5" t="s">
        <v>63</v>
      </c>
      <c r="AI146" s="5" t="s">
        <v>63</v>
      </c>
      <c r="AJ146" s="14" t="s">
        <v>63</v>
      </c>
      <c r="AK146" s="5" t="s">
        <v>63</v>
      </c>
      <c r="AL146" s="5" t="s">
        <v>63</v>
      </c>
      <c r="AM146" s="5" t="s">
        <v>63</v>
      </c>
      <c r="AN146" s="5" t="s">
        <v>63</v>
      </c>
      <c r="AO146" s="5" t="s">
        <v>63</v>
      </c>
      <c r="AP146" s="5" t="s">
        <v>63</v>
      </c>
      <c r="AQ146" s="5" t="s">
        <v>63</v>
      </c>
      <c r="AR146" s="5" t="s">
        <v>63</v>
      </c>
      <c r="AS146" s="8" t="s">
        <v>63</v>
      </c>
      <c r="AT146" s="5" t="s">
        <v>63</v>
      </c>
      <c r="AU146" s="5" t="s">
        <v>63</v>
      </c>
      <c r="AV146" s="5" t="s">
        <v>63</v>
      </c>
      <c r="AW146" s="5" t="s">
        <v>63</v>
      </c>
      <c r="AX146" s="5" t="s">
        <v>63</v>
      </c>
      <c r="AY146" s="5" t="s">
        <v>63</v>
      </c>
      <c r="AZ146" s="5" t="s">
        <v>63</v>
      </c>
      <c r="BA146" s="5" t="s">
        <v>63</v>
      </c>
      <c r="BB146" s="5" t="s">
        <v>63</v>
      </c>
      <c r="BC146" s="5" t="s">
        <v>63</v>
      </c>
      <c r="BD146" s="5" t="s">
        <v>63</v>
      </c>
      <c r="BE146" s="5" t="s">
        <v>64</v>
      </c>
    </row>
    <row r="147" spans="1:72">
      <c r="A147" s="1" t="str">
        <f t="shared" si="2"/>
        <v>Yes</v>
      </c>
      <c r="B147" s="1" t="s">
        <v>241</v>
      </c>
      <c r="C147" s="1" t="s">
        <v>338</v>
      </c>
      <c r="D147" s="11" t="s">
        <v>286</v>
      </c>
      <c r="E147" s="1" t="s">
        <v>339</v>
      </c>
      <c r="F147" s="2">
        <v>3</v>
      </c>
      <c r="G147" s="5" t="s">
        <v>63</v>
      </c>
      <c r="H147" s="5" t="s">
        <v>63</v>
      </c>
      <c r="I147" s="5" t="s">
        <v>63</v>
      </c>
      <c r="J147" s="5" t="s">
        <v>63</v>
      </c>
      <c r="K147" s="5" t="s">
        <v>63</v>
      </c>
      <c r="L147" s="5" t="s">
        <v>63</v>
      </c>
      <c r="M147" s="5" t="s">
        <v>63</v>
      </c>
      <c r="N147" s="5" t="s">
        <v>63</v>
      </c>
      <c r="O147" s="5" t="s">
        <v>63</v>
      </c>
      <c r="P147" s="5" t="s">
        <v>63</v>
      </c>
      <c r="Q147" s="5" t="s">
        <v>63</v>
      </c>
      <c r="R147" s="5" t="s">
        <v>63</v>
      </c>
      <c r="S147" s="5" t="s">
        <v>63</v>
      </c>
      <c r="T147" s="5" t="s">
        <v>63</v>
      </c>
      <c r="U147" s="5" t="s">
        <v>63</v>
      </c>
      <c r="V147" s="5" t="s">
        <v>64</v>
      </c>
      <c r="W147" s="5" t="s">
        <v>63</v>
      </c>
      <c r="X147" s="5" t="s">
        <v>63</v>
      </c>
      <c r="Y147" s="5" t="s">
        <v>63</v>
      </c>
      <c r="Z147" s="5" t="s">
        <v>63</v>
      </c>
      <c r="AA147" s="5" t="s">
        <v>63</v>
      </c>
      <c r="AB147" s="5" t="s">
        <v>63</v>
      </c>
      <c r="AC147" s="5" t="s">
        <v>63</v>
      </c>
      <c r="AD147" s="5" t="s">
        <v>63</v>
      </c>
      <c r="AE147" s="5" t="s">
        <v>63</v>
      </c>
      <c r="AF147" s="5" t="s">
        <v>63</v>
      </c>
      <c r="AG147" s="5" t="s">
        <v>63</v>
      </c>
      <c r="AH147" s="5" t="s">
        <v>63</v>
      </c>
      <c r="AI147" s="5" t="s">
        <v>63</v>
      </c>
      <c r="AJ147" s="14" t="s">
        <v>63</v>
      </c>
      <c r="AK147" s="5" t="s">
        <v>63</v>
      </c>
      <c r="AL147" s="5" t="s">
        <v>63</v>
      </c>
      <c r="AM147" s="5" t="s">
        <v>63</v>
      </c>
      <c r="AN147" s="5" t="s">
        <v>63</v>
      </c>
      <c r="AO147" s="5" t="s">
        <v>63</v>
      </c>
      <c r="AP147" s="5" t="s">
        <v>63</v>
      </c>
      <c r="AQ147" s="5" t="s">
        <v>63</v>
      </c>
      <c r="AR147" s="5" t="s">
        <v>63</v>
      </c>
      <c r="AS147" s="8" t="s">
        <v>63</v>
      </c>
      <c r="AT147" s="5" t="s">
        <v>63</v>
      </c>
      <c r="AU147" s="5" t="s">
        <v>63</v>
      </c>
      <c r="AV147" s="5" t="s">
        <v>63</v>
      </c>
      <c r="AW147" s="5" t="s">
        <v>63</v>
      </c>
      <c r="AX147" s="5" t="s">
        <v>63</v>
      </c>
      <c r="AY147" s="5" t="s">
        <v>63</v>
      </c>
      <c r="AZ147" s="5" t="s">
        <v>63</v>
      </c>
      <c r="BA147" s="5" t="s">
        <v>63</v>
      </c>
      <c r="BB147" s="5" t="s">
        <v>63</v>
      </c>
      <c r="BC147" s="5" t="s">
        <v>63</v>
      </c>
      <c r="BD147" s="5" t="s">
        <v>63</v>
      </c>
      <c r="BE147" s="5" t="s">
        <v>64</v>
      </c>
    </row>
    <row r="148" spans="1:72">
      <c r="A148" s="1" t="str">
        <f t="shared" si="2"/>
        <v>Yes</v>
      </c>
      <c r="B148" s="1" t="s">
        <v>241</v>
      </c>
      <c r="C148" s="1" t="s">
        <v>340</v>
      </c>
      <c r="D148" s="11" t="s">
        <v>286</v>
      </c>
      <c r="E148" s="1" t="s">
        <v>341</v>
      </c>
      <c r="F148" s="2">
        <v>3</v>
      </c>
      <c r="G148" s="5" t="s">
        <v>63</v>
      </c>
      <c r="H148" s="5" t="s">
        <v>63</v>
      </c>
      <c r="I148" s="5" t="s">
        <v>63</v>
      </c>
      <c r="J148" s="5" t="s">
        <v>63</v>
      </c>
      <c r="K148" s="5" t="s">
        <v>63</v>
      </c>
      <c r="L148" s="5" t="s">
        <v>63</v>
      </c>
      <c r="M148" s="5" t="s">
        <v>63</v>
      </c>
      <c r="N148" s="5" t="s">
        <v>63</v>
      </c>
      <c r="O148" s="5" t="s">
        <v>63</v>
      </c>
      <c r="P148" s="5" t="s">
        <v>63</v>
      </c>
      <c r="Q148" s="5" t="s">
        <v>63</v>
      </c>
      <c r="R148" s="5" t="s">
        <v>63</v>
      </c>
      <c r="S148" s="5" t="s">
        <v>63</v>
      </c>
      <c r="T148" s="5" t="s">
        <v>63</v>
      </c>
      <c r="U148" s="5" t="s">
        <v>63</v>
      </c>
      <c r="V148" s="5" t="s">
        <v>63</v>
      </c>
      <c r="W148" s="5" t="s">
        <v>63</v>
      </c>
      <c r="X148" s="5" t="s">
        <v>63</v>
      </c>
      <c r="Y148" s="5" t="s">
        <v>63</v>
      </c>
      <c r="Z148" s="5" t="s">
        <v>63</v>
      </c>
      <c r="AA148" s="5" t="s">
        <v>63</v>
      </c>
      <c r="AB148" s="5" t="s">
        <v>64</v>
      </c>
      <c r="AC148" s="5" t="s">
        <v>63</v>
      </c>
      <c r="AD148" s="5" t="s">
        <v>63</v>
      </c>
      <c r="AE148" s="5" t="s">
        <v>63</v>
      </c>
      <c r="AF148" s="5" t="s">
        <v>63</v>
      </c>
      <c r="AG148" s="5" t="s">
        <v>63</v>
      </c>
      <c r="AH148" s="5" t="s">
        <v>63</v>
      </c>
      <c r="AI148" s="5" t="s">
        <v>63</v>
      </c>
      <c r="AJ148" s="14" t="s">
        <v>63</v>
      </c>
      <c r="AK148" s="5" t="s">
        <v>63</v>
      </c>
      <c r="AL148" s="5" t="s">
        <v>63</v>
      </c>
      <c r="AM148" s="5" t="s">
        <v>63</v>
      </c>
      <c r="AN148" s="5" t="s">
        <v>63</v>
      </c>
      <c r="AO148" s="5" t="s">
        <v>63</v>
      </c>
      <c r="AP148" s="5" t="s">
        <v>63</v>
      </c>
      <c r="AQ148" s="5" t="s">
        <v>63</v>
      </c>
      <c r="AR148" s="5" t="s">
        <v>63</v>
      </c>
      <c r="AS148" s="8" t="s">
        <v>63</v>
      </c>
      <c r="AT148" s="5" t="s">
        <v>63</v>
      </c>
      <c r="AU148" s="5" t="s">
        <v>63</v>
      </c>
      <c r="AV148" s="5" t="s">
        <v>63</v>
      </c>
      <c r="AW148" s="5" t="s">
        <v>63</v>
      </c>
      <c r="AX148" s="5" t="s">
        <v>63</v>
      </c>
      <c r="AY148" s="5" t="s">
        <v>63</v>
      </c>
      <c r="AZ148" s="5" t="s">
        <v>63</v>
      </c>
      <c r="BA148" s="5" t="s">
        <v>63</v>
      </c>
      <c r="BB148" s="5" t="s">
        <v>63</v>
      </c>
      <c r="BC148" s="5" t="s">
        <v>63</v>
      </c>
      <c r="BD148" s="5" t="s">
        <v>63</v>
      </c>
      <c r="BG148" s="5" t="s">
        <v>64</v>
      </c>
    </row>
    <row r="149" spans="1:72">
      <c r="A149" s="1" t="str">
        <f t="shared" si="2"/>
        <v>Yes</v>
      </c>
      <c r="B149" s="1" t="s">
        <v>241</v>
      </c>
      <c r="C149" s="1" t="s">
        <v>342</v>
      </c>
      <c r="D149" s="11" t="s">
        <v>286</v>
      </c>
      <c r="E149" s="1" t="s">
        <v>343</v>
      </c>
      <c r="F149" s="2">
        <v>3</v>
      </c>
      <c r="G149" s="5" t="s">
        <v>63</v>
      </c>
      <c r="H149" s="5" t="s">
        <v>63</v>
      </c>
      <c r="I149" s="5" t="s">
        <v>63</v>
      </c>
      <c r="J149" s="5" t="s">
        <v>63</v>
      </c>
      <c r="K149" s="5" t="s">
        <v>63</v>
      </c>
      <c r="L149" s="5" t="s">
        <v>63</v>
      </c>
      <c r="M149" s="5" t="s">
        <v>63</v>
      </c>
      <c r="N149" s="5" t="s">
        <v>63</v>
      </c>
      <c r="O149" s="5" t="s">
        <v>63</v>
      </c>
      <c r="P149" s="5" t="s">
        <v>63</v>
      </c>
      <c r="Q149" s="5" t="s">
        <v>63</v>
      </c>
      <c r="R149" s="5" t="s">
        <v>63</v>
      </c>
      <c r="S149" s="5" t="s">
        <v>63</v>
      </c>
      <c r="T149" s="5" t="s">
        <v>63</v>
      </c>
      <c r="U149" s="5" t="s">
        <v>63</v>
      </c>
      <c r="V149" s="5" t="s">
        <v>64</v>
      </c>
      <c r="W149" s="5" t="s">
        <v>63</v>
      </c>
      <c r="X149" s="5" t="s">
        <v>63</v>
      </c>
      <c r="Y149" s="5" t="s">
        <v>63</v>
      </c>
      <c r="Z149" s="5" t="s">
        <v>63</v>
      </c>
      <c r="AA149" s="5" t="s">
        <v>63</v>
      </c>
      <c r="AB149" s="5" t="s">
        <v>63</v>
      </c>
      <c r="AC149" s="5" t="s">
        <v>63</v>
      </c>
      <c r="AD149" s="5" t="s">
        <v>63</v>
      </c>
      <c r="AE149" s="5" t="s">
        <v>63</v>
      </c>
      <c r="AF149" s="5" t="s">
        <v>63</v>
      </c>
      <c r="AG149" s="5" t="s">
        <v>63</v>
      </c>
      <c r="AH149" s="5" t="s">
        <v>63</v>
      </c>
      <c r="AI149" s="5" t="s">
        <v>63</v>
      </c>
      <c r="AJ149" s="14" t="s">
        <v>63</v>
      </c>
      <c r="AK149" s="5" t="s">
        <v>63</v>
      </c>
      <c r="AL149" s="5" t="s">
        <v>63</v>
      </c>
      <c r="AM149" s="5" t="s">
        <v>63</v>
      </c>
      <c r="AN149" s="5" t="s">
        <v>63</v>
      </c>
      <c r="AO149" s="5" t="s">
        <v>63</v>
      </c>
      <c r="AP149" s="5" t="s">
        <v>63</v>
      </c>
      <c r="AQ149" s="5" t="s">
        <v>63</v>
      </c>
      <c r="AR149" s="5" t="s">
        <v>63</v>
      </c>
      <c r="AS149" s="8" t="s">
        <v>63</v>
      </c>
      <c r="AT149" s="5" t="s">
        <v>63</v>
      </c>
      <c r="AU149" s="5" t="s">
        <v>63</v>
      </c>
      <c r="AV149" s="5" t="s">
        <v>63</v>
      </c>
      <c r="AW149" s="5" t="s">
        <v>63</v>
      </c>
      <c r="AX149" s="5" t="s">
        <v>63</v>
      </c>
      <c r="AY149" s="5" t="s">
        <v>63</v>
      </c>
      <c r="AZ149" s="5" t="s">
        <v>63</v>
      </c>
      <c r="BA149" s="5" t="s">
        <v>63</v>
      </c>
      <c r="BB149" s="5" t="s">
        <v>63</v>
      </c>
      <c r="BC149" s="5" t="s">
        <v>63</v>
      </c>
      <c r="BD149" s="5" t="s">
        <v>63</v>
      </c>
      <c r="BE149" s="5" t="s">
        <v>64</v>
      </c>
    </row>
    <row r="150" spans="1:72">
      <c r="A150" s="1" t="str">
        <f t="shared" si="2"/>
        <v>Yes</v>
      </c>
      <c r="B150" s="1" t="s">
        <v>241</v>
      </c>
      <c r="C150" s="1" t="s">
        <v>238</v>
      </c>
      <c r="E150" s="1" t="s">
        <v>344</v>
      </c>
      <c r="G150" s="9" t="s">
        <v>63</v>
      </c>
      <c r="H150" s="9" t="s">
        <v>63</v>
      </c>
      <c r="I150" s="9" t="s">
        <v>63</v>
      </c>
      <c r="J150" s="9" t="s">
        <v>63</v>
      </c>
      <c r="K150" s="9" t="s">
        <v>63</v>
      </c>
      <c r="L150" s="9" t="s">
        <v>63</v>
      </c>
      <c r="M150" s="9" t="s">
        <v>63</v>
      </c>
      <c r="N150" s="9" t="s">
        <v>63</v>
      </c>
      <c r="O150" s="9" t="s">
        <v>63</v>
      </c>
      <c r="P150" s="9" t="s">
        <v>63</v>
      </c>
      <c r="Q150" s="9" t="s">
        <v>63</v>
      </c>
      <c r="R150" s="9" t="s">
        <v>63</v>
      </c>
      <c r="S150" s="9" t="s">
        <v>63</v>
      </c>
      <c r="T150" s="9" t="s">
        <v>63</v>
      </c>
      <c r="U150" s="9" t="s">
        <v>63</v>
      </c>
      <c r="V150" s="9" t="s">
        <v>63</v>
      </c>
      <c r="W150" s="9" t="s">
        <v>63</v>
      </c>
      <c r="X150" s="9" t="s">
        <v>63</v>
      </c>
      <c r="Y150" s="9" t="s">
        <v>63</v>
      </c>
      <c r="Z150" s="9" t="s">
        <v>63</v>
      </c>
      <c r="AA150" s="9" t="s">
        <v>63</v>
      </c>
      <c r="AB150" s="9" t="s">
        <v>63</v>
      </c>
      <c r="AC150" s="9" t="s">
        <v>63</v>
      </c>
      <c r="AD150" s="9" t="s">
        <v>63</v>
      </c>
      <c r="AE150" s="9" t="s">
        <v>63</v>
      </c>
      <c r="AF150" s="9" t="s">
        <v>63</v>
      </c>
      <c r="AG150" s="9" t="s">
        <v>63</v>
      </c>
      <c r="AH150" s="9" t="s">
        <v>63</v>
      </c>
      <c r="AI150" s="9" t="s">
        <v>63</v>
      </c>
      <c r="AJ150" s="15" t="s">
        <v>63</v>
      </c>
      <c r="AK150" s="9" t="s">
        <v>63</v>
      </c>
      <c r="AL150" s="9" t="s">
        <v>63</v>
      </c>
      <c r="AM150" s="9" t="s">
        <v>63</v>
      </c>
      <c r="AN150" s="9" t="s">
        <v>63</v>
      </c>
      <c r="AO150" s="9" t="s">
        <v>63</v>
      </c>
      <c r="AP150" s="9" t="s">
        <v>63</v>
      </c>
      <c r="AQ150" s="9" t="s">
        <v>63</v>
      </c>
      <c r="AR150" s="9" t="s">
        <v>63</v>
      </c>
      <c r="AS150" s="8" t="s">
        <v>63</v>
      </c>
      <c r="AT150" s="9" t="s">
        <v>63</v>
      </c>
      <c r="AU150" s="9" t="s">
        <v>63</v>
      </c>
      <c r="AV150" s="9" t="s">
        <v>63</v>
      </c>
      <c r="AW150" s="9" t="s">
        <v>63</v>
      </c>
      <c r="AX150" s="9" t="s">
        <v>63</v>
      </c>
      <c r="AY150" s="9" t="s">
        <v>63</v>
      </c>
      <c r="AZ150" s="9" t="s">
        <v>63</v>
      </c>
      <c r="BA150" s="9" t="s">
        <v>63</v>
      </c>
      <c r="BB150" s="9" t="s">
        <v>63</v>
      </c>
      <c r="BC150" s="9" t="s">
        <v>63</v>
      </c>
      <c r="BD150" s="5" t="s">
        <v>63</v>
      </c>
    </row>
    <row r="151" spans="1:72">
      <c r="A151" s="1" t="str">
        <f t="shared" si="2"/>
        <v>No</v>
      </c>
      <c r="B151" s="1" t="s">
        <v>59</v>
      </c>
      <c r="C151" s="1" t="s">
        <v>345</v>
      </c>
      <c r="D151" s="11" t="s">
        <v>346</v>
      </c>
      <c r="E151" s="1" t="s">
        <v>347</v>
      </c>
      <c r="F151" s="2">
        <v>3</v>
      </c>
      <c r="G151" s="5" t="s">
        <v>63</v>
      </c>
      <c r="H151" s="5" t="s">
        <v>63</v>
      </c>
      <c r="I151" s="5" t="s">
        <v>63</v>
      </c>
      <c r="J151" s="5" t="s">
        <v>63</v>
      </c>
      <c r="K151" s="5" t="s">
        <v>63</v>
      </c>
      <c r="L151" s="5" t="s">
        <v>63</v>
      </c>
      <c r="M151" s="5" t="s">
        <v>63</v>
      </c>
      <c r="N151" s="5" t="s">
        <v>63</v>
      </c>
      <c r="O151" s="5" t="s">
        <v>63</v>
      </c>
      <c r="P151" s="5" t="s">
        <v>63</v>
      </c>
      <c r="Q151" s="5" t="s">
        <v>63</v>
      </c>
      <c r="R151" s="5" t="s">
        <v>63</v>
      </c>
      <c r="S151" s="5" t="s">
        <v>63</v>
      </c>
      <c r="T151" s="5" t="s">
        <v>63</v>
      </c>
      <c r="U151" s="5" t="s">
        <v>63</v>
      </c>
      <c r="V151" s="5" t="s">
        <v>63</v>
      </c>
      <c r="W151" s="5" t="s">
        <v>63</v>
      </c>
      <c r="X151" s="5" t="s">
        <v>63</v>
      </c>
      <c r="Y151" s="5" t="s">
        <v>64</v>
      </c>
      <c r="Z151" s="5" t="s">
        <v>63</v>
      </c>
      <c r="AA151" s="5" t="s">
        <v>63</v>
      </c>
      <c r="AB151" s="5" t="s">
        <v>63</v>
      </c>
      <c r="AC151" s="5" t="s">
        <v>63</v>
      </c>
      <c r="AD151" s="5" t="s">
        <v>63</v>
      </c>
      <c r="AE151" s="5" t="s">
        <v>63</v>
      </c>
      <c r="AF151" s="5" t="s">
        <v>63</v>
      </c>
      <c r="AG151" s="5" t="s">
        <v>63</v>
      </c>
      <c r="AH151" s="5" t="s">
        <v>63</v>
      </c>
      <c r="AI151" s="5" t="s">
        <v>63</v>
      </c>
      <c r="AJ151" s="14" t="s">
        <v>63</v>
      </c>
      <c r="AK151" s="5" t="s">
        <v>63</v>
      </c>
      <c r="AL151" s="5" t="s">
        <v>63</v>
      </c>
      <c r="AM151" s="5" t="s">
        <v>63</v>
      </c>
      <c r="AN151" s="5" t="s">
        <v>63</v>
      </c>
      <c r="AO151" s="5" t="s">
        <v>63</v>
      </c>
      <c r="AP151" s="5" t="s">
        <v>63</v>
      </c>
      <c r="AQ151" s="5" t="s">
        <v>63</v>
      </c>
      <c r="AR151" s="5" t="s">
        <v>63</v>
      </c>
      <c r="AS151" s="8" t="s">
        <v>63</v>
      </c>
      <c r="AT151" s="5"/>
      <c r="AU151" s="5" t="s">
        <v>63</v>
      </c>
      <c r="AV151" s="5" t="s">
        <v>63</v>
      </c>
      <c r="AW151" s="5" t="s">
        <v>63</v>
      </c>
      <c r="AX151" s="5" t="s">
        <v>63</v>
      </c>
      <c r="AY151" s="5" t="s">
        <v>64</v>
      </c>
      <c r="AZ151" s="5" t="s">
        <v>63</v>
      </c>
      <c r="BA151" s="5" t="s">
        <v>63</v>
      </c>
      <c r="BB151" s="5" t="s">
        <v>63</v>
      </c>
      <c r="BC151" s="5" t="s">
        <v>63</v>
      </c>
      <c r="BD151" s="5" t="s">
        <v>63</v>
      </c>
      <c r="BE151" s="5" t="s">
        <v>64</v>
      </c>
      <c r="BP151" s="5" t="s">
        <v>64</v>
      </c>
      <c r="BR151" s="5" t="s">
        <v>64</v>
      </c>
    </row>
    <row r="152" spans="1:72">
      <c r="A152" s="1" t="str">
        <f t="shared" si="2"/>
        <v>Yes</v>
      </c>
      <c r="B152" s="1" t="s">
        <v>348</v>
      </c>
      <c r="C152" s="1" t="s">
        <v>349</v>
      </c>
      <c r="D152" s="11" t="s">
        <v>350</v>
      </c>
      <c r="E152" s="1" t="s">
        <v>351</v>
      </c>
      <c r="F152" s="2">
        <v>3</v>
      </c>
      <c r="G152" s="5" t="s">
        <v>63</v>
      </c>
      <c r="H152" s="5" t="s">
        <v>63</v>
      </c>
      <c r="I152" s="5" t="s">
        <v>63</v>
      </c>
      <c r="J152" s="5" t="s">
        <v>63</v>
      </c>
      <c r="K152" s="5" t="s">
        <v>63</v>
      </c>
      <c r="L152" s="5" t="s">
        <v>63</v>
      </c>
      <c r="M152" s="5" t="s">
        <v>63</v>
      </c>
      <c r="N152" s="5" t="s">
        <v>63</v>
      </c>
      <c r="O152" s="5" t="s">
        <v>63</v>
      </c>
      <c r="P152" s="5" t="s">
        <v>63</v>
      </c>
      <c r="Q152" s="5" t="s">
        <v>63</v>
      </c>
      <c r="R152" s="5" t="s">
        <v>63</v>
      </c>
      <c r="S152" s="5" t="s">
        <v>63</v>
      </c>
      <c r="T152" s="5" t="s">
        <v>63</v>
      </c>
      <c r="U152" s="5" t="s">
        <v>63</v>
      </c>
      <c r="V152" s="5" t="s">
        <v>63</v>
      </c>
      <c r="W152" s="5" t="s">
        <v>63</v>
      </c>
      <c r="X152" s="5" t="s">
        <v>63</v>
      </c>
      <c r="Y152" s="5" t="s">
        <v>63</v>
      </c>
      <c r="Z152" s="5" t="s">
        <v>63</v>
      </c>
      <c r="AA152" s="5" t="s">
        <v>63</v>
      </c>
      <c r="AB152" s="5" t="s">
        <v>63</v>
      </c>
      <c r="AC152" s="5" t="s">
        <v>63</v>
      </c>
      <c r="AD152" s="5" t="s">
        <v>63</v>
      </c>
      <c r="AE152" s="5" t="s">
        <v>63</v>
      </c>
      <c r="AF152" s="5" t="s">
        <v>63</v>
      </c>
      <c r="AG152" s="5" t="s">
        <v>63</v>
      </c>
      <c r="AH152" s="5" t="s">
        <v>64</v>
      </c>
      <c r="AI152" s="5" t="s">
        <v>63</v>
      </c>
      <c r="AJ152" s="14" t="s">
        <v>63</v>
      </c>
      <c r="AK152" s="5" t="s">
        <v>63</v>
      </c>
      <c r="AL152" s="5" t="s">
        <v>63</v>
      </c>
      <c r="AM152" s="5" t="s">
        <v>63</v>
      </c>
      <c r="AN152" s="5" t="s">
        <v>63</v>
      </c>
      <c r="AO152" s="5" t="s">
        <v>63</v>
      </c>
      <c r="AP152" s="5" t="s">
        <v>63</v>
      </c>
      <c r="AQ152" s="5" t="s">
        <v>63</v>
      </c>
      <c r="AR152" s="5" t="s">
        <v>63</v>
      </c>
      <c r="AS152" s="8" t="s">
        <v>63</v>
      </c>
      <c r="AT152" s="5" t="s">
        <v>63</v>
      </c>
      <c r="AU152" s="5" t="s">
        <v>63</v>
      </c>
      <c r="AV152" s="5" t="s">
        <v>63</v>
      </c>
      <c r="AW152" s="5"/>
      <c r="AX152" s="5" t="s">
        <v>64</v>
      </c>
      <c r="AY152" s="5" t="s">
        <v>64</v>
      </c>
      <c r="AZ152" s="5" t="s">
        <v>64</v>
      </c>
      <c r="BA152" s="5" t="s">
        <v>64</v>
      </c>
      <c r="BB152" s="5" t="s">
        <v>64</v>
      </c>
      <c r="BC152" s="5" t="s">
        <v>63</v>
      </c>
      <c r="BD152" s="5" t="s">
        <v>63</v>
      </c>
      <c r="BK152" s="5" t="s">
        <v>64</v>
      </c>
      <c r="BQ152" s="5"/>
      <c r="BR152" s="5" t="s">
        <v>64</v>
      </c>
      <c r="BS152" s="5" t="s">
        <v>64</v>
      </c>
    </row>
    <row r="153" spans="1:72">
      <c r="A153" s="1" t="str">
        <f t="shared" si="2"/>
        <v>Yes</v>
      </c>
      <c r="B153" s="1" t="s">
        <v>348</v>
      </c>
      <c r="C153" s="1" t="s">
        <v>352</v>
      </c>
      <c r="D153" s="11" t="s">
        <v>353</v>
      </c>
      <c r="E153" s="1" t="s">
        <v>354</v>
      </c>
      <c r="F153" s="2">
        <v>3</v>
      </c>
      <c r="G153" s="5" t="s">
        <v>63</v>
      </c>
      <c r="H153" s="5" t="s">
        <v>63</v>
      </c>
      <c r="I153" s="5" t="s">
        <v>63</v>
      </c>
      <c r="J153" s="5" t="s">
        <v>63</v>
      </c>
      <c r="K153" s="5" t="s">
        <v>63</v>
      </c>
      <c r="L153" s="5" t="s">
        <v>63</v>
      </c>
      <c r="M153" s="5" t="s">
        <v>63</v>
      </c>
      <c r="N153" s="5" t="s">
        <v>63</v>
      </c>
      <c r="O153" s="5" t="s">
        <v>63</v>
      </c>
      <c r="P153" s="5" t="s">
        <v>63</v>
      </c>
      <c r="Q153" s="5" t="s">
        <v>63</v>
      </c>
      <c r="R153" s="5" t="s">
        <v>63</v>
      </c>
      <c r="S153" s="5" t="s">
        <v>63</v>
      </c>
      <c r="T153" s="5" t="s">
        <v>63</v>
      </c>
      <c r="U153" s="5" t="s">
        <v>63</v>
      </c>
      <c r="V153" s="5" t="s">
        <v>63</v>
      </c>
      <c r="W153" s="5" t="s">
        <v>63</v>
      </c>
      <c r="X153" s="5" t="s">
        <v>63</v>
      </c>
      <c r="Y153" s="5" t="s">
        <v>64</v>
      </c>
      <c r="Z153" s="5" t="s">
        <v>63</v>
      </c>
      <c r="AA153" s="5" t="s">
        <v>63</v>
      </c>
      <c r="AB153" s="5" t="s">
        <v>63</v>
      </c>
      <c r="AC153" s="5" t="s">
        <v>63</v>
      </c>
      <c r="AD153" s="5" t="s">
        <v>63</v>
      </c>
      <c r="AE153" s="5" t="s">
        <v>63</v>
      </c>
      <c r="AF153" s="5" t="s">
        <v>63</v>
      </c>
      <c r="AG153" s="5" t="s">
        <v>63</v>
      </c>
      <c r="AH153" s="5" t="s">
        <v>63</v>
      </c>
      <c r="AI153" s="5" t="s">
        <v>63</v>
      </c>
      <c r="AJ153" s="14" t="s">
        <v>63</v>
      </c>
      <c r="AK153" s="5" t="s">
        <v>63</v>
      </c>
      <c r="AL153" s="5" t="s">
        <v>63</v>
      </c>
      <c r="AM153" s="5" t="s">
        <v>63</v>
      </c>
      <c r="AN153" s="5" t="s">
        <v>63</v>
      </c>
      <c r="AO153" s="5" t="s">
        <v>63</v>
      </c>
      <c r="AP153" s="5" t="s">
        <v>63</v>
      </c>
      <c r="AQ153" s="5" t="s">
        <v>63</v>
      </c>
      <c r="AR153" s="5" t="s">
        <v>63</v>
      </c>
      <c r="AS153" s="8" t="s">
        <v>63</v>
      </c>
      <c r="AT153" s="5" t="s">
        <v>63</v>
      </c>
      <c r="AU153" s="5" t="s">
        <v>63</v>
      </c>
      <c r="AV153" s="5" t="s">
        <v>63</v>
      </c>
      <c r="AW153" s="5"/>
      <c r="AX153" s="5" t="s">
        <v>63</v>
      </c>
      <c r="AY153" s="5" t="s">
        <v>64</v>
      </c>
      <c r="AZ153" s="5" t="s">
        <v>63</v>
      </c>
      <c r="BA153" s="5" t="s">
        <v>63</v>
      </c>
      <c r="BB153" s="5" t="s">
        <v>63</v>
      </c>
      <c r="BC153" s="5" t="s">
        <v>63</v>
      </c>
      <c r="BD153" s="5" t="s">
        <v>63</v>
      </c>
      <c r="BE153" s="5" t="s">
        <v>64</v>
      </c>
      <c r="BQ153" s="5"/>
      <c r="BR153" s="5" t="s">
        <v>64</v>
      </c>
    </row>
    <row r="154" spans="1:72">
      <c r="A154" s="1" t="str">
        <f t="shared" si="2"/>
        <v>Yes</v>
      </c>
      <c r="B154" s="1" t="s">
        <v>348</v>
      </c>
      <c r="C154" s="1" t="s">
        <v>355</v>
      </c>
      <c r="D154" s="11" t="s">
        <v>353</v>
      </c>
      <c r="E154" s="1" t="s">
        <v>356</v>
      </c>
      <c r="F154" s="2">
        <v>3</v>
      </c>
      <c r="G154" s="5" t="s">
        <v>63</v>
      </c>
      <c r="H154" s="5" t="s">
        <v>63</v>
      </c>
      <c r="I154" s="5" t="s">
        <v>63</v>
      </c>
      <c r="J154" s="5" t="s">
        <v>63</v>
      </c>
      <c r="K154" s="5" t="s">
        <v>63</v>
      </c>
      <c r="L154" s="5" t="s">
        <v>63</v>
      </c>
      <c r="M154" s="5" t="s">
        <v>63</v>
      </c>
      <c r="N154" s="5" t="s">
        <v>63</v>
      </c>
      <c r="O154" s="5" t="s">
        <v>63</v>
      </c>
      <c r="P154" s="5" t="s">
        <v>63</v>
      </c>
      <c r="Q154" s="5" t="s">
        <v>63</v>
      </c>
      <c r="R154" s="5" t="s">
        <v>63</v>
      </c>
      <c r="S154" s="5" t="s">
        <v>63</v>
      </c>
      <c r="T154" s="5" t="s">
        <v>63</v>
      </c>
      <c r="U154" s="5" t="s">
        <v>63</v>
      </c>
      <c r="V154" s="5" t="s">
        <v>63</v>
      </c>
      <c r="W154" s="5" t="s">
        <v>63</v>
      </c>
      <c r="X154" s="5" t="s">
        <v>63</v>
      </c>
      <c r="Y154" s="5" t="s">
        <v>64</v>
      </c>
      <c r="Z154" s="5" t="s">
        <v>63</v>
      </c>
      <c r="AA154" s="5" t="s">
        <v>63</v>
      </c>
      <c r="AB154" s="5" t="s">
        <v>63</v>
      </c>
      <c r="AC154" s="5" t="s">
        <v>63</v>
      </c>
      <c r="AD154" s="5" t="s">
        <v>63</v>
      </c>
      <c r="AE154" s="5" t="s">
        <v>63</v>
      </c>
      <c r="AF154" s="5" t="s">
        <v>63</v>
      </c>
      <c r="AG154" s="5" t="s">
        <v>63</v>
      </c>
      <c r="AH154" s="5" t="s">
        <v>63</v>
      </c>
      <c r="AI154" s="5" t="s">
        <v>63</v>
      </c>
      <c r="AJ154" s="14" t="s">
        <v>63</v>
      </c>
      <c r="AK154" s="5" t="s">
        <v>63</v>
      </c>
      <c r="AL154" s="5" t="s">
        <v>63</v>
      </c>
      <c r="AM154" s="5" t="s">
        <v>63</v>
      </c>
      <c r="AN154" s="5" t="s">
        <v>63</v>
      </c>
      <c r="AO154" s="5" t="s">
        <v>63</v>
      </c>
      <c r="AP154" s="5" t="s">
        <v>63</v>
      </c>
      <c r="AQ154" s="5" t="s">
        <v>63</v>
      </c>
      <c r="AR154" s="5" t="s">
        <v>63</v>
      </c>
      <c r="AS154" s="8" t="s">
        <v>63</v>
      </c>
      <c r="AT154" s="5" t="s">
        <v>63</v>
      </c>
      <c r="AU154" s="5" t="s">
        <v>63</v>
      </c>
      <c r="AV154" s="5" t="s">
        <v>63</v>
      </c>
      <c r="AW154" s="5"/>
      <c r="AX154" s="5" t="s">
        <v>63</v>
      </c>
      <c r="AY154" s="5" t="s">
        <v>64</v>
      </c>
      <c r="AZ154" s="5" t="s">
        <v>63</v>
      </c>
      <c r="BA154" s="5" t="s">
        <v>63</v>
      </c>
      <c r="BB154" s="5" t="s">
        <v>63</v>
      </c>
      <c r="BC154" s="5" t="s">
        <v>63</v>
      </c>
      <c r="BD154" s="5" t="s">
        <v>63</v>
      </c>
      <c r="BE154" s="5" t="s">
        <v>64</v>
      </c>
      <c r="BQ154" s="5"/>
      <c r="BR154" s="5" t="s">
        <v>64</v>
      </c>
    </row>
    <row r="155" spans="1:72">
      <c r="A155" s="1" t="str">
        <f t="shared" si="2"/>
        <v>Yes</v>
      </c>
      <c r="B155" s="1" t="s">
        <v>348</v>
      </c>
      <c r="C155" s="1" t="s">
        <v>357</v>
      </c>
      <c r="D155" s="11" t="s">
        <v>353</v>
      </c>
      <c r="E155" s="1" t="s">
        <v>358</v>
      </c>
      <c r="F155" s="2" t="s">
        <v>63</v>
      </c>
      <c r="G155" s="5" t="s">
        <v>63</v>
      </c>
      <c r="H155" s="5" t="s">
        <v>63</v>
      </c>
      <c r="I155" s="5" t="s">
        <v>63</v>
      </c>
      <c r="J155" s="5" t="s">
        <v>63</v>
      </c>
      <c r="K155" s="5" t="s">
        <v>63</v>
      </c>
      <c r="L155" s="5" t="s">
        <v>63</v>
      </c>
      <c r="M155" s="5" t="s">
        <v>63</v>
      </c>
      <c r="N155" s="5" t="s">
        <v>63</v>
      </c>
      <c r="O155" s="5" t="s">
        <v>63</v>
      </c>
      <c r="P155" s="5" t="s">
        <v>63</v>
      </c>
      <c r="Q155" s="5" t="s">
        <v>63</v>
      </c>
      <c r="R155" s="5" t="s">
        <v>63</v>
      </c>
      <c r="S155" s="5" t="s">
        <v>63</v>
      </c>
      <c r="T155" s="5" t="s">
        <v>63</v>
      </c>
      <c r="U155" s="5" t="s">
        <v>63</v>
      </c>
      <c r="V155" s="5" t="s">
        <v>63</v>
      </c>
      <c r="W155" s="5" t="s">
        <v>63</v>
      </c>
      <c r="X155" s="5" t="s">
        <v>63</v>
      </c>
      <c r="Y155" s="5" t="s">
        <v>63</v>
      </c>
      <c r="Z155" s="5" t="s">
        <v>63</v>
      </c>
      <c r="AA155" s="5" t="s">
        <v>63</v>
      </c>
      <c r="AB155" s="5" t="s">
        <v>63</v>
      </c>
      <c r="AC155" s="5" t="s">
        <v>63</v>
      </c>
      <c r="AD155" s="5" t="s">
        <v>63</v>
      </c>
      <c r="AE155" s="5" t="s">
        <v>64</v>
      </c>
      <c r="AF155" s="5" t="s">
        <v>63</v>
      </c>
      <c r="AG155" s="5" t="s">
        <v>63</v>
      </c>
      <c r="AH155" s="5" t="s">
        <v>63</v>
      </c>
      <c r="AI155" s="5" t="s">
        <v>63</v>
      </c>
      <c r="AJ155" s="14" t="s">
        <v>63</v>
      </c>
      <c r="AK155" s="5" t="s">
        <v>63</v>
      </c>
      <c r="AL155" s="5" t="s">
        <v>63</v>
      </c>
      <c r="AM155" s="5" t="s">
        <v>63</v>
      </c>
      <c r="AN155" s="5" t="s">
        <v>63</v>
      </c>
      <c r="AO155" s="5" t="s">
        <v>63</v>
      </c>
      <c r="AP155" s="5" t="s">
        <v>63</v>
      </c>
      <c r="AQ155" s="5" t="s">
        <v>63</v>
      </c>
      <c r="AR155" s="5" t="s">
        <v>63</v>
      </c>
      <c r="AS155" s="8" t="s">
        <v>63</v>
      </c>
      <c r="AT155" s="5" t="s">
        <v>63</v>
      </c>
      <c r="AU155" s="5" t="s">
        <v>63</v>
      </c>
      <c r="AV155" s="5" t="s">
        <v>63</v>
      </c>
      <c r="AW155" s="5" t="s">
        <v>63</v>
      </c>
      <c r="AX155" s="5" t="s">
        <v>63</v>
      </c>
      <c r="AY155" s="5" t="s">
        <v>63</v>
      </c>
      <c r="AZ155" s="5" t="s">
        <v>63</v>
      </c>
      <c r="BA155" s="5" t="s">
        <v>63</v>
      </c>
      <c r="BB155" s="5" t="s">
        <v>63</v>
      </c>
      <c r="BC155" s="5" t="s">
        <v>64</v>
      </c>
      <c r="BD155" s="5" t="s">
        <v>63</v>
      </c>
      <c r="BI155" s="5" t="s">
        <v>64</v>
      </c>
      <c r="BT155" s="5" t="s">
        <v>64</v>
      </c>
    </row>
    <row r="156" spans="1:72">
      <c r="A156" s="1" t="str">
        <f t="shared" si="2"/>
        <v>Yes</v>
      </c>
      <c r="B156" s="1" t="s">
        <v>348</v>
      </c>
      <c r="C156" s="1" t="s">
        <v>357</v>
      </c>
      <c r="D156" s="11" t="s">
        <v>353</v>
      </c>
      <c r="E156" s="1" t="s">
        <v>359</v>
      </c>
      <c r="F156" s="2" t="s">
        <v>63</v>
      </c>
      <c r="G156" s="5" t="s">
        <v>63</v>
      </c>
      <c r="H156" s="5" t="s">
        <v>63</v>
      </c>
      <c r="I156" s="5" t="s">
        <v>63</v>
      </c>
      <c r="J156" s="5" t="s">
        <v>63</v>
      </c>
      <c r="K156" s="5" t="s">
        <v>63</v>
      </c>
      <c r="L156" s="5" t="s">
        <v>63</v>
      </c>
      <c r="M156" s="5" t="s">
        <v>63</v>
      </c>
      <c r="N156" s="5" t="s">
        <v>63</v>
      </c>
      <c r="O156" s="5" t="s">
        <v>63</v>
      </c>
      <c r="P156" s="5" t="s">
        <v>63</v>
      </c>
      <c r="Q156" s="5" t="s">
        <v>63</v>
      </c>
      <c r="R156" s="5" t="s">
        <v>63</v>
      </c>
      <c r="S156" s="5" t="s">
        <v>63</v>
      </c>
      <c r="T156" s="5" t="s">
        <v>63</v>
      </c>
      <c r="U156" s="5" t="s">
        <v>63</v>
      </c>
      <c r="V156" s="5" t="s">
        <v>63</v>
      </c>
      <c r="W156" s="5" t="s">
        <v>63</v>
      </c>
      <c r="X156" s="5" t="s">
        <v>63</v>
      </c>
      <c r="Y156" s="5" t="s">
        <v>64</v>
      </c>
      <c r="Z156" s="5" t="s">
        <v>63</v>
      </c>
      <c r="AA156" s="5" t="s">
        <v>63</v>
      </c>
      <c r="AB156" s="5" t="s">
        <v>63</v>
      </c>
      <c r="AC156" s="5" t="s">
        <v>63</v>
      </c>
      <c r="AD156" s="5" t="s">
        <v>63</v>
      </c>
      <c r="AE156" s="5" t="s">
        <v>63</v>
      </c>
      <c r="AF156" s="5" t="s">
        <v>63</v>
      </c>
      <c r="AG156" s="5" t="s">
        <v>63</v>
      </c>
      <c r="AH156" s="5" t="s">
        <v>63</v>
      </c>
      <c r="AI156" s="5" t="s">
        <v>63</v>
      </c>
      <c r="AJ156" s="14" t="s">
        <v>63</v>
      </c>
      <c r="AK156" s="5" t="s">
        <v>63</v>
      </c>
      <c r="AL156" s="5" t="s">
        <v>63</v>
      </c>
      <c r="AM156" s="5" t="s">
        <v>63</v>
      </c>
      <c r="AN156" s="5" t="s">
        <v>63</v>
      </c>
      <c r="AO156" s="5" t="s">
        <v>63</v>
      </c>
      <c r="AP156" s="5" t="s">
        <v>63</v>
      </c>
      <c r="AQ156" s="5" t="s">
        <v>63</v>
      </c>
      <c r="AR156" s="5" t="s">
        <v>63</v>
      </c>
      <c r="AS156" s="8" t="s">
        <v>63</v>
      </c>
      <c r="AT156" s="5" t="s">
        <v>63</v>
      </c>
      <c r="AU156" s="5" t="s">
        <v>63</v>
      </c>
      <c r="AV156" s="5" t="s">
        <v>63</v>
      </c>
      <c r="AW156" s="5" t="s">
        <v>63</v>
      </c>
      <c r="AX156" s="5" t="s">
        <v>63</v>
      </c>
      <c r="AY156" s="5" t="s">
        <v>64</v>
      </c>
      <c r="AZ156" s="5" t="s">
        <v>63</v>
      </c>
      <c r="BA156" s="5" t="s">
        <v>64</v>
      </c>
      <c r="BB156" s="5" t="s">
        <v>63</v>
      </c>
      <c r="BC156" s="5" t="s">
        <v>63</v>
      </c>
      <c r="BD156" s="5" t="s">
        <v>63</v>
      </c>
      <c r="BE156" s="5"/>
      <c r="BR156" s="5" t="s">
        <v>64</v>
      </c>
      <c r="BS156" s="5" t="s">
        <v>64</v>
      </c>
    </row>
    <row r="157" spans="1:72">
      <c r="A157" s="1" t="str">
        <f t="shared" si="2"/>
        <v>Yes</v>
      </c>
      <c r="B157" s="1" t="s">
        <v>348</v>
      </c>
      <c r="C157" s="1" t="s">
        <v>360</v>
      </c>
      <c r="D157" s="11" t="s">
        <v>353</v>
      </c>
      <c r="E157" s="1" t="s">
        <v>361</v>
      </c>
      <c r="F157" s="2">
        <v>3</v>
      </c>
      <c r="G157" s="5" t="s">
        <v>63</v>
      </c>
      <c r="H157" s="5" t="s">
        <v>63</v>
      </c>
      <c r="I157" s="5" t="s">
        <v>63</v>
      </c>
      <c r="J157" s="5" t="s">
        <v>63</v>
      </c>
      <c r="K157" s="5" t="s">
        <v>63</v>
      </c>
      <c r="L157" s="5" t="s">
        <v>63</v>
      </c>
      <c r="M157" s="5" t="s">
        <v>63</v>
      </c>
      <c r="N157" s="5" t="s">
        <v>63</v>
      </c>
      <c r="O157" s="5" t="s">
        <v>63</v>
      </c>
      <c r="P157" s="5" t="s">
        <v>63</v>
      </c>
      <c r="Q157" s="5" t="s">
        <v>63</v>
      </c>
      <c r="R157" s="5" t="s">
        <v>63</v>
      </c>
      <c r="S157" s="5" t="s">
        <v>63</v>
      </c>
      <c r="T157" s="5" t="s">
        <v>63</v>
      </c>
      <c r="U157" s="5" t="s">
        <v>63</v>
      </c>
      <c r="V157" s="5" t="s">
        <v>63</v>
      </c>
      <c r="W157" s="5" t="s">
        <v>63</v>
      </c>
      <c r="X157" s="5" t="s">
        <v>63</v>
      </c>
      <c r="Y157" s="5" t="s">
        <v>64</v>
      </c>
      <c r="Z157" s="5" t="s">
        <v>63</v>
      </c>
      <c r="AA157" s="5" t="s">
        <v>63</v>
      </c>
      <c r="AB157" s="5" t="s">
        <v>63</v>
      </c>
      <c r="AC157" s="5" t="s">
        <v>63</v>
      </c>
      <c r="AD157" s="5" t="s">
        <v>63</v>
      </c>
      <c r="AE157" s="5" t="s">
        <v>63</v>
      </c>
      <c r="AF157" s="5" t="s">
        <v>63</v>
      </c>
      <c r="AG157" s="5" t="s">
        <v>63</v>
      </c>
      <c r="AH157" s="5" t="s">
        <v>63</v>
      </c>
      <c r="AI157" s="5" t="s">
        <v>63</v>
      </c>
      <c r="AJ157" s="14" t="s">
        <v>63</v>
      </c>
      <c r="AK157" s="5" t="s">
        <v>63</v>
      </c>
      <c r="AL157" s="5" t="s">
        <v>63</v>
      </c>
      <c r="AM157" s="5" t="s">
        <v>63</v>
      </c>
      <c r="AN157" s="5" t="s">
        <v>63</v>
      </c>
      <c r="AO157" s="5" t="s">
        <v>63</v>
      </c>
      <c r="AP157" s="5" t="s">
        <v>63</v>
      </c>
      <c r="AQ157" s="5" t="s">
        <v>63</v>
      </c>
      <c r="AR157" s="5" t="s">
        <v>63</v>
      </c>
      <c r="AS157" s="8" t="s">
        <v>63</v>
      </c>
      <c r="AT157" s="5" t="s">
        <v>63</v>
      </c>
      <c r="AU157" s="5" t="s">
        <v>63</v>
      </c>
      <c r="AV157" s="5" t="s">
        <v>64</v>
      </c>
      <c r="AW157" s="5" t="s">
        <v>63</v>
      </c>
      <c r="AX157" s="5" t="s">
        <v>63</v>
      </c>
      <c r="AY157" s="5" t="s">
        <v>64</v>
      </c>
      <c r="AZ157" s="5" t="s">
        <v>63</v>
      </c>
      <c r="BA157" s="5" t="s">
        <v>64</v>
      </c>
      <c r="BB157" s="5" t="s">
        <v>63</v>
      </c>
      <c r="BC157" s="5" t="s">
        <v>63</v>
      </c>
      <c r="BD157" s="5" t="s">
        <v>63</v>
      </c>
      <c r="BE157" s="5"/>
      <c r="BP157" s="5" t="s">
        <v>64</v>
      </c>
      <c r="BR157" s="5" t="s">
        <v>64</v>
      </c>
      <c r="BS157" s="5" t="s">
        <v>64</v>
      </c>
    </row>
    <row r="158" spans="1:72">
      <c r="A158" s="1" t="str">
        <f t="shared" si="2"/>
        <v>Yes</v>
      </c>
      <c r="B158" s="1" t="s">
        <v>348</v>
      </c>
      <c r="C158" s="1" t="s">
        <v>362</v>
      </c>
      <c r="D158" s="11" t="s">
        <v>353</v>
      </c>
      <c r="E158" s="1" t="s">
        <v>363</v>
      </c>
      <c r="F158" s="2">
        <v>3</v>
      </c>
      <c r="G158" s="5" t="s">
        <v>63</v>
      </c>
      <c r="H158" s="5" t="s">
        <v>63</v>
      </c>
      <c r="I158" s="5" t="s">
        <v>63</v>
      </c>
      <c r="J158" s="5" t="s">
        <v>63</v>
      </c>
      <c r="K158" s="5" t="s">
        <v>63</v>
      </c>
      <c r="L158" s="5" t="s">
        <v>63</v>
      </c>
      <c r="M158" s="5" t="s">
        <v>63</v>
      </c>
      <c r="N158" s="5" t="s">
        <v>63</v>
      </c>
      <c r="O158" s="5" t="s">
        <v>63</v>
      </c>
      <c r="P158" s="5" t="s">
        <v>63</v>
      </c>
      <c r="Q158" s="5" t="s">
        <v>63</v>
      </c>
      <c r="R158" s="5" t="s">
        <v>63</v>
      </c>
      <c r="S158" s="5" t="s">
        <v>63</v>
      </c>
      <c r="T158" s="5" t="s">
        <v>63</v>
      </c>
      <c r="U158" s="5" t="s">
        <v>63</v>
      </c>
      <c r="V158" s="5" t="s">
        <v>63</v>
      </c>
      <c r="W158" s="5" t="s">
        <v>63</v>
      </c>
      <c r="X158" s="5" t="s">
        <v>63</v>
      </c>
      <c r="Y158" s="5" t="s">
        <v>64</v>
      </c>
      <c r="Z158" s="5" t="s">
        <v>63</v>
      </c>
      <c r="AA158" s="5" t="s">
        <v>63</v>
      </c>
      <c r="AB158" s="5" t="s">
        <v>63</v>
      </c>
      <c r="AC158" s="5" t="s">
        <v>63</v>
      </c>
      <c r="AD158" s="5" t="s">
        <v>63</v>
      </c>
      <c r="AE158" s="5" t="s">
        <v>64</v>
      </c>
      <c r="AF158" s="5" t="s">
        <v>63</v>
      </c>
      <c r="AG158" s="5" t="s">
        <v>63</v>
      </c>
      <c r="AH158" s="5" t="s">
        <v>63</v>
      </c>
      <c r="AI158" s="5" t="s">
        <v>63</v>
      </c>
      <c r="AJ158" s="14" t="s">
        <v>63</v>
      </c>
      <c r="AK158" s="5" t="s">
        <v>63</v>
      </c>
      <c r="AL158" s="5" t="s">
        <v>63</v>
      </c>
      <c r="AM158" s="5" t="s">
        <v>63</v>
      </c>
      <c r="AN158" s="5" t="s">
        <v>63</v>
      </c>
      <c r="AO158" s="5" t="s">
        <v>63</v>
      </c>
      <c r="AP158" s="5" t="s">
        <v>63</v>
      </c>
      <c r="AQ158" s="5" t="s">
        <v>63</v>
      </c>
      <c r="AR158" s="5" t="s">
        <v>63</v>
      </c>
      <c r="AS158" s="8" t="s">
        <v>63</v>
      </c>
      <c r="AT158" s="5" t="s">
        <v>63</v>
      </c>
      <c r="AU158" s="5" t="s">
        <v>63</v>
      </c>
      <c r="AV158" s="5" t="s">
        <v>63</v>
      </c>
      <c r="AW158" s="5"/>
      <c r="AX158" s="5"/>
      <c r="AY158" s="5"/>
      <c r="AZ158" s="5"/>
      <c r="BA158" s="5"/>
      <c r="BB158" s="5"/>
      <c r="BC158" s="5"/>
      <c r="BD158" s="5"/>
      <c r="BE158" s="5"/>
      <c r="BI158" s="5"/>
      <c r="BQ158" s="5"/>
      <c r="BR158" s="5" t="s">
        <v>64</v>
      </c>
    </row>
    <row r="159" spans="1:72">
      <c r="A159" s="1" t="str">
        <f t="shared" si="2"/>
        <v>Yes</v>
      </c>
      <c r="B159" s="1" t="s">
        <v>348</v>
      </c>
      <c r="C159" s="1" t="s">
        <v>364</v>
      </c>
      <c r="D159" s="11" t="s">
        <v>353</v>
      </c>
      <c r="E159" s="1" t="s">
        <v>365</v>
      </c>
      <c r="F159" s="2">
        <v>3</v>
      </c>
      <c r="G159" s="5" t="s">
        <v>63</v>
      </c>
      <c r="H159" s="5" t="s">
        <v>63</v>
      </c>
      <c r="I159" s="5" t="s">
        <v>63</v>
      </c>
      <c r="J159" s="5" t="s">
        <v>63</v>
      </c>
      <c r="K159" s="5" t="s">
        <v>63</v>
      </c>
      <c r="L159" s="5" t="s">
        <v>63</v>
      </c>
      <c r="M159" s="5" t="s">
        <v>63</v>
      </c>
      <c r="N159" s="5" t="s">
        <v>63</v>
      </c>
      <c r="O159" s="5" t="s">
        <v>63</v>
      </c>
      <c r="P159" s="5" t="s">
        <v>63</v>
      </c>
      <c r="Q159" s="5" t="s">
        <v>63</v>
      </c>
      <c r="R159" s="5" t="s">
        <v>63</v>
      </c>
      <c r="S159" s="5" t="s">
        <v>63</v>
      </c>
      <c r="T159" s="5" t="s">
        <v>63</v>
      </c>
      <c r="U159" s="5" t="s">
        <v>63</v>
      </c>
      <c r="V159" s="5" t="s">
        <v>63</v>
      </c>
      <c r="W159" s="5" t="s">
        <v>63</v>
      </c>
      <c r="X159" s="5" t="s">
        <v>63</v>
      </c>
      <c r="Y159" s="5" t="s">
        <v>64</v>
      </c>
      <c r="Z159" s="5" t="s">
        <v>63</v>
      </c>
      <c r="AA159" s="5" t="s">
        <v>63</v>
      </c>
      <c r="AB159" s="5" t="s">
        <v>63</v>
      </c>
      <c r="AC159" s="5" t="s">
        <v>63</v>
      </c>
      <c r="AD159" s="5" t="s">
        <v>63</v>
      </c>
      <c r="AE159" s="5" t="s">
        <v>64</v>
      </c>
      <c r="AF159" s="5" t="s">
        <v>63</v>
      </c>
      <c r="AG159" s="5" t="s">
        <v>63</v>
      </c>
      <c r="AH159" s="5" t="s">
        <v>63</v>
      </c>
      <c r="AI159" s="5" t="s">
        <v>63</v>
      </c>
      <c r="AJ159" s="14" t="s">
        <v>63</v>
      </c>
      <c r="AK159" s="5" t="s">
        <v>63</v>
      </c>
      <c r="AL159" s="5" t="s">
        <v>63</v>
      </c>
      <c r="AM159" s="5" t="s">
        <v>63</v>
      </c>
      <c r="AN159" s="5" t="s">
        <v>63</v>
      </c>
      <c r="AO159" s="5" t="s">
        <v>63</v>
      </c>
      <c r="AP159" s="5" t="s">
        <v>63</v>
      </c>
      <c r="AQ159" s="5" t="s">
        <v>63</v>
      </c>
      <c r="AR159" s="5" t="s">
        <v>63</v>
      </c>
      <c r="AS159" s="8" t="s">
        <v>63</v>
      </c>
      <c r="AT159" s="5"/>
      <c r="AU159" s="5" t="s">
        <v>63</v>
      </c>
      <c r="AV159" s="5" t="s">
        <v>64</v>
      </c>
      <c r="AW159" s="5"/>
      <c r="AX159" s="5"/>
      <c r="AY159" s="5"/>
      <c r="AZ159" s="5"/>
      <c r="BA159" s="5"/>
      <c r="BB159" s="5"/>
      <c r="BC159" s="5"/>
      <c r="BD159" s="5"/>
      <c r="BE159" s="5"/>
      <c r="BI159" s="5"/>
      <c r="BP159" s="5"/>
      <c r="BQ159" s="5"/>
      <c r="BR159" s="5" t="s">
        <v>64</v>
      </c>
      <c r="BS159" s="5" t="s">
        <v>64</v>
      </c>
    </row>
    <row r="160" spans="1:72">
      <c r="A160" s="1" t="str">
        <f t="shared" si="2"/>
        <v>Yes</v>
      </c>
      <c r="B160" s="1" t="s">
        <v>348</v>
      </c>
      <c r="C160" s="1" t="s">
        <v>366</v>
      </c>
      <c r="D160" s="11" t="s">
        <v>346</v>
      </c>
      <c r="E160" s="1" t="s">
        <v>367</v>
      </c>
      <c r="F160" s="2">
        <v>3</v>
      </c>
      <c r="G160" s="5" t="s">
        <v>63</v>
      </c>
      <c r="H160" s="5" t="s">
        <v>63</v>
      </c>
      <c r="I160" s="5" t="s">
        <v>63</v>
      </c>
      <c r="J160" s="5" t="s">
        <v>63</v>
      </c>
      <c r="K160" s="5" t="s">
        <v>63</v>
      </c>
      <c r="L160" s="5" t="s">
        <v>63</v>
      </c>
      <c r="M160" s="5" t="s">
        <v>63</v>
      </c>
      <c r="N160" s="5" t="s">
        <v>63</v>
      </c>
      <c r="O160" s="5" t="s">
        <v>63</v>
      </c>
      <c r="P160" s="5" t="s">
        <v>63</v>
      </c>
      <c r="Q160" s="5" t="s">
        <v>63</v>
      </c>
      <c r="R160" s="5" t="s">
        <v>63</v>
      </c>
      <c r="S160" s="5" t="s">
        <v>63</v>
      </c>
      <c r="T160" s="5" t="s">
        <v>63</v>
      </c>
      <c r="U160" s="5" t="s">
        <v>63</v>
      </c>
      <c r="V160" s="5" t="s">
        <v>63</v>
      </c>
      <c r="W160" s="5" t="s">
        <v>63</v>
      </c>
      <c r="X160" s="5" t="s">
        <v>63</v>
      </c>
      <c r="Y160" s="5" t="s">
        <v>64</v>
      </c>
      <c r="Z160" s="5" t="s">
        <v>63</v>
      </c>
      <c r="AA160" s="5" t="s">
        <v>63</v>
      </c>
      <c r="AB160" s="5" t="s">
        <v>63</v>
      </c>
      <c r="AC160" s="5" t="s">
        <v>63</v>
      </c>
      <c r="AD160" s="5" t="s">
        <v>63</v>
      </c>
      <c r="AE160" s="5" t="s">
        <v>64</v>
      </c>
      <c r="AF160" s="5" t="s">
        <v>63</v>
      </c>
      <c r="AG160" s="5" t="s">
        <v>63</v>
      </c>
      <c r="AH160" s="5" t="s">
        <v>63</v>
      </c>
      <c r="AI160" s="5" t="s">
        <v>63</v>
      </c>
      <c r="AJ160" s="14" t="s">
        <v>63</v>
      </c>
      <c r="AK160" s="5" t="s">
        <v>63</v>
      </c>
      <c r="AL160" s="5" t="s">
        <v>63</v>
      </c>
      <c r="AM160" s="5" t="s">
        <v>63</v>
      </c>
      <c r="AN160" s="5" t="s">
        <v>63</v>
      </c>
      <c r="AO160" s="5" t="s">
        <v>63</v>
      </c>
      <c r="AP160" s="5" t="s">
        <v>63</v>
      </c>
      <c r="AQ160" s="5" t="s">
        <v>63</v>
      </c>
      <c r="AR160" s="5" t="s">
        <v>63</v>
      </c>
      <c r="AS160" s="8" t="s">
        <v>63</v>
      </c>
      <c r="AT160" s="5" t="s">
        <v>63</v>
      </c>
      <c r="AU160" s="5" t="s">
        <v>63</v>
      </c>
      <c r="AV160" s="5" t="s">
        <v>64</v>
      </c>
      <c r="AW160" s="5" t="s">
        <v>63</v>
      </c>
      <c r="AX160" s="5" t="s">
        <v>63</v>
      </c>
      <c r="AY160" s="5" t="s">
        <v>64</v>
      </c>
      <c r="AZ160" s="5" t="s">
        <v>64</v>
      </c>
      <c r="BA160" s="5" t="s">
        <v>64</v>
      </c>
      <c r="BB160" s="5" t="s">
        <v>63</v>
      </c>
      <c r="BC160" s="5" t="s">
        <v>63</v>
      </c>
      <c r="BD160" s="5" t="s">
        <v>63</v>
      </c>
      <c r="BE160" s="5"/>
      <c r="BI160" s="5" t="s">
        <v>64</v>
      </c>
      <c r="BP160" s="5" t="s">
        <v>64</v>
      </c>
      <c r="BR160" s="5" t="s">
        <v>64</v>
      </c>
      <c r="BS160" s="5" t="s">
        <v>64</v>
      </c>
    </row>
    <row r="161" spans="1:73">
      <c r="A161" s="1" t="str">
        <f t="shared" si="2"/>
        <v>Yes</v>
      </c>
      <c r="B161" s="1" t="s">
        <v>348</v>
      </c>
      <c r="C161" s="1" t="s">
        <v>368</v>
      </c>
      <c r="D161" s="11" t="s">
        <v>353</v>
      </c>
      <c r="E161" s="1" t="s">
        <v>369</v>
      </c>
      <c r="F161" s="2">
        <v>3</v>
      </c>
      <c r="G161" s="5" t="s">
        <v>63</v>
      </c>
      <c r="H161" s="5" t="s">
        <v>63</v>
      </c>
      <c r="I161" s="5" t="s">
        <v>63</v>
      </c>
      <c r="J161" s="5" t="s">
        <v>63</v>
      </c>
      <c r="K161" s="5" t="s">
        <v>63</v>
      </c>
      <c r="L161" s="5" t="s">
        <v>63</v>
      </c>
      <c r="M161" s="5" t="s">
        <v>63</v>
      </c>
      <c r="N161" s="5" t="s">
        <v>63</v>
      </c>
      <c r="O161" s="5" t="s">
        <v>63</v>
      </c>
      <c r="P161" s="5" t="s">
        <v>63</v>
      </c>
      <c r="Q161" s="5" t="s">
        <v>63</v>
      </c>
      <c r="R161" s="5" t="s">
        <v>63</v>
      </c>
      <c r="S161" s="5" t="s">
        <v>63</v>
      </c>
      <c r="T161" s="5" t="s">
        <v>63</v>
      </c>
      <c r="U161" s="5" t="s">
        <v>63</v>
      </c>
      <c r="V161" s="5" t="s">
        <v>63</v>
      </c>
      <c r="W161" s="5" t="s">
        <v>63</v>
      </c>
      <c r="X161" s="5" t="s">
        <v>63</v>
      </c>
      <c r="Y161" s="5" t="s">
        <v>64</v>
      </c>
      <c r="Z161" s="5" t="s">
        <v>63</v>
      </c>
      <c r="AA161" s="5" t="s">
        <v>63</v>
      </c>
      <c r="AB161" s="5" t="s">
        <v>63</v>
      </c>
      <c r="AC161" s="5" t="s">
        <v>63</v>
      </c>
      <c r="AD161" s="5" t="s">
        <v>63</v>
      </c>
      <c r="AE161" s="5" t="s">
        <v>63</v>
      </c>
      <c r="AF161" s="5" t="s">
        <v>63</v>
      </c>
      <c r="AG161" s="5" t="s">
        <v>63</v>
      </c>
      <c r="AH161" s="5" t="s">
        <v>63</v>
      </c>
      <c r="AI161" s="5" t="s">
        <v>63</v>
      </c>
      <c r="AJ161" s="14" t="s">
        <v>63</v>
      </c>
      <c r="AK161" s="5" t="s">
        <v>63</v>
      </c>
      <c r="AL161" s="5" t="s">
        <v>63</v>
      </c>
      <c r="AM161" s="5" t="s">
        <v>63</v>
      </c>
      <c r="AN161" s="5" t="s">
        <v>63</v>
      </c>
      <c r="AO161" s="5" t="s">
        <v>63</v>
      </c>
      <c r="AP161" s="5" t="s">
        <v>63</v>
      </c>
      <c r="AQ161" s="5" t="s">
        <v>63</v>
      </c>
      <c r="AR161" s="5" t="s">
        <v>63</v>
      </c>
      <c r="AS161" s="8" t="s">
        <v>63</v>
      </c>
      <c r="AT161" s="5"/>
      <c r="AU161" s="5" t="s">
        <v>63</v>
      </c>
      <c r="AV161" s="5" t="s">
        <v>64</v>
      </c>
      <c r="AW161" s="5" t="s">
        <v>64</v>
      </c>
      <c r="AX161" s="5" t="s">
        <v>63</v>
      </c>
      <c r="AY161" s="5" t="s">
        <v>64</v>
      </c>
      <c r="AZ161" s="5" t="s">
        <v>63</v>
      </c>
      <c r="BA161" s="5" t="s">
        <v>64</v>
      </c>
      <c r="BB161" s="5" t="s">
        <v>63</v>
      </c>
      <c r="BC161" s="5" t="s">
        <v>63</v>
      </c>
      <c r="BD161" s="5" t="s">
        <v>63</v>
      </c>
      <c r="BE161" s="5"/>
      <c r="BP161" s="5" t="s">
        <v>64</v>
      </c>
      <c r="BQ161" s="5" t="s">
        <v>64</v>
      </c>
      <c r="BR161" s="5" t="s">
        <v>64</v>
      </c>
      <c r="BS161" s="5" t="s">
        <v>64</v>
      </c>
    </row>
    <row r="162" spans="1:73">
      <c r="A162" s="1" t="str">
        <f t="shared" si="2"/>
        <v>Yes</v>
      </c>
      <c r="B162" s="1" t="s">
        <v>348</v>
      </c>
      <c r="C162" s="1" t="s">
        <v>370</v>
      </c>
      <c r="E162" s="1" t="s">
        <v>371</v>
      </c>
      <c r="F162" s="2">
        <v>3</v>
      </c>
      <c r="G162" s="5" t="s">
        <v>63</v>
      </c>
      <c r="H162" s="5" t="s">
        <v>63</v>
      </c>
      <c r="I162" s="5" t="s">
        <v>63</v>
      </c>
      <c r="J162" s="5" t="s">
        <v>63</v>
      </c>
      <c r="K162" s="5" t="s">
        <v>63</v>
      </c>
      <c r="L162" s="5" t="s">
        <v>63</v>
      </c>
      <c r="M162" s="5" t="s">
        <v>63</v>
      </c>
      <c r="N162" s="5" t="s">
        <v>63</v>
      </c>
      <c r="O162" s="5" t="s">
        <v>63</v>
      </c>
      <c r="P162" s="5" t="s">
        <v>63</v>
      </c>
      <c r="Q162" s="5" t="s">
        <v>63</v>
      </c>
      <c r="R162" s="5" t="s">
        <v>63</v>
      </c>
      <c r="S162" s="5" t="s">
        <v>63</v>
      </c>
      <c r="T162" s="5" t="s">
        <v>63</v>
      </c>
      <c r="U162" s="5" t="s">
        <v>63</v>
      </c>
      <c r="V162" s="5" t="s">
        <v>63</v>
      </c>
      <c r="W162" s="5" t="s">
        <v>63</v>
      </c>
      <c r="X162" s="5" t="s">
        <v>63</v>
      </c>
      <c r="Y162" s="5" t="s">
        <v>63</v>
      </c>
      <c r="Z162" s="5" t="s">
        <v>63</v>
      </c>
      <c r="AA162" s="5" t="s">
        <v>63</v>
      </c>
      <c r="AB162" s="5" t="s">
        <v>63</v>
      </c>
      <c r="AC162" s="5" t="s">
        <v>63</v>
      </c>
      <c r="AD162" s="5" t="s">
        <v>63</v>
      </c>
      <c r="AE162" s="5" t="s">
        <v>63</v>
      </c>
      <c r="AF162" s="5" t="s">
        <v>63</v>
      </c>
      <c r="AG162" s="5" t="s">
        <v>63</v>
      </c>
      <c r="AH162" s="5" t="s">
        <v>63</v>
      </c>
      <c r="AI162" s="5" t="s">
        <v>63</v>
      </c>
      <c r="AJ162" s="14" t="s">
        <v>63</v>
      </c>
      <c r="AK162" s="5" t="s">
        <v>63</v>
      </c>
      <c r="AL162" s="5" t="s">
        <v>63</v>
      </c>
      <c r="AM162" s="5" t="s">
        <v>63</v>
      </c>
      <c r="AN162" s="5" t="s">
        <v>63</v>
      </c>
      <c r="AO162" s="5" t="s">
        <v>63</v>
      </c>
      <c r="AP162" s="5" t="s">
        <v>63</v>
      </c>
      <c r="AQ162" s="5" t="s">
        <v>63</v>
      </c>
      <c r="AR162" s="5" t="s">
        <v>63</v>
      </c>
      <c r="AS162" s="8" t="s">
        <v>63</v>
      </c>
      <c r="AT162" s="5" t="s">
        <v>63</v>
      </c>
      <c r="AU162" s="5" t="s">
        <v>63</v>
      </c>
      <c r="AV162" s="5" t="s">
        <v>63</v>
      </c>
      <c r="AW162" s="5" t="s">
        <v>63</v>
      </c>
      <c r="AX162" s="5" t="s">
        <v>63</v>
      </c>
      <c r="AY162" s="5" t="s">
        <v>63</v>
      </c>
      <c r="AZ162" s="5" t="s">
        <v>63</v>
      </c>
      <c r="BA162" s="5" t="s">
        <v>63</v>
      </c>
      <c r="BB162" s="5" t="s">
        <v>63</v>
      </c>
      <c r="BC162" s="5" t="s">
        <v>63</v>
      </c>
      <c r="BD162" s="5" t="s">
        <v>63</v>
      </c>
    </row>
    <row r="163" spans="1:73">
      <c r="A163" s="1" t="str">
        <f t="shared" si="2"/>
        <v>No</v>
      </c>
      <c r="B163" s="1" t="s">
        <v>59</v>
      </c>
      <c r="C163" s="1" t="s">
        <v>372</v>
      </c>
      <c r="D163" s="11" t="s">
        <v>314</v>
      </c>
      <c r="E163" s="1" t="s">
        <v>373</v>
      </c>
      <c r="F163" s="2">
        <v>3</v>
      </c>
      <c r="G163" s="5" t="s">
        <v>63</v>
      </c>
      <c r="H163" s="5" t="s">
        <v>63</v>
      </c>
      <c r="I163" s="5" t="s">
        <v>63</v>
      </c>
      <c r="J163" s="5" t="s">
        <v>63</v>
      </c>
      <c r="K163" s="5" t="s">
        <v>63</v>
      </c>
      <c r="L163" s="5" t="s">
        <v>63</v>
      </c>
      <c r="M163" s="5" t="s">
        <v>63</v>
      </c>
      <c r="N163" s="5" t="s">
        <v>63</v>
      </c>
      <c r="O163" s="5" t="s">
        <v>63</v>
      </c>
      <c r="P163" s="5" t="s">
        <v>63</v>
      </c>
      <c r="Q163" s="5" t="s">
        <v>63</v>
      </c>
      <c r="R163" s="5" t="s">
        <v>63</v>
      </c>
      <c r="S163" s="5" t="s">
        <v>63</v>
      </c>
      <c r="T163" s="5" t="s">
        <v>63</v>
      </c>
      <c r="U163" s="5" t="s">
        <v>63</v>
      </c>
      <c r="V163" s="5" t="s">
        <v>63</v>
      </c>
      <c r="W163" s="5" t="s">
        <v>63</v>
      </c>
      <c r="X163" s="5" t="s">
        <v>63</v>
      </c>
      <c r="Y163" s="5" t="s">
        <v>63</v>
      </c>
      <c r="Z163" s="5" t="s">
        <v>63</v>
      </c>
      <c r="AA163" s="5" t="s">
        <v>63</v>
      </c>
      <c r="AB163" s="5" t="s">
        <v>63</v>
      </c>
      <c r="AC163" s="5" t="s">
        <v>63</v>
      </c>
      <c r="AD163" s="5" t="s">
        <v>63</v>
      </c>
      <c r="AE163" s="5" t="s">
        <v>63</v>
      </c>
      <c r="AF163" s="5" t="s">
        <v>63</v>
      </c>
      <c r="AG163" s="5" t="s">
        <v>63</v>
      </c>
      <c r="AH163" s="5" t="s">
        <v>63</v>
      </c>
      <c r="AI163" s="5" t="s">
        <v>63</v>
      </c>
      <c r="AJ163" s="14" t="s">
        <v>63</v>
      </c>
      <c r="AK163" s="5" t="s">
        <v>63</v>
      </c>
      <c r="AL163" s="5" t="s">
        <v>63</v>
      </c>
      <c r="AM163" s="5" t="s">
        <v>63</v>
      </c>
      <c r="AN163" s="5" t="s">
        <v>63</v>
      </c>
      <c r="AO163" s="5" t="s">
        <v>63</v>
      </c>
      <c r="AP163" s="5" t="s">
        <v>63</v>
      </c>
      <c r="AQ163" s="5" t="s">
        <v>63</v>
      </c>
      <c r="AR163" s="5" t="s">
        <v>63</v>
      </c>
      <c r="AS163" s="5" t="s">
        <v>63</v>
      </c>
      <c r="AT163" s="5" t="s">
        <v>63</v>
      </c>
      <c r="AU163" s="5" t="s">
        <v>63</v>
      </c>
      <c r="AV163" s="5" t="s">
        <v>63</v>
      </c>
      <c r="AW163" s="5" t="s">
        <v>63</v>
      </c>
      <c r="AX163" s="5" t="s">
        <v>63</v>
      </c>
      <c r="AY163" s="5" t="s">
        <v>63</v>
      </c>
      <c r="AZ163" s="5" t="s">
        <v>63</v>
      </c>
      <c r="BA163" s="5" t="s">
        <v>63</v>
      </c>
      <c r="BB163" s="5" t="s">
        <v>63</v>
      </c>
      <c r="BC163" s="5" t="s">
        <v>63</v>
      </c>
      <c r="BD163" s="5" t="s">
        <v>64</v>
      </c>
      <c r="BU163" s="5" t="s">
        <v>64</v>
      </c>
    </row>
    <row r="164" spans="1:73">
      <c r="A164" s="1" t="str">
        <f t="shared" si="2"/>
        <v>Yes</v>
      </c>
      <c r="B164" s="1" t="s">
        <v>348</v>
      </c>
      <c r="C164" s="1" t="s">
        <v>374</v>
      </c>
      <c r="E164" s="1" t="s">
        <v>375</v>
      </c>
      <c r="F164" s="2">
        <v>3</v>
      </c>
      <c r="G164" s="5" t="s">
        <v>63</v>
      </c>
      <c r="H164" s="5" t="s">
        <v>63</v>
      </c>
      <c r="I164" s="5" t="s">
        <v>63</v>
      </c>
      <c r="J164" s="5" t="s">
        <v>63</v>
      </c>
      <c r="K164" s="5" t="s">
        <v>63</v>
      </c>
      <c r="L164" s="5" t="s">
        <v>63</v>
      </c>
      <c r="M164" s="5" t="s">
        <v>63</v>
      </c>
      <c r="N164" s="5" t="s">
        <v>63</v>
      </c>
      <c r="O164" s="5" t="s">
        <v>63</v>
      </c>
      <c r="P164" s="5" t="s">
        <v>63</v>
      </c>
      <c r="Q164" s="5" t="s">
        <v>63</v>
      </c>
      <c r="R164" s="5" t="s">
        <v>63</v>
      </c>
      <c r="S164" s="5" t="s">
        <v>63</v>
      </c>
      <c r="T164" s="5" t="s">
        <v>63</v>
      </c>
      <c r="U164" s="5" t="s">
        <v>63</v>
      </c>
      <c r="V164" s="5" t="s">
        <v>63</v>
      </c>
      <c r="W164" s="5" t="s">
        <v>63</v>
      </c>
      <c r="X164" s="5" t="s">
        <v>63</v>
      </c>
      <c r="Y164" s="5" t="s">
        <v>63</v>
      </c>
      <c r="Z164" s="5" t="s">
        <v>63</v>
      </c>
      <c r="AA164" s="5" t="s">
        <v>63</v>
      </c>
      <c r="AB164" s="5" t="s">
        <v>63</v>
      </c>
      <c r="AC164" s="5" t="s">
        <v>63</v>
      </c>
      <c r="AD164" s="5" t="s">
        <v>63</v>
      </c>
      <c r="AE164" s="5" t="s">
        <v>63</v>
      </c>
      <c r="AF164" s="5" t="s">
        <v>63</v>
      </c>
      <c r="AG164" s="5" t="s">
        <v>63</v>
      </c>
      <c r="AH164" s="5" t="s">
        <v>63</v>
      </c>
      <c r="AI164" s="5" t="s">
        <v>63</v>
      </c>
      <c r="AJ164" s="14" t="s">
        <v>63</v>
      </c>
      <c r="AK164" s="5" t="s">
        <v>63</v>
      </c>
      <c r="AL164" s="5" t="s">
        <v>63</v>
      </c>
      <c r="AM164" s="5" t="s">
        <v>63</v>
      </c>
      <c r="AN164" s="5" t="s">
        <v>63</v>
      </c>
      <c r="AO164" s="5" t="s">
        <v>63</v>
      </c>
      <c r="AP164" s="5" t="s">
        <v>63</v>
      </c>
      <c r="AQ164" s="5" t="s">
        <v>63</v>
      </c>
      <c r="AR164" s="5" t="s">
        <v>63</v>
      </c>
      <c r="AS164" s="8" t="s">
        <v>63</v>
      </c>
      <c r="AT164" s="5" t="s">
        <v>63</v>
      </c>
      <c r="AU164" s="5" t="s">
        <v>63</v>
      </c>
      <c r="AV164" s="5" t="s">
        <v>63</v>
      </c>
      <c r="AW164" s="5" t="s">
        <v>63</v>
      </c>
      <c r="AX164" s="5" t="s">
        <v>63</v>
      </c>
      <c r="AY164" s="5" t="s">
        <v>63</v>
      </c>
      <c r="AZ164" s="5" t="s">
        <v>63</v>
      </c>
      <c r="BA164" s="5" t="s">
        <v>63</v>
      </c>
      <c r="BB164" s="5" t="s">
        <v>63</v>
      </c>
      <c r="BC164" s="5" t="s">
        <v>63</v>
      </c>
      <c r="BD164" s="5" t="s">
        <v>63</v>
      </c>
    </row>
    <row r="165" spans="1:73">
      <c r="A165" s="1" t="str">
        <f t="shared" si="2"/>
        <v>No</v>
      </c>
      <c r="B165" s="1" t="s">
        <v>59</v>
      </c>
      <c r="C165" s="1" t="s">
        <v>376</v>
      </c>
      <c r="D165" s="11" t="s">
        <v>77</v>
      </c>
      <c r="E165" s="1" t="s">
        <v>377</v>
      </c>
      <c r="F165" s="2">
        <v>3</v>
      </c>
      <c r="G165" s="5" t="s">
        <v>63</v>
      </c>
      <c r="H165" s="5" t="s">
        <v>63</v>
      </c>
      <c r="I165" s="5" t="s">
        <v>63</v>
      </c>
      <c r="J165" s="5" t="s">
        <v>63</v>
      </c>
      <c r="K165" s="5" t="s">
        <v>63</v>
      </c>
      <c r="L165" s="5" t="s">
        <v>63</v>
      </c>
      <c r="M165" s="5" t="s">
        <v>63</v>
      </c>
      <c r="N165" s="5" t="s">
        <v>63</v>
      </c>
      <c r="O165" s="5" t="s">
        <v>63</v>
      </c>
      <c r="P165" s="5" t="s">
        <v>63</v>
      </c>
      <c r="Q165" s="5" t="s">
        <v>63</v>
      </c>
      <c r="R165" s="5" t="s">
        <v>63</v>
      </c>
      <c r="S165" s="5" t="s">
        <v>63</v>
      </c>
      <c r="T165" s="5" t="s">
        <v>63</v>
      </c>
      <c r="U165" s="5" t="s">
        <v>63</v>
      </c>
      <c r="V165" s="5" t="s">
        <v>63</v>
      </c>
      <c r="W165" s="5" t="s">
        <v>63</v>
      </c>
      <c r="X165" s="5" t="s">
        <v>63</v>
      </c>
      <c r="Y165" s="5" t="s">
        <v>63</v>
      </c>
      <c r="Z165" s="5" t="s">
        <v>63</v>
      </c>
      <c r="AA165" s="5" t="s">
        <v>63</v>
      </c>
      <c r="AB165" s="5" t="s">
        <v>63</v>
      </c>
      <c r="AC165" s="5" t="s">
        <v>63</v>
      </c>
      <c r="AD165" s="5" t="s">
        <v>63</v>
      </c>
      <c r="AE165" s="5" t="s">
        <v>63</v>
      </c>
      <c r="AF165" s="5" t="s">
        <v>63</v>
      </c>
      <c r="AG165" s="5" t="s">
        <v>63</v>
      </c>
      <c r="AH165" s="5" t="s">
        <v>63</v>
      </c>
      <c r="AI165" s="5" t="s">
        <v>63</v>
      </c>
      <c r="AJ165" s="14" t="s">
        <v>63</v>
      </c>
      <c r="AK165" s="5" t="s">
        <v>63</v>
      </c>
      <c r="AL165" s="5" t="s">
        <v>63</v>
      </c>
      <c r="AM165" s="5" t="s">
        <v>63</v>
      </c>
      <c r="AN165" s="5" t="s">
        <v>63</v>
      </c>
      <c r="AO165" s="5" t="s">
        <v>63</v>
      </c>
      <c r="AP165" s="5" t="s">
        <v>63</v>
      </c>
      <c r="AQ165" s="5" t="s">
        <v>63</v>
      </c>
      <c r="AR165" s="5" t="s">
        <v>63</v>
      </c>
      <c r="AS165" s="8" t="s">
        <v>63</v>
      </c>
      <c r="AT165" s="5" t="s">
        <v>63</v>
      </c>
      <c r="AU165" s="5" t="s">
        <v>63</v>
      </c>
      <c r="AV165" s="5" t="s">
        <v>64</v>
      </c>
      <c r="AW165" s="5" t="s">
        <v>63</v>
      </c>
      <c r="AX165" s="5" t="s">
        <v>63</v>
      </c>
      <c r="AY165" s="5" t="s">
        <v>63</v>
      </c>
      <c r="AZ165" s="5" t="s">
        <v>63</v>
      </c>
      <c r="BA165" s="5" t="s">
        <v>63</v>
      </c>
      <c r="BB165" s="5" t="s">
        <v>63</v>
      </c>
      <c r="BC165" s="5" t="s">
        <v>63</v>
      </c>
      <c r="BD165" s="5" t="s">
        <v>63</v>
      </c>
      <c r="BP165" s="5" t="s">
        <v>64</v>
      </c>
    </row>
    <row r="166" spans="1:73">
      <c r="A166" s="1" t="str">
        <f t="shared" si="2"/>
        <v>No</v>
      </c>
      <c r="B166" s="1" t="s">
        <v>59</v>
      </c>
      <c r="C166" s="1" t="s">
        <v>378</v>
      </c>
      <c r="D166" s="11" t="s">
        <v>77</v>
      </c>
      <c r="E166" s="1" t="s">
        <v>379</v>
      </c>
      <c r="F166" s="2">
        <v>3</v>
      </c>
      <c r="G166" s="5" t="s">
        <v>63</v>
      </c>
      <c r="H166" s="5" t="s">
        <v>63</v>
      </c>
      <c r="I166" s="5" t="s">
        <v>63</v>
      </c>
      <c r="J166" s="5" t="s">
        <v>63</v>
      </c>
      <c r="K166" s="5" t="s">
        <v>63</v>
      </c>
      <c r="L166" s="5" t="s">
        <v>63</v>
      </c>
      <c r="M166" s="5" t="s">
        <v>63</v>
      </c>
      <c r="N166" s="5" t="s">
        <v>63</v>
      </c>
      <c r="O166" s="5" t="s">
        <v>63</v>
      </c>
      <c r="P166" s="5" t="s">
        <v>63</v>
      </c>
      <c r="Q166" s="5" t="s">
        <v>63</v>
      </c>
      <c r="R166" s="5" t="s">
        <v>63</v>
      </c>
      <c r="S166" s="5" t="s">
        <v>63</v>
      </c>
      <c r="T166" s="5" t="s">
        <v>63</v>
      </c>
      <c r="U166" s="5" t="s">
        <v>63</v>
      </c>
      <c r="V166" s="5" t="s">
        <v>63</v>
      </c>
      <c r="W166" s="5" t="s">
        <v>63</v>
      </c>
      <c r="X166" s="5" t="s">
        <v>63</v>
      </c>
      <c r="Y166" s="5" t="s">
        <v>63</v>
      </c>
      <c r="Z166" s="5" t="s">
        <v>63</v>
      </c>
      <c r="AA166" s="5" t="s">
        <v>63</v>
      </c>
      <c r="AB166" s="5" t="s">
        <v>63</v>
      </c>
      <c r="AC166" s="5" t="s">
        <v>63</v>
      </c>
      <c r="AD166" s="5" t="s">
        <v>63</v>
      </c>
      <c r="AE166" s="5" t="s">
        <v>63</v>
      </c>
      <c r="AF166" s="5" t="s">
        <v>63</v>
      </c>
      <c r="AG166" s="5" t="s">
        <v>63</v>
      </c>
      <c r="AH166" s="5" t="s">
        <v>63</v>
      </c>
      <c r="AI166" s="5" t="s">
        <v>63</v>
      </c>
      <c r="AJ166" s="14" t="s">
        <v>63</v>
      </c>
      <c r="AK166" s="5" t="s">
        <v>63</v>
      </c>
      <c r="AL166" s="5" t="s">
        <v>63</v>
      </c>
      <c r="AM166" s="5" t="s">
        <v>63</v>
      </c>
      <c r="AN166" s="5" t="s">
        <v>63</v>
      </c>
      <c r="AO166" s="5" t="s">
        <v>63</v>
      </c>
      <c r="AP166" s="5" t="s">
        <v>63</v>
      </c>
      <c r="AQ166" s="5" t="s">
        <v>63</v>
      </c>
      <c r="AR166" s="5" t="s">
        <v>63</v>
      </c>
      <c r="AS166" s="8" t="s">
        <v>63</v>
      </c>
      <c r="AT166" s="5" t="s">
        <v>63</v>
      </c>
      <c r="AU166" s="5" t="s">
        <v>63</v>
      </c>
      <c r="AV166" s="5" t="s">
        <v>63</v>
      </c>
      <c r="AW166" s="5" t="s">
        <v>63</v>
      </c>
      <c r="AX166" s="5" t="s">
        <v>63</v>
      </c>
      <c r="AY166" s="5" t="s">
        <v>63</v>
      </c>
      <c r="AZ166" s="5" t="s">
        <v>63</v>
      </c>
      <c r="BA166" s="5" t="s">
        <v>63</v>
      </c>
      <c r="BB166" s="5" t="s">
        <v>63</v>
      </c>
      <c r="BC166" s="5" t="s">
        <v>63</v>
      </c>
      <c r="BD166" s="5" t="s">
        <v>63</v>
      </c>
    </row>
    <row r="167" spans="1:73">
      <c r="A167" s="1" t="str">
        <f t="shared" si="2"/>
        <v>No</v>
      </c>
      <c r="B167" s="1" t="s">
        <v>59</v>
      </c>
      <c r="C167" s="1" t="s">
        <v>380</v>
      </c>
      <c r="D167" s="11" t="s">
        <v>77</v>
      </c>
      <c r="E167" s="1" t="s">
        <v>381</v>
      </c>
      <c r="F167" s="2">
        <v>3</v>
      </c>
      <c r="G167" s="5" t="s">
        <v>63</v>
      </c>
      <c r="H167" s="5" t="s">
        <v>63</v>
      </c>
      <c r="I167" s="5" t="s">
        <v>63</v>
      </c>
      <c r="J167" s="5" t="s">
        <v>63</v>
      </c>
      <c r="K167" s="5" t="s">
        <v>63</v>
      </c>
      <c r="L167" s="5" t="s">
        <v>63</v>
      </c>
      <c r="M167" s="5" t="s">
        <v>63</v>
      </c>
      <c r="N167" s="5" t="s">
        <v>63</v>
      </c>
      <c r="O167" s="5" t="s">
        <v>63</v>
      </c>
      <c r="P167" s="5" t="s">
        <v>63</v>
      </c>
      <c r="Q167" s="5" t="s">
        <v>63</v>
      </c>
      <c r="R167" s="5" t="s">
        <v>63</v>
      </c>
      <c r="S167" s="5" t="s">
        <v>63</v>
      </c>
      <c r="T167" s="5" t="s">
        <v>63</v>
      </c>
      <c r="U167" s="5" t="s">
        <v>63</v>
      </c>
      <c r="V167" s="5" t="s">
        <v>63</v>
      </c>
      <c r="W167" s="5" t="s">
        <v>63</v>
      </c>
      <c r="X167" s="5" t="s">
        <v>63</v>
      </c>
      <c r="Y167" s="5" t="s">
        <v>63</v>
      </c>
      <c r="Z167" s="5" t="s">
        <v>63</v>
      </c>
      <c r="AA167" s="5" t="s">
        <v>63</v>
      </c>
      <c r="AB167" s="5" t="s">
        <v>63</v>
      </c>
      <c r="AC167" s="5" t="s">
        <v>63</v>
      </c>
      <c r="AD167" s="5" t="s">
        <v>63</v>
      </c>
      <c r="AE167" s="5" t="s">
        <v>63</v>
      </c>
      <c r="AF167" s="5" t="s">
        <v>63</v>
      </c>
      <c r="AG167" s="5" t="s">
        <v>63</v>
      </c>
      <c r="AH167" s="5" t="s">
        <v>63</v>
      </c>
      <c r="AI167" s="5" t="s">
        <v>63</v>
      </c>
      <c r="AJ167" s="14" t="s">
        <v>63</v>
      </c>
      <c r="AK167" s="5" t="s">
        <v>63</v>
      </c>
      <c r="AL167" s="5" t="s">
        <v>63</v>
      </c>
      <c r="AM167" s="5" t="s">
        <v>63</v>
      </c>
      <c r="AN167" s="5" t="s">
        <v>63</v>
      </c>
      <c r="AO167" s="5" t="s">
        <v>63</v>
      </c>
      <c r="AP167" s="5" t="s">
        <v>63</v>
      </c>
      <c r="AQ167" s="5" t="s">
        <v>63</v>
      </c>
      <c r="AR167" s="5" t="s">
        <v>63</v>
      </c>
      <c r="AS167" s="8" t="s">
        <v>63</v>
      </c>
      <c r="AT167" s="5" t="s">
        <v>63</v>
      </c>
      <c r="AU167" s="5" t="s">
        <v>63</v>
      </c>
      <c r="AV167" s="5" t="s">
        <v>63</v>
      </c>
      <c r="AW167" s="5" t="s">
        <v>63</v>
      </c>
      <c r="AX167" s="5" t="s">
        <v>63</v>
      </c>
      <c r="AY167" s="5" t="s">
        <v>63</v>
      </c>
      <c r="AZ167" s="5" t="s">
        <v>64</v>
      </c>
      <c r="BA167" s="5" t="s">
        <v>63</v>
      </c>
      <c r="BB167" s="5" t="s">
        <v>63</v>
      </c>
      <c r="BC167" s="5" t="s">
        <v>63</v>
      </c>
      <c r="BD167" s="5" t="s">
        <v>63</v>
      </c>
      <c r="BR167" s="5" t="s">
        <v>64</v>
      </c>
    </row>
    <row r="168" spans="1:73">
      <c r="A168" s="1" t="str">
        <f t="shared" si="2"/>
        <v>No</v>
      </c>
      <c r="B168" s="1" t="s">
        <v>59</v>
      </c>
      <c r="C168" s="1" t="s">
        <v>382</v>
      </c>
      <c r="D168" s="11" t="s">
        <v>77</v>
      </c>
      <c r="E168" s="1" t="s">
        <v>383</v>
      </c>
      <c r="F168" s="2">
        <v>3</v>
      </c>
      <c r="G168" s="5" t="s">
        <v>63</v>
      </c>
      <c r="H168" s="5" t="s">
        <v>63</v>
      </c>
      <c r="I168" s="5" t="s">
        <v>63</v>
      </c>
      <c r="J168" s="5" t="s">
        <v>63</v>
      </c>
      <c r="K168" s="5" t="s">
        <v>63</v>
      </c>
      <c r="L168" s="5" t="s">
        <v>63</v>
      </c>
      <c r="M168" s="5" t="s">
        <v>63</v>
      </c>
      <c r="N168" s="5" t="s">
        <v>63</v>
      </c>
      <c r="O168" s="5" t="s">
        <v>63</v>
      </c>
      <c r="P168" s="5" t="s">
        <v>63</v>
      </c>
      <c r="Q168" s="5" t="s">
        <v>63</v>
      </c>
      <c r="R168" s="5" t="s">
        <v>63</v>
      </c>
      <c r="S168" s="5" t="s">
        <v>63</v>
      </c>
      <c r="T168" s="5" t="s">
        <v>63</v>
      </c>
      <c r="U168" s="5" t="s">
        <v>63</v>
      </c>
      <c r="V168" s="5" t="s">
        <v>63</v>
      </c>
      <c r="W168" s="5" t="s">
        <v>63</v>
      </c>
      <c r="X168" s="5" t="s">
        <v>63</v>
      </c>
      <c r="Y168" s="5" t="s">
        <v>63</v>
      </c>
      <c r="Z168" s="5" t="s">
        <v>63</v>
      </c>
      <c r="AA168" s="5" t="s">
        <v>63</v>
      </c>
      <c r="AB168" s="5" t="s">
        <v>63</v>
      </c>
      <c r="AC168" s="5" t="s">
        <v>63</v>
      </c>
      <c r="AD168" s="5" t="s">
        <v>63</v>
      </c>
      <c r="AE168" s="5" t="s">
        <v>63</v>
      </c>
      <c r="AF168" s="5" t="s">
        <v>63</v>
      </c>
      <c r="AG168" s="5" t="s">
        <v>63</v>
      </c>
      <c r="AH168" s="5" t="s">
        <v>63</v>
      </c>
      <c r="AI168" s="5" t="s">
        <v>63</v>
      </c>
      <c r="AJ168" s="14" t="s">
        <v>63</v>
      </c>
      <c r="AK168" s="5" t="s">
        <v>63</v>
      </c>
      <c r="AL168" s="5" t="s">
        <v>63</v>
      </c>
      <c r="AM168" s="5" t="s">
        <v>63</v>
      </c>
      <c r="AN168" s="5" t="s">
        <v>63</v>
      </c>
      <c r="AO168" s="5" t="s">
        <v>63</v>
      </c>
      <c r="AP168" s="5" t="s">
        <v>63</v>
      </c>
      <c r="AQ168" s="5" t="s">
        <v>63</v>
      </c>
      <c r="AR168" s="5" t="s">
        <v>63</v>
      </c>
      <c r="AS168" s="8" t="s">
        <v>63</v>
      </c>
      <c r="AT168" s="5" t="s">
        <v>63</v>
      </c>
      <c r="AU168" s="5" t="s">
        <v>63</v>
      </c>
      <c r="AV168" s="5" t="s">
        <v>63</v>
      </c>
      <c r="AW168" s="5" t="s">
        <v>63</v>
      </c>
      <c r="AX168" s="5" t="s">
        <v>63</v>
      </c>
      <c r="AY168" s="5" t="s">
        <v>63</v>
      </c>
      <c r="AZ168" s="5" t="s">
        <v>63</v>
      </c>
      <c r="BA168" s="5" t="s">
        <v>63</v>
      </c>
      <c r="BB168" s="5" t="s">
        <v>63</v>
      </c>
      <c r="BC168" s="5" t="s">
        <v>63</v>
      </c>
      <c r="BD168" s="5" t="s">
        <v>63</v>
      </c>
    </row>
    <row r="169" spans="1:73">
      <c r="A169" s="1" t="str">
        <f t="shared" si="2"/>
        <v>Yes</v>
      </c>
      <c r="B169" s="1" t="s">
        <v>348</v>
      </c>
      <c r="C169" s="1" t="s">
        <v>384</v>
      </c>
      <c r="E169" s="1" t="s">
        <v>385</v>
      </c>
      <c r="F169" s="2">
        <v>3</v>
      </c>
      <c r="G169" s="5" t="s">
        <v>63</v>
      </c>
      <c r="H169" s="5" t="s">
        <v>63</v>
      </c>
      <c r="I169" s="5" t="s">
        <v>63</v>
      </c>
      <c r="J169" s="5" t="s">
        <v>63</v>
      </c>
      <c r="K169" s="5" t="s">
        <v>63</v>
      </c>
      <c r="L169" s="5" t="s">
        <v>63</v>
      </c>
      <c r="M169" s="5" t="s">
        <v>63</v>
      </c>
      <c r="N169" s="5" t="s">
        <v>63</v>
      </c>
      <c r="O169" s="5" t="s">
        <v>63</v>
      </c>
      <c r="P169" s="5" t="s">
        <v>63</v>
      </c>
      <c r="Q169" s="5" t="s">
        <v>63</v>
      </c>
      <c r="R169" s="5" t="s">
        <v>63</v>
      </c>
      <c r="S169" s="5" t="s">
        <v>63</v>
      </c>
      <c r="T169" s="5" t="s">
        <v>63</v>
      </c>
      <c r="U169" s="5" t="s">
        <v>63</v>
      </c>
      <c r="V169" s="5" t="s">
        <v>63</v>
      </c>
      <c r="W169" s="5" t="s">
        <v>63</v>
      </c>
      <c r="X169" s="5" t="s">
        <v>63</v>
      </c>
      <c r="Y169" s="5" t="s">
        <v>63</v>
      </c>
      <c r="Z169" s="5" t="s">
        <v>63</v>
      </c>
      <c r="AA169" s="5" t="s">
        <v>63</v>
      </c>
      <c r="AB169" s="5" t="s">
        <v>63</v>
      </c>
      <c r="AC169" s="5" t="s">
        <v>63</v>
      </c>
      <c r="AD169" s="5" t="s">
        <v>63</v>
      </c>
      <c r="AE169" s="5" t="s">
        <v>63</v>
      </c>
      <c r="AF169" s="5" t="s">
        <v>63</v>
      </c>
      <c r="AG169" s="5" t="s">
        <v>63</v>
      </c>
      <c r="AH169" s="5" t="s">
        <v>63</v>
      </c>
      <c r="AI169" s="5" t="s">
        <v>63</v>
      </c>
      <c r="AJ169" s="14" t="s">
        <v>63</v>
      </c>
      <c r="AK169" s="5" t="s">
        <v>63</v>
      </c>
      <c r="AL169" s="5" t="s">
        <v>63</v>
      </c>
      <c r="AM169" s="5" t="s">
        <v>63</v>
      </c>
      <c r="AN169" s="5" t="s">
        <v>63</v>
      </c>
      <c r="AO169" s="5" t="s">
        <v>63</v>
      </c>
      <c r="AP169" s="5" t="s">
        <v>63</v>
      </c>
      <c r="AQ169" s="5" t="s">
        <v>63</v>
      </c>
      <c r="AR169" s="5" t="s">
        <v>63</v>
      </c>
      <c r="AS169" s="8" t="s">
        <v>63</v>
      </c>
      <c r="AT169" s="5" t="s">
        <v>63</v>
      </c>
      <c r="AU169" s="5" t="s">
        <v>63</v>
      </c>
      <c r="AV169" s="5" t="s">
        <v>63</v>
      </c>
      <c r="AW169" s="5" t="s">
        <v>63</v>
      </c>
      <c r="AX169" s="5" t="s">
        <v>63</v>
      </c>
      <c r="AY169" s="5" t="s">
        <v>63</v>
      </c>
      <c r="AZ169" s="5" t="s">
        <v>63</v>
      </c>
      <c r="BA169" s="5" t="s">
        <v>63</v>
      </c>
      <c r="BB169" s="5" t="s">
        <v>63</v>
      </c>
      <c r="BC169" s="5" t="s">
        <v>63</v>
      </c>
      <c r="BD169" s="5" t="s">
        <v>63</v>
      </c>
    </row>
    <row r="170" spans="1:73">
      <c r="A170" s="1" t="str">
        <f t="shared" si="2"/>
        <v>No</v>
      </c>
      <c r="B170" s="1" t="s">
        <v>59</v>
      </c>
      <c r="C170" s="1" t="s">
        <v>386</v>
      </c>
      <c r="D170" s="11" t="s">
        <v>77</v>
      </c>
      <c r="E170" s="1" t="s">
        <v>387</v>
      </c>
      <c r="F170" s="2">
        <v>3</v>
      </c>
      <c r="G170" s="5" t="s">
        <v>63</v>
      </c>
      <c r="H170" s="5" t="s">
        <v>63</v>
      </c>
      <c r="I170" s="5" t="s">
        <v>63</v>
      </c>
      <c r="J170" s="5" t="s">
        <v>63</v>
      </c>
      <c r="K170" s="5" t="s">
        <v>63</v>
      </c>
      <c r="L170" s="5" t="s">
        <v>63</v>
      </c>
      <c r="M170" s="5" t="s">
        <v>63</v>
      </c>
      <c r="N170" s="5" t="s">
        <v>63</v>
      </c>
      <c r="O170" s="5" t="s">
        <v>63</v>
      </c>
      <c r="P170" s="5" t="s">
        <v>63</v>
      </c>
      <c r="Q170" s="5" t="s">
        <v>63</v>
      </c>
      <c r="R170" s="5" t="s">
        <v>63</v>
      </c>
      <c r="S170" s="5" t="s">
        <v>63</v>
      </c>
      <c r="T170" s="5" t="s">
        <v>63</v>
      </c>
      <c r="U170" s="5" t="s">
        <v>63</v>
      </c>
      <c r="V170" s="5" t="s">
        <v>63</v>
      </c>
      <c r="W170" s="5" t="s">
        <v>63</v>
      </c>
      <c r="X170" s="5" t="s">
        <v>63</v>
      </c>
      <c r="Y170" s="5" t="s">
        <v>63</v>
      </c>
      <c r="Z170" s="5" t="s">
        <v>63</v>
      </c>
      <c r="AA170" s="5" t="s">
        <v>63</v>
      </c>
      <c r="AB170" s="5" t="s">
        <v>63</v>
      </c>
      <c r="AC170" s="5" t="s">
        <v>63</v>
      </c>
      <c r="AD170" s="5" t="s">
        <v>63</v>
      </c>
      <c r="AE170" s="5" t="s">
        <v>63</v>
      </c>
      <c r="AF170" s="5" t="s">
        <v>63</v>
      </c>
      <c r="AG170" s="5" t="s">
        <v>63</v>
      </c>
      <c r="AH170" s="5" t="s">
        <v>63</v>
      </c>
      <c r="AI170" s="5" t="s">
        <v>63</v>
      </c>
      <c r="AJ170" s="14" t="s">
        <v>63</v>
      </c>
      <c r="AK170" s="5" t="s">
        <v>63</v>
      </c>
      <c r="AL170" s="5" t="s">
        <v>63</v>
      </c>
      <c r="AM170" s="5" t="s">
        <v>63</v>
      </c>
      <c r="AN170" s="5" t="s">
        <v>63</v>
      </c>
      <c r="AO170" s="5" t="s">
        <v>63</v>
      </c>
      <c r="AP170" s="5" t="s">
        <v>63</v>
      </c>
      <c r="AQ170" s="5" t="s">
        <v>63</v>
      </c>
      <c r="AR170" s="5" t="s">
        <v>63</v>
      </c>
      <c r="AS170" s="8" t="s">
        <v>63</v>
      </c>
      <c r="AT170" s="5" t="s">
        <v>63</v>
      </c>
      <c r="AU170" s="5" t="s">
        <v>63</v>
      </c>
      <c r="AV170" s="5" t="s">
        <v>64</v>
      </c>
      <c r="AW170" s="5" t="s">
        <v>63</v>
      </c>
      <c r="AX170" s="5" t="s">
        <v>63</v>
      </c>
      <c r="AY170" s="5" t="s">
        <v>63</v>
      </c>
      <c r="AZ170" s="5" t="s">
        <v>63</v>
      </c>
      <c r="BA170" s="5" t="s">
        <v>63</v>
      </c>
      <c r="BB170" s="5" t="s">
        <v>63</v>
      </c>
      <c r="BC170" s="5" t="s">
        <v>63</v>
      </c>
      <c r="BD170" s="5" t="s">
        <v>63</v>
      </c>
      <c r="BP170" s="5" t="s">
        <v>64</v>
      </c>
    </row>
    <row r="171" spans="1:73">
      <c r="A171" s="1" t="str">
        <f t="shared" si="2"/>
        <v>Yes</v>
      </c>
      <c r="B171" s="1" t="s">
        <v>348</v>
      </c>
      <c r="C171" s="1" t="s">
        <v>388</v>
      </c>
      <c r="E171" s="1" t="s">
        <v>389</v>
      </c>
      <c r="F171" s="2">
        <v>3</v>
      </c>
      <c r="G171" s="5" t="s">
        <v>63</v>
      </c>
      <c r="H171" s="5" t="s">
        <v>63</v>
      </c>
      <c r="I171" s="5" t="s">
        <v>63</v>
      </c>
      <c r="J171" s="5" t="s">
        <v>63</v>
      </c>
      <c r="K171" s="5" t="s">
        <v>63</v>
      </c>
      <c r="L171" s="5" t="s">
        <v>63</v>
      </c>
      <c r="M171" s="5" t="s">
        <v>63</v>
      </c>
      <c r="N171" s="5" t="s">
        <v>63</v>
      </c>
      <c r="O171" s="5" t="s">
        <v>63</v>
      </c>
      <c r="P171" s="5" t="s">
        <v>63</v>
      </c>
      <c r="Q171" s="5" t="s">
        <v>63</v>
      </c>
      <c r="R171" s="5" t="s">
        <v>63</v>
      </c>
      <c r="S171" s="5" t="s">
        <v>63</v>
      </c>
      <c r="T171" s="5" t="s">
        <v>63</v>
      </c>
      <c r="U171" s="5" t="s">
        <v>63</v>
      </c>
      <c r="V171" s="5" t="s">
        <v>63</v>
      </c>
      <c r="W171" s="5" t="s">
        <v>63</v>
      </c>
      <c r="X171" s="5" t="s">
        <v>63</v>
      </c>
      <c r="Y171" s="5" t="s">
        <v>63</v>
      </c>
      <c r="Z171" s="5" t="s">
        <v>63</v>
      </c>
      <c r="AA171" s="5" t="s">
        <v>63</v>
      </c>
      <c r="AB171" s="5" t="s">
        <v>63</v>
      </c>
      <c r="AC171" s="5" t="s">
        <v>63</v>
      </c>
      <c r="AD171" s="5" t="s">
        <v>63</v>
      </c>
      <c r="AE171" s="5" t="s">
        <v>63</v>
      </c>
      <c r="AF171" s="5" t="s">
        <v>63</v>
      </c>
      <c r="AG171" s="5" t="s">
        <v>63</v>
      </c>
      <c r="AH171" s="5" t="s">
        <v>63</v>
      </c>
      <c r="AI171" s="5" t="s">
        <v>63</v>
      </c>
      <c r="AJ171" s="14" t="s">
        <v>63</v>
      </c>
      <c r="AK171" s="5" t="s">
        <v>63</v>
      </c>
      <c r="AL171" s="5" t="s">
        <v>63</v>
      </c>
      <c r="AM171" s="5" t="s">
        <v>63</v>
      </c>
      <c r="AN171" s="5" t="s">
        <v>63</v>
      </c>
      <c r="AO171" s="5" t="s">
        <v>63</v>
      </c>
      <c r="AP171" s="5" t="s">
        <v>63</v>
      </c>
      <c r="AQ171" s="5" t="s">
        <v>63</v>
      </c>
      <c r="AR171" s="5" t="s">
        <v>63</v>
      </c>
      <c r="AS171" s="8" t="s">
        <v>63</v>
      </c>
      <c r="AT171" s="5" t="s">
        <v>63</v>
      </c>
      <c r="AU171" s="5" t="s">
        <v>63</v>
      </c>
      <c r="AV171" s="5" t="s">
        <v>63</v>
      </c>
      <c r="AW171" s="5" t="s">
        <v>63</v>
      </c>
      <c r="AX171" s="5" t="s">
        <v>63</v>
      </c>
      <c r="AY171" s="5" t="s">
        <v>63</v>
      </c>
      <c r="AZ171" s="5" t="s">
        <v>63</v>
      </c>
      <c r="BA171" s="5" t="s">
        <v>63</v>
      </c>
      <c r="BB171" s="5" t="s">
        <v>63</v>
      </c>
      <c r="BC171" s="5" t="s">
        <v>63</v>
      </c>
      <c r="BD171" s="5" t="s">
        <v>63</v>
      </c>
    </row>
    <row r="172" spans="1:73">
      <c r="A172" s="1" t="str">
        <f t="shared" si="2"/>
        <v>No</v>
      </c>
      <c r="B172" s="1" t="s">
        <v>59</v>
      </c>
      <c r="C172" s="1" t="s">
        <v>390</v>
      </c>
      <c r="D172" s="11" t="s">
        <v>77</v>
      </c>
      <c r="E172" s="1" t="s">
        <v>391</v>
      </c>
      <c r="F172" s="2">
        <v>3</v>
      </c>
      <c r="G172" s="5" t="s">
        <v>63</v>
      </c>
      <c r="H172" s="5" t="s">
        <v>63</v>
      </c>
      <c r="I172" s="5" t="s">
        <v>63</v>
      </c>
      <c r="J172" s="5" t="s">
        <v>63</v>
      </c>
      <c r="K172" s="5" t="s">
        <v>63</v>
      </c>
      <c r="L172" s="5" t="s">
        <v>63</v>
      </c>
      <c r="M172" s="5" t="s">
        <v>63</v>
      </c>
      <c r="N172" s="5" t="s">
        <v>63</v>
      </c>
      <c r="O172" s="5" t="s">
        <v>63</v>
      </c>
      <c r="P172" s="5" t="s">
        <v>63</v>
      </c>
      <c r="Q172" s="5" t="s">
        <v>63</v>
      </c>
      <c r="R172" s="5" t="s">
        <v>63</v>
      </c>
      <c r="S172" s="5" t="s">
        <v>63</v>
      </c>
      <c r="T172" s="5" t="s">
        <v>63</v>
      </c>
      <c r="U172" s="5" t="s">
        <v>63</v>
      </c>
      <c r="V172" s="5" t="s">
        <v>63</v>
      </c>
      <c r="W172" s="5" t="s">
        <v>63</v>
      </c>
      <c r="X172" s="5" t="s">
        <v>63</v>
      </c>
      <c r="Y172" s="5" t="s">
        <v>63</v>
      </c>
      <c r="Z172" s="5" t="s">
        <v>63</v>
      </c>
      <c r="AA172" s="5" t="s">
        <v>63</v>
      </c>
      <c r="AB172" s="5" t="s">
        <v>63</v>
      </c>
      <c r="AC172" s="5" t="s">
        <v>63</v>
      </c>
      <c r="AD172" s="5" t="s">
        <v>63</v>
      </c>
      <c r="AE172" s="5" t="s">
        <v>63</v>
      </c>
      <c r="AF172" s="5" t="s">
        <v>63</v>
      </c>
      <c r="AG172" s="5" t="s">
        <v>63</v>
      </c>
      <c r="AH172" s="5" t="s">
        <v>63</v>
      </c>
      <c r="AI172" s="5" t="s">
        <v>63</v>
      </c>
      <c r="AJ172" s="14" t="s">
        <v>63</v>
      </c>
      <c r="AK172" s="5" t="s">
        <v>63</v>
      </c>
      <c r="AL172" s="5" t="s">
        <v>63</v>
      </c>
      <c r="AM172" s="5" t="s">
        <v>63</v>
      </c>
      <c r="AN172" s="5" t="s">
        <v>63</v>
      </c>
      <c r="AO172" s="5" t="s">
        <v>63</v>
      </c>
      <c r="AP172" s="5" t="s">
        <v>63</v>
      </c>
      <c r="AQ172" s="5" t="s">
        <v>63</v>
      </c>
      <c r="AR172" s="5" t="s">
        <v>63</v>
      </c>
      <c r="AS172" s="8" t="s">
        <v>63</v>
      </c>
      <c r="AT172" s="5" t="s">
        <v>63</v>
      </c>
      <c r="AU172" s="5" t="s">
        <v>63</v>
      </c>
      <c r="AV172" s="5" t="s">
        <v>64</v>
      </c>
      <c r="AW172" s="5" t="s">
        <v>63</v>
      </c>
      <c r="AX172" s="5" t="s">
        <v>63</v>
      </c>
      <c r="AY172" s="5" t="s">
        <v>63</v>
      </c>
      <c r="AZ172" s="5" t="s">
        <v>63</v>
      </c>
      <c r="BA172" s="5" t="s">
        <v>63</v>
      </c>
      <c r="BB172" s="5" t="s">
        <v>63</v>
      </c>
      <c r="BC172" s="5" t="s">
        <v>63</v>
      </c>
      <c r="BD172" s="5" t="s">
        <v>63</v>
      </c>
      <c r="BP172" s="5" t="s">
        <v>64</v>
      </c>
    </row>
    <row r="173" spans="1:73">
      <c r="A173" s="1" t="str">
        <f t="shared" si="2"/>
        <v>No</v>
      </c>
      <c r="B173" s="1" t="s">
        <v>59</v>
      </c>
      <c r="C173" s="1" t="s">
        <v>392</v>
      </c>
      <c r="D173" s="11" t="s">
        <v>77</v>
      </c>
      <c r="E173" s="1" t="s">
        <v>393</v>
      </c>
      <c r="F173" s="2">
        <v>3</v>
      </c>
      <c r="G173" s="5" t="s">
        <v>63</v>
      </c>
      <c r="H173" s="5" t="s">
        <v>63</v>
      </c>
      <c r="I173" s="5" t="s">
        <v>63</v>
      </c>
      <c r="J173" s="5" t="s">
        <v>63</v>
      </c>
      <c r="K173" s="5" t="s">
        <v>63</v>
      </c>
      <c r="L173" s="5" t="s">
        <v>63</v>
      </c>
      <c r="M173" s="5" t="s">
        <v>63</v>
      </c>
      <c r="N173" s="5" t="s">
        <v>63</v>
      </c>
      <c r="O173" s="5" t="s">
        <v>63</v>
      </c>
      <c r="P173" s="5" t="s">
        <v>63</v>
      </c>
      <c r="Q173" s="5" t="s">
        <v>63</v>
      </c>
      <c r="R173" s="5" t="s">
        <v>63</v>
      </c>
      <c r="S173" s="5" t="s">
        <v>63</v>
      </c>
      <c r="T173" s="5" t="s">
        <v>63</v>
      </c>
      <c r="U173" s="5" t="s">
        <v>63</v>
      </c>
      <c r="V173" s="5" t="s">
        <v>63</v>
      </c>
      <c r="W173" s="5" t="s">
        <v>63</v>
      </c>
      <c r="X173" s="5" t="s">
        <v>63</v>
      </c>
      <c r="Y173" s="5" t="s">
        <v>63</v>
      </c>
      <c r="Z173" s="5" t="s">
        <v>63</v>
      </c>
      <c r="AA173" s="5" t="s">
        <v>63</v>
      </c>
      <c r="AB173" s="5" t="s">
        <v>63</v>
      </c>
      <c r="AC173" s="5" t="s">
        <v>63</v>
      </c>
      <c r="AD173" s="5" t="s">
        <v>63</v>
      </c>
      <c r="AE173" s="5" t="s">
        <v>63</v>
      </c>
      <c r="AF173" s="5" t="s">
        <v>63</v>
      </c>
      <c r="AG173" s="5" t="s">
        <v>63</v>
      </c>
      <c r="AH173" s="5" t="s">
        <v>63</v>
      </c>
      <c r="AI173" s="5" t="s">
        <v>63</v>
      </c>
      <c r="AJ173" s="14" t="s">
        <v>63</v>
      </c>
      <c r="AK173" s="5" t="s">
        <v>63</v>
      </c>
      <c r="AL173" s="5" t="s">
        <v>63</v>
      </c>
      <c r="AM173" s="5" t="s">
        <v>63</v>
      </c>
      <c r="AN173" s="5" t="s">
        <v>63</v>
      </c>
      <c r="AO173" s="5" t="s">
        <v>63</v>
      </c>
      <c r="AP173" s="5" t="s">
        <v>63</v>
      </c>
      <c r="AQ173" s="5" t="s">
        <v>63</v>
      </c>
      <c r="AR173" s="5" t="s">
        <v>63</v>
      </c>
      <c r="AS173" s="8" t="s">
        <v>63</v>
      </c>
      <c r="AT173" s="5" t="s">
        <v>63</v>
      </c>
      <c r="AU173" s="5" t="s">
        <v>63</v>
      </c>
      <c r="AV173" s="5" t="s">
        <v>64</v>
      </c>
      <c r="AW173" s="5" t="s">
        <v>64</v>
      </c>
      <c r="AX173" s="5" t="s">
        <v>63</v>
      </c>
      <c r="AY173" s="5" t="s">
        <v>63</v>
      </c>
      <c r="AZ173" s="5" t="s">
        <v>63</v>
      </c>
      <c r="BA173" s="5" t="s">
        <v>63</v>
      </c>
      <c r="BB173" s="5" t="s">
        <v>63</v>
      </c>
      <c r="BC173" s="5" t="s">
        <v>63</v>
      </c>
      <c r="BD173" s="5" t="s">
        <v>63</v>
      </c>
      <c r="BP173" s="5" t="s">
        <v>64</v>
      </c>
      <c r="BQ173" s="5" t="s">
        <v>64</v>
      </c>
    </row>
    <row r="174" spans="1:73">
      <c r="A174" s="1" t="str">
        <f t="shared" si="2"/>
        <v>No</v>
      </c>
      <c r="B174" s="1" t="s">
        <v>59</v>
      </c>
      <c r="C174" s="1" t="s">
        <v>394</v>
      </c>
      <c r="D174" s="11" t="s">
        <v>77</v>
      </c>
      <c r="E174" s="1" t="s">
        <v>395</v>
      </c>
      <c r="F174" s="2">
        <v>3</v>
      </c>
      <c r="G174" s="5" t="s">
        <v>63</v>
      </c>
      <c r="H174" s="5" t="s">
        <v>63</v>
      </c>
      <c r="I174" s="5" t="s">
        <v>63</v>
      </c>
      <c r="J174" s="5" t="s">
        <v>63</v>
      </c>
      <c r="K174" s="5" t="s">
        <v>63</v>
      </c>
      <c r="L174" s="5" t="s">
        <v>63</v>
      </c>
      <c r="M174" s="5" t="s">
        <v>63</v>
      </c>
      <c r="N174" s="5" t="s">
        <v>63</v>
      </c>
      <c r="O174" s="5" t="s">
        <v>63</v>
      </c>
      <c r="P174" s="5" t="s">
        <v>63</v>
      </c>
      <c r="Q174" s="5" t="s">
        <v>63</v>
      </c>
      <c r="R174" s="5" t="s">
        <v>63</v>
      </c>
      <c r="S174" s="5" t="s">
        <v>63</v>
      </c>
      <c r="T174" s="5" t="s">
        <v>63</v>
      </c>
      <c r="U174" s="5" t="s">
        <v>63</v>
      </c>
      <c r="V174" s="5" t="s">
        <v>63</v>
      </c>
      <c r="W174" s="5" t="s">
        <v>63</v>
      </c>
      <c r="X174" s="5" t="s">
        <v>63</v>
      </c>
      <c r="Y174" s="5" t="s">
        <v>63</v>
      </c>
      <c r="Z174" s="5" t="s">
        <v>63</v>
      </c>
      <c r="AA174" s="5" t="s">
        <v>63</v>
      </c>
      <c r="AB174" s="5" t="s">
        <v>63</v>
      </c>
      <c r="AC174" s="5" t="s">
        <v>63</v>
      </c>
      <c r="AD174" s="5" t="s">
        <v>63</v>
      </c>
      <c r="AE174" s="5" t="s">
        <v>63</v>
      </c>
      <c r="AF174" s="5" t="s">
        <v>63</v>
      </c>
      <c r="AG174" s="5" t="s">
        <v>63</v>
      </c>
      <c r="AH174" s="5" t="s">
        <v>63</v>
      </c>
      <c r="AI174" s="5" t="s">
        <v>63</v>
      </c>
      <c r="AJ174" s="14" t="s">
        <v>63</v>
      </c>
      <c r="AK174" s="5" t="s">
        <v>63</v>
      </c>
      <c r="AL174" s="5" t="s">
        <v>63</v>
      </c>
      <c r="AM174" s="5" t="s">
        <v>63</v>
      </c>
      <c r="AN174" s="5" t="s">
        <v>63</v>
      </c>
      <c r="AO174" s="5" t="s">
        <v>63</v>
      </c>
      <c r="AP174" s="5" t="s">
        <v>63</v>
      </c>
      <c r="AQ174" s="5" t="s">
        <v>63</v>
      </c>
      <c r="AR174" s="5" t="s">
        <v>63</v>
      </c>
      <c r="AS174" s="8" t="s">
        <v>63</v>
      </c>
      <c r="AT174" s="5" t="s">
        <v>63</v>
      </c>
      <c r="AU174" s="5" t="s">
        <v>63</v>
      </c>
      <c r="AV174" s="5" t="s">
        <v>63</v>
      </c>
      <c r="AW174" s="5" t="s">
        <v>63</v>
      </c>
      <c r="AX174" s="5" t="s">
        <v>63</v>
      </c>
      <c r="AY174" s="5" t="s">
        <v>63</v>
      </c>
      <c r="AZ174" s="5" t="s">
        <v>63</v>
      </c>
      <c r="BA174" s="5" t="s">
        <v>63</v>
      </c>
      <c r="BB174" s="5" t="s">
        <v>63</v>
      </c>
      <c r="BC174" s="5" t="s">
        <v>63</v>
      </c>
      <c r="BD174" s="5" t="s">
        <v>63</v>
      </c>
    </row>
    <row r="175" spans="1:73">
      <c r="A175" s="1" t="str">
        <f t="shared" si="2"/>
        <v>No</v>
      </c>
      <c r="B175" s="1" t="s">
        <v>59</v>
      </c>
      <c r="C175" s="1" t="s">
        <v>396</v>
      </c>
      <c r="D175" s="11" t="s">
        <v>77</v>
      </c>
      <c r="E175" s="1" t="s">
        <v>397</v>
      </c>
      <c r="F175" s="2">
        <v>3</v>
      </c>
      <c r="G175" s="5" t="s">
        <v>63</v>
      </c>
      <c r="H175" s="5" t="s">
        <v>63</v>
      </c>
      <c r="I175" s="5" t="s">
        <v>63</v>
      </c>
      <c r="J175" s="5" t="s">
        <v>63</v>
      </c>
      <c r="K175" s="5" t="s">
        <v>63</v>
      </c>
      <c r="L175" s="5" t="s">
        <v>63</v>
      </c>
      <c r="M175" s="5" t="s">
        <v>63</v>
      </c>
      <c r="N175" s="5" t="s">
        <v>63</v>
      </c>
      <c r="O175" s="5" t="s">
        <v>63</v>
      </c>
      <c r="P175" s="5" t="s">
        <v>63</v>
      </c>
      <c r="Q175" s="5" t="s">
        <v>63</v>
      </c>
      <c r="R175" s="5" t="s">
        <v>63</v>
      </c>
      <c r="S175" s="5" t="s">
        <v>63</v>
      </c>
      <c r="T175" s="5" t="s">
        <v>63</v>
      </c>
      <c r="U175" s="5" t="s">
        <v>63</v>
      </c>
      <c r="V175" s="5" t="s">
        <v>63</v>
      </c>
      <c r="W175" s="5" t="s">
        <v>63</v>
      </c>
      <c r="X175" s="5" t="s">
        <v>63</v>
      </c>
      <c r="Y175" s="5" t="s">
        <v>63</v>
      </c>
      <c r="Z175" s="5" t="s">
        <v>63</v>
      </c>
      <c r="AA175" s="5" t="s">
        <v>63</v>
      </c>
      <c r="AB175" s="5" t="s">
        <v>63</v>
      </c>
      <c r="AC175" s="5" t="s">
        <v>63</v>
      </c>
      <c r="AD175" s="5" t="s">
        <v>63</v>
      </c>
      <c r="AE175" s="5" t="s">
        <v>63</v>
      </c>
      <c r="AF175" s="5" t="s">
        <v>63</v>
      </c>
      <c r="AG175" s="5" t="s">
        <v>63</v>
      </c>
      <c r="AH175" s="5" t="s">
        <v>63</v>
      </c>
      <c r="AI175" s="5" t="s">
        <v>63</v>
      </c>
      <c r="AJ175" s="14" t="s">
        <v>63</v>
      </c>
      <c r="AK175" s="5" t="s">
        <v>63</v>
      </c>
      <c r="AL175" s="5" t="s">
        <v>63</v>
      </c>
      <c r="AM175" s="5" t="s">
        <v>63</v>
      </c>
      <c r="AN175" s="5" t="s">
        <v>63</v>
      </c>
      <c r="AO175" s="5" t="s">
        <v>63</v>
      </c>
      <c r="AP175" s="5" t="s">
        <v>63</v>
      </c>
      <c r="AQ175" s="5" t="s">
        <v>63</v>
      </c>
      <c r="AR175" s="5" t="s">
        <v>63</v>
      </c>
      <c r="AS175" s="8" t="s">
        <v>63</v>
      </c>
      <c r="AT175" s="5" t="s">
        <v>63</v>
      </c>
      <c r="AU175" s="5" t="s">
        <v>63</v>
      </c>
      <c r="AV175" s="5" t="s">
        <v>63</v>
      </c>
      <c r="AW175" s="5" t="s">
        <v>63</v>
      </c>
      <c r="AX175" s="5" t="s">
        <v>63</v>
      </c>
      <c r="AY175" s="5" t="s">
        <v>63</v>
      </c>
      <c r="AZ175" s="5" t="s">
        <v>63</v>
      </c>
      <c r="BA175" s="5" t="s">
        <v>63</v>
      </c>
      <c r="BB175" s="5" t="s">
        <v>63</v>
      </c>
      <c r="BC175" s="5" t="s">
        <v>63</v>
      </c>
      <c r="BD175" s="5" t="s">
        <v>63</v>
      </c>
    </row>
    <row r="176" spans="1:73">
      <c r="A176" s="1" t="str">
        <f t="shared" si="2"/>
        <v>No</v>
      </c>
      <c r="B176" s="1" t="s">
        <v>59</v>
      </c>
      <c r="C176" s="1" t="s">
        <v>398</v>
      </c>
      <c r="D176" s="11" t="s">
        <v>77</v>
      </c>
      <c r="E176" s="1" t="s">
        <v>399</v>
      </c>
      <c r="F176" s="2">
        <v>3</v>
      </c>
      <c r="G176" s="5" t="s">
        <v>63</v>
      </c>
      <c r="H176" s="5" t="s">
        <v>63</v>
      </c>
      <c r="I176" s="5" t="s">
        <v>63</v>
      </c>
      <c r="J176" s="5" t="s">
        <v>63</v>
      </c>
      <c r="K176" s="5" t="s">
        <v>63</v>
      </c>
      <c r="L176" s="5" t="s">
        <v>63</v>
      </c>
      <c r="M176" s="5" t="s">
        <v>63</v>
      </c>
      <c r="N176" s="5" t="s">
        <v>63</v>
      </c>
      <c r="O176" s="5" t="s">
        <v>63</v>
      </c>
      <c r="P176" s="5" t="s">
        <v>63</v>
      </c>
      <c r="Q176" s="5" t="s">
        <v>63</v>
      </c>
      <c r="R176" s="5" t="s">
        <v>63</v>
      </c>
      <c r="S176" s="5" t="s">
        <v>63</v>
      </c>
      <c r="T176" s="5" t="s">
        <v>63</v>
      </c>
      <c r="U176" s="5" t="s">
        <v>63</v>
      </c>
      <c r="V176" s="5" t="s">
        <v>63</v>
      </c>
      <c r="W176" s="5" t="s">
        <v>63</v>
      </c>
      <c r="X176" s="5" t="s">
        <v>63</v>
      </c>
      <c r="Y176" s="5" t="s">
        <v>63</v>
      </c>
      <c r="Z176" s="5" t="s">
        <v>63</v>
      </c>
      <c r="AA176" s="5" t="s">
        <v>63</v>
      </c>
      <c r="AB176" s="5" t="s">
        <v>63</v>
      </c>
      <c r="AC176" s="5" t="s">
        <v>63</v>
      </c>
      <c r="AD176" s="5" t="s">
        <v>63</v>
      </c>
      <c r="AE176" s="5" t="s">
        <v>63</v>
      </c>
      <c r="AF176" s="5" t="s">
        <v>63</v>
      </c>
      <c r="AG176" s="5" t="s">
        <v>63</v>
      </c>
      <c r="AH176" s="5" t="s">
        <v>63</v>
      </c>
      <c r="AI176" s="5" t="s">
        <v>63</v>
      </c>
      <c r="AJ176" s="14" t="s">
        <v>63</v>
      </c>
      <c r="AK176" s="5" t="s">
        <v>63</v>
      </c>
      <c r="AL176" s="5" t="s">
        <v>63</v>
      </c>
      <c r="AM176" s="5" t="s">
        <v>63</v>
      </c>
      <c r="AN176" s="5" t="s">
        <v>63</v>
      </c>
      <c r="AO176" s="5" t="s">
        <v>63</v>
      </c>
      <c r="AP176" s="5" t="s">
        <v>63</v>
      </c>
      <c r="AQ176" s="5" t="s">
        <v>63</v>
      </c>
      <c r="AR176" s="5" t="s">
        <v>63</v>
      </c>
      <c r="AS176" s="8" t="s">
        <v>63</v>
      </c>
      <c r="AT176" s="5" t="s">
        <v>63</v>
      </c>
      <c r="AU176" s="5" t="s">
        <v>63</v>
      </c>
      <c r="AV176" s="5" t="s">
        <v>63</v>
      </c>
      <c r="AW176" s="5" t="s">
        <v>63</v>
      </c>
      <c r="AX176" s="5" t="s">
        <v>63</v>
      </c>
      <c r="AY176" s="5" t="s">
        <v>63</v>
      </c>
      <c r="AZ176" s="5" t="s">
        <v>63</v>
      </c>
      <c r="BA176" s="5" t="s">
        <v>64</v>
      </c>
      <c r="BB176" s="5" t="s">
        <v>63</v>
      </c>
      <c r="BC176" s="5" t="s">
        <v>63</v>
      </c>
      <c r="BD176" s="5" t="s">
        <v>63</v>
      </c>
      <c r="BS176" s="5" t="s">
        <v>64</v>
      </c>
    </row>
    <row r="177" spans="1:71">
      <c r="A177" s="1" t="str">
        <f t="shared" si="2"/>
        <v>Yes</v>
      </c>
      <c r="B177" s="1" t="s">
        <v>348</v>
      </c>
      <c r="C177" s="1" t="s">
        <v>400</v>
      </c>
      <c r="E177" s="1" t="s">
        <v>401</v>
      </c>
      <c r="F177" s="2">
        <v>3</v>
      </c>
      <c r="G177" s="5" t="s">
        <v>63</v>
      </c>
      <c r="H177" s="5" t="s">
        <v>63</v>
      </c>
      <c r="I177" s="5" t="s">
        <v>63</v>
      </c>
      <c r="J177" s="5" t="s">
        <v>63</v>
      </c>
      <c r="K177" s="5" t="s">
        <v>63</v>
      </c>
      <c r="L177" s="5" t="s">
        <v>63</v>
      </c>
      <c r="M177" s="5" t="s">
        <v>63</v>
      </c>
      <c r="N177" s="5" t="s">
        <v>63</v>
      </c>
      <c r="O177" s="5" t="s">
        <v>63</v>
      </c>
      <c r="P177" s="5" t="s">
        <v>63</v>
      </c>
      <c r="Q177" s="5" t="s">
        <v>63</v>
      </c>
      <c r="R177" s="5" t="s">
        <v>63</v>
      </c>
      <c r="S177" s="5" t="s">
        <v>63</v>
      </c>
      <c r="T177" s="5" t="s">
        <v>63</v>
      </c>
      <c r="U177" s="5" t="s">
        <v>63</v>
      </c>
      <c r="V177" s="5" t="s">
        <v>63</v>
      </c>
      <c r="W177" s="5" t="s">
        <v>63</v>
      </c>
      <c r="X177" s="5" t="s">
        <v>63</v>
      </c>
      <c r="Y177" s="5" t="s">
        <v>63</v>
      </c>
      <c r="Z177" s="5" t="s">
        <v>63</v>
      </c>
      <c r="AA177" s="5" t="s">
        <v>63</v>
      </c>
      <c r="AB177" s="5" t="s">
        <v>63</v>
      </c>
      <c r="AC177" s="5" t="s">
        <v>63</v>
      </c>
      <c r="AD177" s="5" t="s">
        <v>63</v>
      </c>
      <c r="AE177" s="5" t="s">
        <v>63</v>
      </c>
      <c r="AF177" s="5" t="s">
        <v>63</v>
      </c>
      <c r="AG177" s="5" t="s">
        <v>63</v>
      </c>
      <c r="AH177" s="5" t="s">
        <v>63</v>
      </c>
      <c r="AI177" s="5" t="s">
        <v>63</v>
      </c>
      <c r="AJ177" s="14" t="s">
        <v>63</v>
      </c>
      <c r="AK177" s="5" t="s">
        <v>63</v>
      </c>
      <c r="AL177" s="5" t="s">
        <v>63</v>
      </c>
      <c r="AM177" s="5" t="s">
        <v>63</v>
      </c>
      <c r="AN177" s="5" t="s">
        <v>63</v>
      </c>
      <c r="AO177" s="5" t="s">
        <v>63</v>
      </c>
      <c r="AP177" s="5" t="s">
        <v>63</v>
      </c>
      <c r="AQ177" s="5" t="s">
        <v>63</v>
      </c>
      <c r="AR177" s="5" t="s">
        <v>63</v>
      </c>
      <c r="AS177" s="8" t="s">
        <v>63</v>
      </c>
      <c r="AT177" s="5" t="s">
        <v>63</v>
      </c>
      <c r="AU177" s="5" t="s">
        <v>63</v>
      </c>
      <c r="AV177" s="5" t="s">
        <v>63</v>
      </c>
      <c r="AW177" s="5" t="s">
        <v>63</v>
      </c>
      <c r="AX177" s="5" t="s">
        <v>63</v>
      </c>
      <c r="AY177" s="5" t="s">
        <v>63</v>
      </c>
      <c r="AZ177" s="5" t="s">
        <v>63</v>
      </c>
      <c r="BA177" s="5" t="s">
        <v>63</v>
      </c>
      <c r="BB177" s="5" t="s">
        <v>63</v>
      </c>
      <c r="BC177" s="5" t="s">
        <v>63</v>
      </c>
      <c r="BD177" s="5" t="s">
        <v>63</v>
      </c>
    </row>
    <row r="178" spans="1:71">
      <c r="A178" s="1" t="str">
        <f t="shared" si="2"/>
        <v>No</v>
      </c>
      <c r="B178" s="1" t="s">
        <v>59</v>
      </c>
      <c r="C178" s="1" t="s">
        <v>402</v>
      </c>
      <c r="D178" s="11" t="s">
        <v>77</v>
      </c>
      <c r="E178" s="1" t="s">
        <v>403</v>
      </c>
      <c r="F178" s="2">
        <v>3</v>
      </c>
      <c r="G178" s="5" t="s">
        <v>63</v>
      </c>
      <c r="H178" s="5" t="s">
        <v>63</v>
      </c>
      <c r="I178" s="5" t="s">
        <v>63</v>
      </c>
      <c r="J178" s="5" t="s">
        <v>63</v>
      </c>
      <c r="K178" s="5" t="s">
        <v>63</v>
      </c>
      <c r="L178" s="5" t="s">
        <v>63</v>
      </c>
      <c r="M178" s="5" t="s">
        <v>63</v>
      </c>
      <c r="N178" s="5" t="s">
        <v>63</v>
      </c>
      <c r="O178" s="5" t="s">
        <v>63</v>
      </c>
      <c r="P178" s="5" t="s">
        <v>63</v>
      </c>
      <c r="Q178" s="5" t="s">
        <v>63</v>
      </c>
      <c r="R178" s="5" t="s">
        <v>63</v>
      </c>
      <c r="S178" s="5" t="s">
        <v>63</v>
      </c>
      <c r="T178" s="5" t="s">
        <v>63</v>
      </c>
      <c r="U178" s="5" t="s">
        <v>63</v>
      </c>
      <c r="V178" s="5" t="s">
        <v>63</v>
      </c>
      <c r="W178" s="5" t="s">
        <v>63</v>
      </c>
      <c r="X178" s="5" t="s">
        <v>63</v>
      </c>
      <c r="Y178" s="5" t="s">
        <v>63</v>
      </c>
      <c r="Z178" s="5" t="s">
        <v>63</v>
      </c>
      <c r="AA178" s="5" t="s">
        <v>63</v>
      </c>
      <c r="AB178" s="5" t="s">
        <v>63</v>
      </c>
      <c r="AC178" s="5" t="s">
        <v>63</v>
      </c>
      <c r="AD178" s="5" t="s">
        <v>63</v>
      </c>
      <c r="AE178" s="5" t="s">
        <v>63</v>
      </c>
      <c r="AF178" s="5" t="s">
        <v>63</v>
      </c>
      <c r="AG178" s="5" t="s">
        <v>63</v>
      </c>
      <c r="AH178" s="5" t="s">
        <v>63</v>
      </c>
      <c r="AI178" s="5" t="s">
        <v>63</v>
      </c>
      <c r="AJ178" s="14" t="s">
        <v>63</v>
      </c>
      <c r="AK178" s="5" t="s">
        <v>63</v>
      </c>
      <c r="AL178" s="5" t="s">
        <v>63</v>
      </c>
      <c r="AM178" s="5" t="s">
        <v>63</v>
      </c>
      <c r="AN178" s="5" t="s">
        <v>63</v>
      </c>
      <c r="AO178" s="5" t="s">
        <v>64</v>
      </c>
      <c r="AP178" s="5" t="s">
        <v>63</v>
      </c>
      <c r="AQ178" s="5" t="s">
        <v>63</v>
      </c>
      <c r="AR178" s="5" t="s">
        <v>63</v>
      </c>
      <c r="AS178" s="8" t="s">
        <v>63</v>
      </c>
      <c r="AT178" s="5" t="s">
        <v>63</v>
      </c>
      <c r="AU178" s="5" t="s">
        <v>63</v>
      </c>
      <c r="AV178" s="5" t="s">
        <v>63</v>
      </c>
      <c r="AW178" s="5" t="s">
        <v>63</v>
      </c>
      <c r="AX178" s="5" t="s">
        <v>63</v>
      </c>
      <c r="AY178" s="5" t="s">
        <v>63</v>
      </c>
      <c r="AZ178" s="5" t="s">
        <v>63</v>
      </c>
      <c r="BA178" s="5"/>
      <c r="BB178" s="5" t="s">
        <v>63</v>
      </c>
      <c r="BC178" s="5" t="s">
        <v>63</v>
      </c>
      <c r="BD178" s="5" t="s">
        <v>63</v>
      </c>
      <c r="BN178" s="5" t="s">
        <v>64</v>
      </c>
    </row>
    <row r="179" spans="1:71">
      <c r="A179" s="1" t="str">
        <f t="shared" si="2"/>
        <v>No</v>
      </c>
      <c r="B179" s="1" t="s">
        <v>59</v>
      </c>
      <c r="C179" s="1" t="s">
        <v>404</v>
      </c>
      <c r="D179" s="11" t="s">
        <v>77</v>
      </c>
      <c r="E179" s="1" t="s">
        <v>405</v>
      </c>
      <c r="F179" s="2">
        <v>3</v>
      </c>
      <c r="G179" s="5" t="s">
        <v>63</v>
      </c>
      <c r="H179" s="5" t="s">
        <v>63</v>
      </c>
      <c r="I179" s="5" t="s">
        <v>63</v>
      </c>
      <c r="J179" s="5" t="s">
        <v>63</v>
      </c>
      <c r="K179" s="5" t="s">
        <v>63</v>
      </c>
      <c r="L179" s="5" t="s">
        <v>63</v>
      </c>
      <c r="M179" s="5" t="s">
        <v>63</v>
      </c>
      <c r="N179" s="5" t="s">
        <v>63</v>
      </c>
      <c r="O179" s="5" t="s">
        <v>63</v>
      </c>
      <c r="P179" s="5" t="s">
        <v>63</v>
      </c>
      <c r="Q179" s="5" t="s">
        <v>63</v>
      </c>
      <c r="R179" s="5" t="s">
        <v>63</v>
      </c>
      <c r="S179" s="5" t="s">
        <v>63</v>
      </c>
      <c r="T179" s="5" t="s">
        <v>63</v>
      </c>
      <c r="U179" s="5" t="s">
        <v>63</v>
      </c>
      <c r="V179" s="5" t="s">
        <v>63</v>
      </c>
      <c r="W179" s="5" t="s">
        <v>63</v>
      </c>
      <c r="X179" s="5" t="s">
        <v>63</v>
      </c>
      <c r="Y179" s="5" t="s">
        <v>63</v>
      </c>
      <c r="Z179" s="5" t="s">
        <v>63</v>
      </c>
      <c r="AA179" s="5" t="s">
        <v>63</v>
      </c>
      <c r="AB179" s="5" t="s">
        <v>63</v>
      </c>
      <c r="AC179" s="5" t="s">
        <v>63</v>
      </c>
      <c r="AD179" s="5" t="s">
        <v>63</v>
      </c>
      <c r="AE179" s="5" t="s">
        <v>63</v>
      </c>
      <c r="AF179" s="5" t="s">
        <v>63</v>
      </c>
      <c r="AG179" s="5" t="s">
        <v>63</v>
      </c>
      <c r="AH179" s="5" t="s">
        <v>63</v>
      </c>
      <c r="AI179" s="5" t="s">
        <v>63</v>
      </c>
      <c r="AJ179" s="14" t="s">
        <v>63</v>
      </c>
      <c r="AK179" s="5" t="s">
        <v>63</v>
      </c>
      <c r="AL179" s="5" t="s">
        <v>63</v>
      </c>
      <c r="AM179" s="5" t="s">
        <v>63</v>
      </c>
      <c r="AN179" s="5" t="s">
        <v>63</v>
      </c>
      <c r="AO179" s="5" t="s">
        <v>64</v>
      </c>
      <c r="AP179" s="5" t="s">
        <v>63</v>
      </c>
      <c r="AQ179" s="5" t="s">
        <v>63</v>
      </c>
      <c r="AR179" s="5" t="s">
        <v>63</v>
      </c>
      <c r="AS179" s="8" t="s">
        <v>63</v>
      </c>
      <c r="AT179" s="5" t="s">
        <v>63</v>
      </c>
      <c r="AU179" s="5" t="s">
        <v>63</v>
      </c>
      <c r="AV179" s="5" t="s">
        <v>63</v>
      </c>
      <c r="AW179" s="5" t="s">
        <v>63</v>
      </c>
      <c r="AX179" s="5" t="s">
        <v>63</v>
      </c>
      <c r="AY179" s="5" t="s">
        <v>63</v>
      </c>
      <c r="AZ179" s="5" t="s">
        <v>63</v>
      </c>
      <c r="BA179" s="5" t="s">
        <v>63</v>
      </c>
      <c r="BB179" s="5" t="s">
        <v>63</v>
      </c>
      <c r="BC179" s="5" t="s">
        <v>63</v>
      </c>
      <c r="BD179" s="5" t="s">
        <v>63</v>
      </c>
      <c r="BN179" s="5" t="s">
        <v>64</v>
      </c>
    </row>
    <row r="180" spans="1:71">
      <c r="A180" s="1" t="str">
        <f t="shared" si="2"/>
        <v>No</v>
      </c>
      <c r="B180" s="1" t="s">
        <v>59</v>
      </c>
      <c r="C180" s="1" t="s">
        <v>406</v>
      </c>
      <c r="D180" s="11" t="s">
        <v>77</v>
      </c>
      <c r="E180" s="1" t="s">
        <v>407</v>
      </c>
      <c r="F180" s="2">
        <v>3</v>
      </c>
      <c r="G180" s="5" t="s">
        <v>63</v>
      </c>
      <c r="H180" s="5" t="s">
        <v>63</v>
      </c>
      <c r="I180" s="5" t="s">
        <v>63</v>
      </c>
      <c r="J180" s="5" t="s">
        <v>63</v>
      </c>
      <c r="K180" s="5" t="s">
        <v>63</v>
      </c>
      <c r="L180" s="5" t="s">
        <v>63</v>
      </c>
      <c r="M180" s="5" t="s">
        <v>63</v>
      </c>
      <c r="N180" s="5" t="s">
        <v>63</v>
      </c>
      <c r="O180" s="5" t="s">
        <v>63</v>
      </c>
      <c r="P180" s="5" t="s">
        <v>63</v>
      </c>
      <c r="Q180" s="5" t="s">
        <v>63</v>
      </c>
      <c r="R180" s="5" t="s">
        <v>63</v>
      </c>
      <c r="S180" s="5" t="s">
        <v>63</v>
      </c>
      <c r="T180" s="5" t="s">
        <v>63</v>
      </c>
      <c r="U180" s="5" t="s">
        <v>63</v>
      </c>
      <c r="V180" s="5" t="s">
        <v>63</v>
      </c>
      <c r="W180" s="5" t="s">
        <v>63</v>
      </c>
      <c r="X180" s="5" t="s">
        <v>63</v>
      </c>
      <c r="Y180" s="5" t="s">
        <v>63</v>
      </c>
      <c r="Z180" s="5" t="s">
        <v>63</v>
      </c>
      <c r="AA180" s="5" t="s">
        <v>63</v>
      </c>
      <c r="AB180" s="5" t="s">
        <v>63</v>
      </c>
      <c r="AC180" s="5" t="s">
        <v>63</v>
      </c>
      <c r="AD180" s="5" t="s">
        <v>63</v>
      </c>
      <c r="AE180" s="5" t="s">
        <v>63</v>
      </c>
      <c r="AF180" s="5" t="s">
        <v>63</v>
      </c>
      <c r="AG180" s="5" t="s">
        <v>63</v>
      </c>
      <c r="AH180" s="5" t="s">
        <v>63</v>
      </c>
      <c r="AI180" s="5" t="s">
        <v>63</v>
      </c>
      <c r="AJ180" s="14" t="s">
        <v>63</v>
      </c>
      <c r="AK180" s="5" t="s">
        <v>63</v>
      </c>
      <c r="AL180" s="5" t="s">
        <v>63</v>
      </c>
      <c r="AM180" s="5" t="s">
        <v>63</v>
      </c>
      <c r="AN180" s="5" t="s">
        <v>63</v>
      </c>
      <c r="AO180" s="5" t="s">
        <v>64</v>
      </c>
      <c r="AP180" s="5" t="s">
        <v>63</v>
      </c>
      <c r="AQ180" s="5" t="s">
        <v>63</v>
      </c>
      <c r="AR180" s="5" t="s">
        <v>63</v>
      </c>
      <c r="AS180" s="8" t="s">
        <v>63</v>
      </c>
      <c r="AT180" s="5" t="s">
        <v>63</v>
      </c>
      <c r="AU180" s="5" t="s">
        <v>63</v>
      </c>
      <c r="AV180" s="5" t="s">
        <v>63</v>
      </c>
      <c r="AW180" s="5" t="s">
        <v>63</v>
      </c>
      <c r="AX180" s="5" t="s">
        <v>63</v>
      </c>
      <c r="AY180" s="5" t="s">
        <v>63</v>
      </c>
      <c r="AZ180" s="5" t="s">
        <v>63</v>
      </c>
      <c r="BA180" s="5" t="s">
        <v>64</v>
      </c>
      <c r="BB180" s="5" t="s">
        <v>63</v>
      </c>
      <c r="BC180" s="5" t="s">
        <v>63</v>
      </c>
      <c r="BD180" s="5" t="s">
        <v>63</v>
      </c>
      <c r="BN180" s="5" t="s">
        <v>64</v>
      </c>
      <c r="BS180" s="5" t="s">
        <v>64</v>
      </c>
    </row>
    <row r="181" spans="1:71">
      <c r="A181" s="1" t="str">
        <f t="shared" si="2"/>
        <v>No</v>
      </c>
      <c r="B181" s="1" t="s">
        <v>59</v>
      </c>
      <c r="C181" s="1" t="s">
        <v>408</v>
      </c>
      <c r="D181" s="11" t="s">
        <v>77</v>
      </c>
      <c r="E181" s="1" t="s">
        <v>409</v>
      </c>
      <c r="F181" s="2">
        <v>3</v>
      </c>
      <c r="G181" s="5" t="s">
        <v>63</v>
      </c>
      <c r="H181" s="5" t="s">
        <v>63</v>
      </c>
      <c r="I181" s="5" t="s">
        <v>63</v>
      </c>
      <c r="J181" s="5" t="s">
        <v>63</v>
      </c>
      <c r="K181" s="5" t="s">
        <v>63</v>
      </c>
      <c r="L181" s="5" t="s">
        <v>63</v>
      </c>
      <c r="M181" s="5" t="s">
        <v>63</v>
      </c>
      <c r="N181" s="5" t="s">
        <v>63</v>
      </c>
      <c r="O181" s="5" t="s">
        <v>63</v>
      </c>
      <c r="P181" s="5" t="s">
        <v>63</v>
      </c>
      <c r="Q181" s="5" t="s">
        <v>63</v>
      </c>
      <c r="R181" s="5" t="s">
        <v>63</v>
      </c>
      <c r="S181" s="5" t="s">
        <v>63</v>
      </c>
      <c r="T181" s="5" t="s">
        <v>63</v>
      </c>
      <c r="U181" s="5" t="s">
        <v>63</v>
      </c>
      <c r="V181" s="5" t="s">
        <v>63</v>
      </c>
      <c r="W181" s="5" t="s">
        <v>63</v>
      </c>
      <c r="X181" s="5" t="s">
        <v>63</v>
      </c>
      <c r="Y181" s="5" t="s">
        <v>63</v>
      </c>
      <c r="Z181" s="5" t="s">
        <v>63</v>
      </c>
      <c r="AA181" s="5" t="s">
        <v>63</v>
      </c>
      <c r="AB181" s="5" t="s">
        <v>63</v>
      </c>
      <c r="AC181" s="5" t="s">
        <v>63</v>
      </c>
      <c r="AD181" s="5" t="s">
        <v>63</v>
      </c>
      <c r="AE181" s="5" t="s">
        <v>63</v>
      </c>
      <c r="AF181" s="5" t="s">
        <v>63</v>
      </c>
      <c r="AG181" s="5" t="s">
        <v>63</v>
      </c>
      <c r="AH181" s="5" t="s">
        <v>63</v>
      </c>
      <c r="AI181" s="5" t="s">
        <v>63</v>
      </c>
      <c r="AJ181" s="14" t="s">
        <v>63</v>
      </c>
      <c r="AK181" s="5" t="s">
        <v>63</v>
      </c>
      <c r="AL181" s="5" t="s">
        <v>63</v>
      </c>
      <c r="AM181" s="5" t="s">
        <v>63</v>
      </c>
      <c r="AN181" s="5" t="s">
        <v>63</v>
      </c>
      <c r="AO181" s="5" t="s">
        <v>63</v>
      </c>
      <c r="AP181" s="5" t="s">
        <v>63</v>
      </c>
      <c r="AQ181" s="5" t="s">
        <v>63</v>
      </c>
      <c r="AR181" s="5" t="s">
        <v>63</v>
      </c>
      <c r="AS181" s="8" t="s">
        <v>63</v>
      </c>
      <c r="AT181" s="5" t="s">
        <v>63</v>
      </c>
      <c r="AU181" s="5" t="s">
        <v>63</v>
      </c>
      <c r="AV181" s="5" t="s">
        <v>63</v>
      </c>
      <c r="AW181" s="5" t="s">
        <v>63</v>
      </c>
      <c r="AX181" s="5" t="s">
        <v>63</v>
      </c>
      <c r="AY181" s="5" t="s">
        <v>63</v>
      </c>
      <c r="AZ181" s="5" t="s">
        <v>64</v>
      </c>
      <c r="BA181" s="5" t="s">
        <v>63</v>
      </c>
      <c r="BB181" s="5" t="s">
        <v>63</v>
      </c>
      <c r="BC181" s="5" t="s">
        <v>63</v>
      </c>
      <c r="BD181" s="5" t="s">
        <v>63</v>
      </c>
      <c r="BR181" s="5" t="s">
        <v>64</v>
      </c>
    </row>
    <row r="182" spans="1:71">
      <c r="A182" s="1" t="str">
        <f t="shared" si="2"/>
        <v>No</v>
      </c>
      <c r="B182" s="1" t="s">
        <v>59</v>
      </c>
      <c r="C182" s="1" t="s">
        <v>410</v>
      </c>
      <c r="D182" s="11" t="s">
        <v>77</v>
      </c>
      <c r="E182" s="1" t="s">
        <v>411</v>
      </c>
      <c r="F182" s="2">
        <v>3</v>
      </c>
      <c r="G182" s="5" t="s">
        <v>63</v>
      </c>
      <c r="H182" s="5" t="s">
        <v>63</v>
      </c>
      <c r="I182" s="5" t="s">
        <v>63</v>
      </c>
      <c r="J182" s="5" t="s">
        <v>63</v>
      </c>
      <c r="K182" s="5" t="s">
        <v>63</v>
      </c>
      <c r="L182" s="5" t="s">
        <v>63</v>
      </c>
      <c r="M182" s="5" t="s">
        <v>63</v>
      </c>
      <c r="N182" s="5" t="s">
        <v>63</v>
      </c>
      <c r="O182" s="5" t="s">
        <v>63</v>
      </c>
      <c r="P182" s="5" t="s">
        <v>63</v>
      </c>
      <c r="Q182" s="5" t="s">
        <v>63</v>
      </c>
      <c r="R182" s="5" t="s">
        <v>63</v>
      </c>
      <c r="S182" s="5" t="s">
        <v>63</v>
      </c>
      <c r="T182" s="5" t="s">
        <v>63</v>
      </c>
      <c r="U182" s="5" t="s">
        <v>63</v>
      </c>
      <c r="V182" s="5" t="s">
        <v>63</v>
      </c>
      <c r="W182" s="5" t="s">
        <v>63</v>
      </c>
      <c r="X182" s="5" t="s">
        <v>63</v>
      </c>
      <c r="Y182" s="5" t="s">
        <v>63</v>
      </c>
      <c r="Z182" s="5" t="s">
        <v>63</v>
      </c>
      <c r="AA182" s="5" t="s">
        <v>63</v>
      </c>
      <c r="AB182" s="5" t="s">
        <v>63</v>
      </c>
      <c r="AC182" s="5" t="s">
        <v>63</v>
      </c>
      <c r="AD182" s="5" t="s">
        <v>63</v>
      </c>
      <c r="AE182" s="5" t="s">
        <v>63</v>
      </c>
      <c r="AF182" s="5" t="s">
        <v>63</v>
      </c>
      <c r="AG182" s="5" t="s">
        <v>63</v>
      </c>
      <c r="AH182" s="5" t="s">
        <v>63</v>
      </c>
      <c r="AI182" s="5" t="s">
        <v>63</v>
      </c>
      <c r="AJ182" s="14" t="s">
        <v>63</v>
      </c>
      <c r="AK182" s="5" t="s">
        <v>63</v>
      </c>
      <c r="AL182" s="5" t="s">
        <v>63</v>
      </c>
      <c r="AM182" s="5" t="s">
        <v>63</v>
      </c>
      <c r="AN182" s="5" t="s">
        <v>63</v>
      </c>
      <c r="AO182" s="5" t="s">
        <v>63</v>
      </c>
      <c r="AP182" s="5" t="s">
        <v>63</v>
      </c>
      <c r="AQ182" s="5" t="s">
        <v>63</v>
      </c>
      <c r="AR182" s="5" t="s">
        <v>63</v>
      </c>
      <c r="AS182" s="8" t="s">
        <v>63</v>
      </c>
      <c r="AT182" s="5" t="s">
        <v>63</v>
      </c>
      <c r="AU182" s="5" t="s">
        <v>63</v>
      </c>
      <c r="AV182" s="5" t="s">
        <v>63</v>
      </c>
      <c r="AW182" s="5" t="s">
        <v>63</v>
      </c>
      <c r="AX182" s="5" t="s">
        <v>63</v>
      </c>
      <c r="AY182" s="5" t="s">
        <v>63</v>
      </c>
      <c r="AZ182" s="5" t="s">
        <v>63</v>
      </c>
      <c r="BA182" s="5" t="s">
        <v>63</v>
      </c>
      <c r="BB182" s="5" t="s">
        <v>63</v>
      </c>
      <c r="BC182" s="5" t="s">
        <v>63</v>
      </c>
      <c r="BD182" s="5" t="s">
        <v>63</v>
      </c>
    </row>
    <row r="183" spans="1:71">
      <c r="A183" s="1" t="str">
        <f t="shared" si="2"/>
        <v>No</v>
      </c>
      <c r="B183" s="1" t="s">
        <v>59</v>
      </c>
      <c r="C183" s="1" t="s">
        <v>412</v>
      </c>
      <c r="D183" s="11" t="s">
        <v>77</v>
      </c>
      <c r="E183" s="1" t="s">
        <v>413</v>
      </c>
      <c r="F183" s="2">
        <v>3</v>
      </c>
      <c r="G183" s="5" t="s">
        <v>63</v>
      </c>
      <c r="H183" s="5" t="s">
        <v>63</v>
      </c>
      <c r="I183" s="5" t="s">
        <v>63</v>
      </c>
      <c r="J183" s="5" t="s">
        <v>63</v>
      </c>
      <c r="K183" s="5" t="s">
        <v>63</v>
      </c>
      <c r="L183" s="5" t="s">
        <v>63</v>
      </c>
      <c r="M183" s="5" t="s">
        <v>63</v>
      </c>
      <c r="N183" s="5" t="s">
        <v>63</v>
      </c>
      <c r="O183" s="5" t="s">
        <v>63</v>
      </c>
      <c r="P183" s="5" t="s">
        <v>63</v>
      </c>
      <c r="Q183" s="5" t="s">
        <v>63</v>
      </c>
      <c r="R183" s="5" t="s">
        <v>63</v>
      </c>
      <c r="S183" s="5" t="s">
        <v>63</v>
      </c>
      <c r="T183" s="5" t="s">
        <v>63</v>
      </c>
      <c r="U183" s="5" t="s">
        <v>63</v>
      </c>
      <c r="V183" s="5" t="s">
        <v>63</v>
      </c>
      <c r="W183" s="5" t="s">
        <v>63</v>
      </c>
      <c r="X183" s="5" t="s">
        <v>63</v>
      </c>
      <c r="Y183" s="5" t="s">
        <v>63</v>
      </c>
      <c r="Z183" s="5" t="s">
        <v>63</v>
      </c>
      <c r="AA183" s="5" t="s">
        <v>63</v>
      </c>
      <c r="AB183" s="5" t="s">
        <v>63</v>
      </c>
      <c r="AC183" s="5" t="s">
        <v>63</v>
      </c>
      <c r="AD183" s="5" t="s">
        <v>63</v>
      </c>
      <c r="AE183" s="5" t="s">
        <v>63</v>
      </c>
      <c r="AF183" s="5" t="s">
        <v>63</v>
      </c>
      <c r="AG183" s="5" t="s">
        <v>63</v>
      </c>
      <c r="AH183" s="5" t="s">
        <v>63</v>
      </c>
      <c r="AI183" s="5" t="s">
        <v>63</v>
      </c>
      <c r="AJ183" s="14" t="s">
        <v>64</v>
      </c>
      <c r="AK183" s="5" t="s">
        <v>63</v>
      </c>
      <c r="AL183" s="5" t="s">
        <v>63</v>
      </c>
      <c r="AM183" s="5" t="s">
        <v>63</v>
      </c>
      <c r="AN183" s="5" t="s">
        <v>63</v>
      </c>
      <c r="AO183" s="5" t="s">
        <v>63</v>
      </c>
      <c r="AP183" s="5" t="s">
        <v>63</v>
      </c>
      <c r="AQ183" s="5" t="s">
        <v>63</v>
      </c>
      <c r="AR183" s="5" t="s">
        <v>63</v>
      </c>
      <c r="AS183" s="8" t="s">
        <v>63</v>
      </c>
      <c r="AT183" s="5" t="s">
        <v>63</v>
      </c>
      <c r="AU183" s="5" t="s">
        <v>63</v>
      </c>
      <c r="AV183" s="5" t="s">
        <v>63</v>
      </c>
      <c r="AW183" s="5" t="s">
        <v>63</v>
      </c>
      <c r="AX183" s="5" t="s">
        <v>63</v>
      </c>
      <c r="AY183" s="5" t="s">
        <v>63</v>
      </c>
      <c r="AZ183" s="5" t="s">
        <v>63</v>
      </c>
      <c r="BA183" s="5" t="s">
        <v>63</v>
      </c>
      <c r="BB183" s="5" t="s">
        <v>63</v>
      </c>
      <c r="BC183" s="5" t="s">
        <v>63</v>
      </c>
      <c r="BD183" s="5" t="s">
        <v>63</v>
      </c>
      <c r="BL183" s="5" t="s">
        <v>64</v>
      </c>
    </row>
    <row r="184" spans="1:71">
      <c r="A184" s="1" t="str">
        <f t="shared" si="2"/>
        <v>No</v>
      </c>
      <c r="B184" s="1" t="s">
        <v>59</v>
      </c>
      <c r="C184" s="1" t="s">
        <v>414</v>
      </c>
      <c r="D184" s="11" t="s">
        <v>77</v>
      </c>
      <c r="E184" s="1" t="s">
        <v>415</v>
      </c>
      <c r="F184" s="2">
        <v>3</v>
      </c>
      <c r="G184" s="5" t="s">
        <v>63</v>
      </c>
      <c r="H184" s="5" t="s">
        <v>63</v>
      </c>
      <c r="I184" s="5" t="s">
        <v>63</v>
      </c>
      <c r="J184" s="5" t="s">
        <v>63</v>
      </c>
      <c r="K184" s="5" t="s">
        <v>63</v>
      </c>
      <c r="L184" s="5" t="s">
        <v>63</v>
      </c>
      <c r="M184" s="5" t="s">
        <v>63</v>
      </c>
      <c r="N184" s="5" t="s">
        <v>63</v>
      </c>
      <c r="O184" s="5" t="s">
        <v>63</v>
      </c>
      <c r="P184" s="5" t="s">
        <v>63</v>
      </c>
      <c r="Q184" s="5" t="s">
        <v>63</v>
      </c>
      <c r="R184" s="5" t="s">
        <v>63</v>
      </c>
      <c r="S184" s="5" t="s">
        <v>63</v>
      </c>
      <c r="T184" s="5" t="s">
        <v>63</v>
      </c>
      <c r="U184" s="5" t="s">
        <v>63</v>
      </c>
      <c r="V184" s="5" t="s">
        <v>63</v>
      </c>
      <c r="W184" s="5" t="s">
        <v>63</v>
      </c>
      <c r="X184" s="5" t="s">
        <v>63</v>
      </c>
      <c r="Y184" s="5" t="s">
        <v>63</v>
      </c>
      <c r="Z184" s="5" t="s">
        <v>63</v>
      </c>
      <c r="AA184" s="5" t="s">
        <v>63</v>
      </c>
      <c r="AB184" s="5" t="s">
        <v>63</v>
      </c>
      <c r="AC184" s="5" t="s">
        <v>63</v>
      </c>
      <c r="AD184" s="5" t="s">
        <v>63</v>
      </c>
      <c r="AE184" s="5" t="s">
        <v>63</v>
      </c>
      <c r="AF184" s="5" t="s">
        <v>63</v>
      </c>
      <c r="AG184" s="5" t="s">
        <v>63</v>
      </c>
      <c r="AH184" s="5" t="s">
        <v>63</v>
      </c>
      <c r="AI184" s="5" t="s">
        <v>63</v>
      </c>
      <c r="AJ184" s="14" t="s">
        <v>63</v>
      </c>
      <c r="AK184" s="5" t="s">
        <v>63</v>
      </c>
      <c r="AL184" s="5" t="s">
        <v>63</v>
      </c>
      <c r="AM184" s="5" t="s">
        <v>63</v>
      </c>
      <c r="AN184" s="5" t="s">
        <v>63</v>
      </c>
      <c r="AO184" s="5" t="s">
        <v>63</v>
      </c>
      <c r="AP184" s="5" t="s">
        <v>63</v>
      </c>
      <c r="AQ184" s="5" t="s">
        <v>63</v>
      </c>
      <c r="AR184" s="5" t="s">
        <v>63</v>
      </c>
      <c r="AS184" s="8" t="s">
        <v>63</v>
      </c>
      <c r="AT184" s="5" t="s">
        <v>63</v>
      </c>
      <c r="AU184" s="5" t="s">
        <v>63</v>
      </c>
      <c r="AV184" s="5" t="s">
        <v>63</v>
      </c>
      <c r="AW184" s="5" t="s">
        <v>63</v>
      </c>
      <c r="AX184" s="5" t="s">
        <v>63</v>
      </c>
      <c r="AY184" s="5" t="s">
        <v>63</v>
      </c>
      <c r="AZ184" s="5" t="s">
        <v>63</v>
      </c>
      <c r="BA184" s="5" t="s">
        <v>63</v>
      </c>
      <c r="BB184" s="5" t="s">
        <v>63</v>
      </c>
      <c r="BC184" s="5" t="s">
        <v>63</v>
      </c>
      <c r="BD184" s="5" t="s">
        <v>63</v>
      </c>
    </row>
    <row r="185" spans="1:71">
      <c r="A185" s="1" t="str">
        <f t="shared" si="2"/>
        <v>No</v>
      </c>
      <c r="B185" s="1" t="s">
        <v>59</v>
      </c>
      <c r="C185" s="1" t="s">
        <v>416</v>
      </c>
      <c r="D185" s="11" t="s">
        <v>77</v>
      </c>
      <c r="E185" s="1" t="s">
        <v>417</v>
      </c>
      <c r="F185" s="2">
        <v>3</v>
      </c>
      <c r="G185" s="5" t="s">
        <v>63</v>
      </c>
      <c r="H185" s="5" t="s">
        <v>63</v>
      </c>
      <c r="I185" s="5" t="s">
        <v>63</v>
      </c>
      <c r="J185" s="5" t="s">
        <v>63</v>
      </c>
      <c r="K185" s="5" t="s">
        <v>63</v>
      </c>
      <c r="L185" s="5" t="s">
        <v>63</v>
      </c>
      <c r="M185" s="5" t="s">
        <v>63</v>
      </c>
      <c r="N185" s="5" t="s">
        <v>63</v>
      </c>
      <c r="O185" s="5" t="s">
        <v>63</v>
      </c>
      <c r="P185" s="5" t="s">
        <v>63</v>
      </c>
      <c r="Q185" s="5" t="s">
        <v>63</v>
      </c>
      <c r="R185" s="5" t="s">
        <v>63</v>
      </c>
      <c r="S185" s="5" t="s">
        <v>63</v>
      </c>
      <c r="T185" s="5" t="s">
        <v>63</v>
      </c>
      <c r="U185" s="5" t="s">
        <v>63</v>
      </c>
      <c r="V185" s="5" t="s">
        <v>63</v>
      </c>
      <c r="W185" s="5" t="s">
        <v>63</v>
      </c>
      <c r="X185" s="5" t="s">
        <v>63</v>
      </c>
      <c r="Y185" s="5" t="s">
        <v>63</v>
      </c>
      <c r="Z185" s="5" t="s">
        <v>63</v>
      </c>
      <c r="AA185" s="5" t="s">
        <v>63</v>
      </c>
      <c r="AB185" s="5" t="s">
        <v>63</v>
      </c>
      <c r="AC185" s="5" t="s">
        <v>63</v>
      </c>
      <c r="AD185" s="5" t="s">
        <v>63</v>
      </c>
      <c r="AE185" s="5" t="s">
        <v>63</v>
      </c>
      <c r="AF185" s="5" t="s">
        <v>63</v>
      </c>
      <c r="AG185" s="5" t="s">
        <v>63</v>
      </c>
      <c r="AH185" s="5" t="s">
        <v>63</v>
      </c>
      <c r="AI185" s="5" t="s">
        <v>63</v>
      </c>
      <c r="AJ185" s="14" t="s">
        <v>63</v>
      </c>
      <c r="AK185" s="5" t="s">
        <v>63</v>
      </c>
      <c r="AL185" s="5" t="s">
        <v>63</v>
      </c>
      <c r="AM185" s="5" t="s">
        <v>63</v>
      </c>
      <c r="AN185" s="5" t="s">
        <v>63</v>
      </c>
      <c r="AO185" s="5" t="s">
        <v>63</v>
      </c>
      <c r="AP185" s="5" t="s">
        <v>63</v>
      </c>
      <c r="AQ185" s="5" t="s">
        <v>63</v>
      </c>
      <c r="AR185" s="5" t="s">
        <v>63</v>
      </c>
      <c r="AS185" s="8" t="s">
        <v>63</v>
      </c>
      <c r="AT185" s="5" t="s">
        <v>63</v>
      </c>
      <c r="AU185" s="5" t="s">
        <v>63</v>
      </c>
      <c r="AV185" s="5" t="s">
        <v>63</v>
      </c>
      <c r="AW185" s="5" t="s">
        <v>63</v>
      </c>
      <c r="AX185" s="5" t="s">
        <v>63</v>
      </c>
      <c r="AY185" s="5" t="s">
        <v>63</v>
      </c>
      <c r="AZ185" s="5" t="s">
        <v>64</v>
      </c>
      <c r="BA185" s="5" t="s">
        <v>63</v>
      </c>
      <c r="BB185" s="5" t="s">
        <v>63</v>
      </c>
      <c r="BC185" s="5" t="s">
        <v>63</v>
      </c>
      <c r="BD185" s="5" t="s">
        <v>63</v>
      </c>
      <c r="BR185" s="5" t="s">
        <v>64</v>
      </c>
    </row>
    <row r="186" spans="1:71">
      <c r="A186" s="1" t="str">
        <f t="shared" si="2"/>
        <v>No</v>
      </c>
      <c r="B186" s="1" t="s">
        <v>59</v>
      </c>
      <c r="C186" s="1" t="s">
        <v>418</v>
      </c>
      <c r="D186" s="11" t="s">
        <v>77</v>
      </c>
      <c r="E186" s="1" t="s">
        <v>419</v>
      </c>
      <c r="F186" s="2">
        <v>3</v>
      </c>
      <c r="G186" s="5" t="s">
        <v>63</v>
      </c>
      <c r="H186" s="5" t="s">
        <v>63</v>
      </c>
      <c r="I186" s="5" t="s">
        <v>63</v>
      </c>
      <c r="J186" s="5" t="s">
        <v>63</v>
      </c>
      <c r="K186" s="5" t="s">
        <v>63</v>
      </c>
      <c r="L186" s="5" t="s">
        <v>63</v>
      </c>
      <c r="M186" s="5" t="s">
        <v>63</v>
      </c>
      <c r="N186" s="5" t="s">
        <v>63</v>
      </c>
      <c r="O186" s="5" t="s">
        <v>63</v>
      </c>
      <c r="P186" s="5" t="s">
        <v>63</v>
      </c>
      <c r="Q186" s="5" t="s">
        <v>63</v>
      </c>
      <c r="R186" s="5" t="s">
        <v>63</v>
      </c>
      <c r="S186" s="5" t="s">
        <v>63</v>
      </c>
      <c r="T186" s="5" t="s">
        <v>63</v>
      </c>
      <c r="U186" s="5" t="s">
        <v>63</v>
      </c>
      <c r="V186" s="5" t="s">
        <v>63</v>
      </c>
      <c r="W186" s="5" t="s">
        <v>63</v>
      </c>
      <c r="X186" s="5" t="s">
        <v>63</v>
      </c>
      <c r="Y186" s="5" t="s">
        <v>63</v>
      </c>
      <c r="Z186" s="5" t="s">
        <v>64</v>
      </c>
      <c r="AA186" s="5" t="s">
        <v>64</v>
      </c>
      <c r="AB186" s="5" t="s">
        <v>63</v>
      </c>
      <c r="AC186" s="5" t="s">
        <v>63</v>
      </c>
      <c r="AD186" s="5" t="s">
        <v>63</v>
      </c>
      <c r="AE186" s="5" t="s">
        <v>63</v>
      </c>
      <c r="AF186" s="5"/>
      <c r="AG186" s="5" t="s">
        <v>63</v>
      </c>
      <c r="AH186" s="5" t="s">
        <v>63</v>
      </c>
      <c r="AI186" s="5" t="s">
        <v>63</v>
      </c>
      <c r="AJ186" s="14" t="s">
        <v>192</v>
      </c>
      <c r="AK186" s="5" t="s">
        <v>63</v>
      </c>
      <c r="AL186" s="5" t="s">
        <v>63</v>
      </c>
      <c r="AM186" s="5" t="s">
        <v>63</v>
      </c>
      <c r="AN186" s="5" t="s">
        <v>63</v>
      </c>
      <c r="AO186" s="5" t="s">
        <v>63</v>
      </c>
      <c r="AP186" s="5" t="s">
        <v>63</v>
      </c>
      <c r="AQ186" s="5" t="s">
        <v>63</v>
      </c>
      <c r="AR186" s="5" t="s">
        <v>63</v>
      </c>
      <c r="AS186" s="8" t="s">
        <v>63</v>
      </c>
      <c r="AT186" s="5" t="s">
        <v>63</v>
      </c>
      <c r="AU186" s="5" t="s">
        <v>63</v>
      </c>
      <c r="AV186" s="5" t="s">
        <v>63</v>
      </c>
      <c r="AW186" s="5" t="s">
        <v>63</v>
      </c>
      <c r="AX186" s="5" t="s">
        <v>63</v>
      </c>
      <c r="AY186" s="5" t="s">
        <v>63</v>
      </c>
      <c r="AZ186" s="5" t="s">
        <v>63</v>
      </c>
      <c r="BA186" s="5" t="s">
        <v>63</v>
      </c>
      <c r="BB186" s="5" t="s">
        <v>63</v>
      </c>
      <c r="BC186" s="5" t="s">
        <v>63</v>
      </c>
      <c r="BD186" s="5" t="s">
        <v>63</v>
      </c>
      <c r="BF186" s="5" t="s">
        <v>64</v>
      </c>
    </row>
    <row r="187" spans="1:71">
      <c r="A187" s="1" t="str">
        <f t="shared" si="2"/>
        <v>No</v>
      </c>
      <c r="B187" s="1" t="s">
        <v>59</v>
      </c>
      <c r="C187" s="1" t="s">
        <v>420</v>
      </c>
      <c r="D187" s="11" t="s">
        <v>77</v>
      </c>
      <c r="E187" s="1" t="s">
        <v>421</v>
      </c>
      <c r="F187" s="2">
        <v>3</v>
      </c>
      <c r="G187" s="5" t="s">
        <v>63</v>
      </c>
      <c r="H187" s="5" t="s">
        <v>63</v>
      </c>
      <c r="I187" s="5" t="s">
        <v>63</v>
      </c>
      <c r="J187" s="5" t="s">
        <v>63</v>
      </c>
      <c r="K187" s="5" t="s">
        <v>63</v>
      </c>
      <c r="L187" s="5" t="s">
        <v>63</v>
      </c>
      <c r="M187" s="5" t="s">
        <v>63</v>
      </c>
      <c r="N187" s="5" t="s">
        <v>63</v>
      </c>
      <c r="O187" s="5" t="s">
        <v>63</v>
      </c>
      <c r="P187" s="5" t="s">
        <v>63</v>
      </c>
      <c r="Q187" s="5" t="s">
        <v>63</v>
      </c>
      <c r="R187" s="5" t="s">
        <v>63</v>
      </c>
      <c r="S187" s="5" t="s">
        <v>63</v>
      </c>
      <c r="T187" s="5" t="s">
        <v>63</v>
      </c>
      <c r="U187" s="5" t="s">
        <v>63</v>
      </c>
      <c r="V187" s="5" t="s">
        <v>63</v>
      </c>
      <c r="W187" s="5" t="s">
        <v>63</v>
      </c>
      <c r="X187" s="5" t="s">
        <v>63</v>
      </c>
      <c r="Y187" s="5" t="s">
        <v>63</v>
      </c>
      <c r="Z187" s="5" t="s">
        <v>63</v>
      </c>
      <c r="AA187" s="5" t="s">
        <v>63</v>
      </c>
      <c r="AB187" s="5" t="s">
        <v>63</v>
      </c>
      <c r="AC187" s="5" t="s">
        <v>63</v>
      </c>
      <c r="AD187" s="5" t="s">
        <v>63</v>
      </c>
      <c r="AE187" s="5" t="s">
        <v>63</v>
      </c>
      <c r="AF187" s="5" t="s">
        <v>63</v>
      </c>
      <c r="AG187" s="5" t="s">
        <v>63</v>
      </c>
      <c r="AH187" s="5" t="s">
        <v>63</v>
      </c>
      <c r="AI187" s="5" t="s">
        <v>63</v>
      </c>
      <c r="AJ187" s="14" t="s">
        <v>63</v>
      </c>
      <c r="AK187" s="5" t="s">
        <v>63</v>
      </c>
      <c r="AL187" s="5" t="s">
        <v>63</v>
      </c>
      <c r="AM187" s="5" t="s">
        <v>63</v>
      </c>
      <c r="AN187" s="5" t="s">
        <v>63</v>
      </c>
      <c r="AO187" s="5" t="s">
        <v>63</v>
      </c>
      <c r="AP187" s="5" t="s">
        <v>63</v>
      </c>
      <c r="AQ187" s="5" t="s">
        <v>63</v>
      </c>
      <c r="AR187" s="5" t="s">
        <v>63</v>
      </c>
      <c r="AS187" s="8" t="s">
        <v>63</v>
      </c>
      <c r="AT187" s="5" t="s">
        <v>63</v>
      </c>
      <c r="AU187" s="5" t="s">
        <v>63</v>
      </c>
      <c r="AV187" s="5" t="s">
        <v>63</v>
      </c>
      <c r="AW187" s="5" t="s">
        <v>63</v>
      </c>
      <c r="AX187" s="5" t="s">
        <v>63</v>
      </c>
      <c r="AY187" s="5" t="s">
        <v>63</v>
      </c>
      <c r="AZ187" s="5" t="s">
        <v>63</v>
      </c>
      <c r="BA187" s="5" t="s">
        <v>63</v>
      </c>
      <c r="BB187" s="5" t="s">
        <v>63</v>
      </c>
      <c r="BC187" s="5" t="s">
        <v>63</v>
      </c>
      <c r="BD187" s="5" t="s">
        <v>63</v>
      </c>
    </row>
    <row r="188" spans="1:71">
      <c r="A188" s="1" t="str">
        <f t="shared" si="2"/>
        <v>No</v>
      </c>
      <c r="B188" s="1" t="s">
        <v>59</v>
      </c>
      <c r="C188" s="1" t="s">
        <v>85</v>
      </c>
      <c r="D188" s="11" t="s">
        <v>77</v>
      </c>
      <c r="E188" s="1" t="s">
        <v>422</v>
      </c>
      <c r="F188" s="2">
        <v>3</v>
      </c>
      <c r="G188" s="5" t="s">
        <v>63</v>
      </c>
      <c r="H188" s="5" t="s">
        <v>63</v>
      </c>
      <c r="I188" s="5" t="s">
        <v>63</v>
      </c>
      <c r="J188" s="5" t="s">
        <v>63</v>
      </c>
      <c r="K188" s="5" t="s">
        <v>63</v>
      </c>
      <c r="L188" s="5" t="s">
        <v>63</v>
      </c>
      <c r="M188" s="5" t="s">
        <v>63</v>
      </c>
      <c r="N188" s="5" t="s">
        <v>63</v>
      </c>
      <c r="O188" s="5" t="s">
        <v>63</v>
      </c>
      <c r="P188" s="5" t="s">
        <v>63</v>
      </c>
      <c r="Q188" s="5" t="s">
        <v>63</v>
      </c>
      <c r="R188" s="5" t="s">
        <v>63</v>
      </c>
      <c r="S188" s="5" t="s">
        <v>63</v>
      </c>
      <c r="T188" s="5" t="s">
        <v>63</v>
      </c>
      <c r="U188" s="5" t="s">
        <v>63</v>
      </c>
      <c r="V188" s="5" t="s">
        <v>63</v>
      </c>
      <c r="W188" s="5" t="s">
        <v>63</v>
      </c>
      <c r="X188" s="5" t="s">
        <v>63</v>
      </c>
      <c r="Y188" s="5" t="s">
        <v>64</v>
      </c>
      <c r="Z188" s="5" t="s">
        <v>63</v>
      </c>
      <c r="AA188" s="5" t="s">
        <v>63</v>
      </c>
      <c r="AB188" s="5" t="s">
        <v>63</v>
      </c>
      <c r="AC188" s="5" t="s">
        <v>63</v>
      </c>
      <c r="AD188" s="5" t="s">
        <v>63</v>
      </c>
      <c r="AE188" s="5" t="s">
        <v>63</v>
      </c>
      <c r="AF188" s="5" t="s">
        <v>63</v>
      </c>
      <c r="AG188" s="5" t="s">
        <v>63</v>
      </c>
      <c r="AH188" s="5" t="s">
        <v>63</v>
      </c>
      <c r="AI188" s="5" t="s">
        <v>63</v>
      </c>
      <c r="AJ188" s="14" t="s">
        <v>63</v>
      </c>
      <c r="AK188" s="5" t="s">
        <v>63</v>
      </c>
      <c r="AL188" s="5" t="s">
        <v>63</v>
      </c>
      <c r="AM188" s="5" t="s">
        <v>63</v>
      </c>
      <c r="AN188" s="5" t="s">
        <v>63</v>
      </c>
      <c r="AO188" s="5" t="s">
        <v>63</v>
      </c>
      <c r="AP188" s="5" t="s">
        <v>63</v>
      </c>
      <c r="AQ188" s="5" t="s">
        <v>63</v>
      </c>
      <c r="AR188" s="5" t="s">
        <v>63</v>
      </c>
      <c r="AS188" s="8" t="s">
        <v>63</v>
      </c>
      <c r="AT188" s="5" t="s">
        <v>63</v>
      </c>
      <c r="AU188" s="5" t="s">
        <v>63</v>
      </c>
      <c r="AV188" s="5" t="s">
        <v>64</v>
      </c>
      <c r="AW188" s="5" t="s">
        <v>63</v>
      </c>
      <c r="AX188" s="5" t="s">
        <v>63</v>
      </c>
      <c r="AY188" s="5" t="s">
        <v>63</v>
      </c>
      <c r="AZ188" s="5" t="s">
        <v>63</v>
      </c>
      <c r="BA188" s="5" t="s">
        <v>63</v>
      </c>
      <c r="BB188" s="5" t="s">
        <v>63</v>
      </c>
      <c r="BC188" s="5" t="s">
        <v>63</v>
      </c>
      <c r="BD188" s="5" t="s">
        <v>63</v>
      </c>
      <c r="BE188" s="5" t="s">
        <v>64</v>
      </c>
      <c r="BP188" s="5" t="s">
        <v>64</v>
      </c>
    </row>
    <row r="189" spans="1:71">
      <c r="A189" s="1" t="str">
        <f t="shared" si="2"/>
        <v>Yes</v>
      </c>
      <c r="B189" s="1" t="s">
        <v>348</v>
      </c>
      <c r="C189" s="1" t="s">
        <v>423</v>
      </c>
      <c r="E189" s="1" t="s">
        <v>424</v>
      </c>
      <c r="F189" s="2">
        <v>3</v>
      </c>
      <c r="G189" s="5" t="s">
        <v>63</v>
      </c>
      <c r="H189" s="5" t="s">
        <v>63</v>
      </c>
      <c r="I189" s="5" t="s">
        <v>63</v>
      </c>
      <c r="J189" s="5" t="s">
        <v>63</v>
      </c>
      <c r="K189" s="5" t="s">
        <v>63</v>
      </c>
      <c r="L189" s="5" t="s">
        <v>63</v>
      </c>
      <c r="M189" s="5" t="s">
        <v>63</v>
      </c>
      <c r="N189" s="5" t="s">
        <v>63</v>
      </c>
      <c r="O189" s="5" t="s">
        <v>63</v>
      </c>
      <c r="P189" s="5" t="s">
        <v>63</v>
      </c>
      <c r="Q189" s="5" t="s">
        <v>63</v>
      </c>
      <c r="R189" s="5" t="s">
        <v>63</v>
      </c>
      <c r="S189" s="5" t="s">
        <v>63</v>
      </c>
      <c r="T189" s="5" t="s">
        <v>63</v>
      </c>
      <c r="U189" s="5" t="s">
        <v>63</v>
      </c>
      <c r="V189" s="5" t="s">
        <v>63</v>
      </c>
      <c r="W189" s="5" t="s">
        <v>63</v>
      </c>
      <c r="X189" s="5" t="s">
        <v>63</v>
      </c>
      <c r="Y189" s="5" t="s">
        <v>63</v>
      </c>
      <c r="Z189" s="5" t="s">
        <v>63</v>
      </c>
      <c r="AA189" s="5" t="s">
        <v>63</v>
      </c>
      <c r="AB189" s="5" t="s">
        <v>63</v>
      </c>
      <c r="AC189" s="5" t="s">
        <v>63</v>
      </c>
      <c r="AD189" s="5" t="s">
        <v>63</v>
      </c>
      <c r="AE189" s="5" t="s">
        <v>63</v>
      </c>
      <c r="AF189" s="5" t="s">
        <v>63</v>
      </c>
      <c r="AG189" s="5" t="s">
        <v>63</v>
      </c>
      <c r="AH189" s="5" t="s">
        <v>63</v>
      </c>
      <c r="AI189" s="5" t="s">
        <v>63</v>
      </c>
      <c r="AJ189" s="14" t="s">
        <v>63</v>
      </c>
      <c r="AK189" s="5" t="s">
        <v>63</v>
      </c>
      <c r="AL189" s="5" t="s">
        <v>63</v>
      </c>
      <c r="AM189" s="5" t="s">
        <v>63</v>
      </c>
      <c r="AN189" s="5" t="s">
        <v>63</v>
      </c>
      <c r="AO189" s="5" t="s">
        <v>63</v>
      </c>
      <c r="AP189" s="5" t="s">
        <v>63</v>
      </c>
      <c r="AQ189" s="5" t="s">
        <v>63</v>
      </c>
      <c r="AR189" s="5" t="s">
        <v>63</v>
      </c>
      <c r="AS189" s="8" t="s">
        <v>63</v>
      </c>
      <c r="AT189" s="5" t="s">
        <v>63</v>
      </c>
      <c r="AU189" s="5" t="s">
        <v>63</v>
      </c>
      <c r="AV189" s="5" t="s">
        <v>63</v>
      </c>
      <c r="AW189" s="5" t="s">
        <v>63</v>
      </c>
      <c r="AX189" s="5" t="s">
        <v>63</v>
      </c>
      <c r="AY189" s="5" t="s">
        <v>63</v>
      </c>
      <c r="AZ189" s="5" t="s">
        <v>63</v>
      </c>
      <c r="BA189" s="5" t="s">
        <v>63</v>
      </c>
      <c r="BB189" s="5" t="s">
        <v>63</v>
      </c>
      <c r="BC189" s="5" t="s">
        <v>63</v>
      </c>
      <c r="BD189" s="5" t="s">
        <v>63</v>
      </c>
    </row>
    <row r="190" spans="1:71">
      <c r="A190" s="1" t="str">
        <f t="shared" si="2"/>
        <v>Yes</v>
      </c>
      <c r="B190" s="1" t="s">
        <v>348</v>
      </c>
      <c r="C190" s="1" t="s">
        <v>425</v>
      </c>
      <c r="E190" s="1" t="s">
        <v>426</v>
      </c>
      <c r="F190" s="2" t="s">
        <v>63</v>
      </c>
      <c r="G190" s="5" t="s">
        <v>63</v>
      </c>
      <c r="H190" s="5" t="s">
        <v>63</v>
      </c>
      <c r="I190" s="5" t="s">
        <v>63</v>
      </c>
      <c r="J190" s="5" t="s">
        <v>63</v>
      </c>
      <c r="K190" s="5" t="s">
        <v>63</v>
      </c>
      <c r="L190" s="5" t="s">
        <v>63</v>
      </c>
      <c r="M190" s="5" t="s">
        <v>63</v>
      </c>
      <c r="N190" s="5" t="s">
        <v>63</v>
      </c>
      <c r="O190" s="5" t="s">
        <v>63</v>
      </c>
      <c r="P190" s="5" t="s">
        <v>63</v>
      </c>
      <c r="Q190" s="5" t="s">
        <v>63</v>
      </c>
      <c r="R190" s="5" t="s">
        <v>63</v>
      </c>
      <c r="S190" s="5" t="s">
        <v>63</v>
      </c>
      <c r="T190" s="5" t="s">
        <v>63</v>
      </c>
      <c r="U190" s="5" t="s">
        <v>63</v>
      </c>
      <c r="V190" s="5" t="s">
        <v>63</v>
      </c>
      <c r="W190" s="5" t="s">
        <v>63</v>
      </c>
      <c r="X190" s="5" t="s">
        <v>63</v>
      </c>
      <c r="Y190" s="5" t="s">
        <v>63</v>
      </c>
      <c r="Z190" s="5" t="s">
        <v>63</v>
      </c>
      <c r="AA190" s="5" t="s">
        <v>63</v>
      </c>
      <c r="AB190" s="5" t="s">
        <v>63</v>
      </c>
      <c r="AC190" s="5" t="s">
        <v>63</v>
      </c>
      <c r="AD190" s="5" t="s">
        <v>63</v>
      </c>
      <c r="AE190" s="5" t="s">
        <v>63</v>
      </c>
      <c r="AF190" s="5" t="s">
        <v>63</v>
      </c>
      <c r="AG190" s="5" t="s">
        <v>63</v>
      </c>
      <c r="AH190" s="5" t="s">
        <v>63</v>
      </c>
      <c r="AI190" s="5" t="s">
        <v>63</v>
      </c>
      <c r="AJ190" s="14" t="s">
        <v>63</v>
      </c>
      <c r="AK190" s="5" t="s">
        <v>63</v>
      </c>
      <c r="AL190" s="5" t="s">
        <v>63</v>
      </c>
      <c r="AM190" s="5" t="s">
        <v>63</v>
      </c>
      <c r="AN190" s="5" t="s">
        <v>63</v>
      </c>
      <c r="AO190" s="5" t="s">
        <v>63</v>
      </c>
      <c r="AP190" s="5" t="s">
        <v>63</v>
      </c>
      <c r="AQ190" s="5" t="s">
        <v>63</v>
      </c>
      <c r="AR190" s="5" t="s">
        <v>63</v>
      </c>
      <c r="AS190" s="8" t="s">
        <v>63</v>
      </c>
      <c r="AT190" s="5" t="s">
        <v>63</v>
      </c>
      <c r="AU190" s="5" t="s">
        <v>63</v>
      </c>
      <c r="AV190" s="5" t="s">
        <v>63</v>
      </c>
      <c r="AW190" s="5" t="s">
        <v>63</v>
      </c>
      <c r="AX190" s="5" t="s">
        <v>63</v>
      </c>
      <c r="AY190" s="5" t="s">
        <v>63</v>
      </c>
      <c r="AZ190" s="5" t="s">
        <v>63</v>
      </c>
      <c r="BA190" s="5" t="s">
        <v>63</v>
      </c>
      <c r="BB190" s="5" t="s">
        <v>63</v>
      </c>
      <c r="BC190" s="5" t="s">
        <v>63</v>
      </c>
      <c r="BD190" s="5" t="s">
        <v>63</v>
      </c>
    </row>
    <row r="191" spans="1:71">
      <c r="A191" s="1" t="str">
        <f t="shared" si="2"/>
        <v>No</v>
      </c>
      <c r="B191" s="1" t="s">
        <v>59</v>
      </c>
      <c r="C191" s="1" t="s">
        <v>427</v>
      </c>
      <c r="D191" s="11" t="s">
        <v>77</v>
      </c>
      <c r="E191" s="1" t="s">
        <v>428</v>
      </c>
      <c r="F191" s="2">
        <v>3</v>
      </c>
      <c r="G191" s="5" t="s">
        <v>63</v>
      </c>
      <c r="H191" s="5" t="s">
        <v>63</v>
      </c>
      <c r="I191" s="5" t="s">
        <v>63</v>
      </c>
      <c r="J191" s="5" t="s">
        <v>63</v>
      </c>
      <c r="K191" s="5" t="s">
        <v>63</v>
      </c>
      <c r="L191" s="5" t="s">
        <v>63</v>
      </c>
      <c r="M191" s="5" t="s">
        <v>63</v>
      </c>
      <c r="N191" s="5" t="s">
        <v>63</v>
      </c>
      <c r="O191" s="5" t="s">
        <v>63</v>
      </c>
      <c r="P191" s="5" t="s">
        <v>63</v>
      </c>
      <c r="Q191" s="5" t="s">
        <v>63</v>
      </c>
      <c r="R191" s="5" t="s">
        <v>63</v>
      </c>
      <c r="S191" s="5" t="s">
        <v>63</v>
      </c>
      <c r="T191" s="5" t="s">
        <v>63</v>
      </c>
      <c r="U191" s="5" t="s">
        <v>63</v>
      </c>
      <c r="V191" s="5" t="s">
        <v>63</v>
      </c>
      <c r="W191" s="5" t="s">
        <v>63</v>
      </c>
      <c r="X191" s="5" t="s">
        <v>63</v>
      </c>
      <c r="Y191" s="5" t="s">
        <v>63</v>
      </c>
      <c r="Z191" s="5" t="s">
        <v>63</v>
      </c>
      <c r="AA191" s="5" t="s">
        <v>63</v>
      </c>
      <c r="AB191" s="5" t="s">
        <v>63</v>
      </c>
      <c r="AC191" s="5" t="s">
        <v>63</v>
      </c>
      <c r="AD191" s="5" t="s">
        <v>63</v>
      </c>
      <c r="AE191" s="5" t="s">
        <v>63</v>
      </c>
      <c r="AF191" s="5" t="s">
        <v>63</v>
      </c>
      <c r="AG191" s="5" t="s">
        <v>63</v>
      </c>
      <c r="AH191" s="5" t="s">
        <v>63</v>
      </c>
      <c r="AI191" s="5" t="s">
        <v>63</v>
      </c>
      <c r="AJ191" s="14" t="s">
        <v>63</v>
      </c>
      <c r="AK191" s="5" t="s">
        <v>63</v>
      </c>
      <c r="AL191" s="5" t="s">
        <v>63</v>
      </c>
      <c r="AM191" s="5" t="s">
        <v>63</v>
      </c>
      <c r="AN191" s="5" t="s">
        <v>63</v>
      </c>
      <c r="AO191" s="5" t="s">
        <v>63</v>
      </c>
      <c r="AP191" s="5" t="s">
        <v>63</v>
      </c>
      <c r="AQ191" s="5" t="s">
        <v>63</v>
      </c>
      <c r="AR191" s="5" t="s">
        <v>63</v>
      </c>
      <c r="AS191" s="8" t="s">
        <v>63</v>
      </c>
      <c r="AT191" s="5" t="s">
        <v>63</v>
      </c>
      <c r="AU191" s="5" t="s">
        <v>63</v>
      </c>
      <c r="AV191" s="5" t="s">
        <v>63</v>
      </c>
      <c r="AW191" s="5" t="s">
        <v>63</v>
      </c>
      <c r="AX191" s="5" t="s">
        <v>63</v>
      </c>
      <c r="AY191" s="5" t="s">
        <v>63</v>
      </c>
      <c r="AZ191" s="5" t="s">
        <v>63</v>
      </c>
      <c r="BA191" s="5" t="s">
        <v>63</v>
      </c>
      <c r="BB191" s="5" t="s">
        <v>63</v>
      </c>
      <c r="BC191" s="5" t="s">
        <v>63</v>
      </c>
      <c r="BD191" s="5" t="s">
        <v>63</v>
      </c>
    </row>
    <row r="192" spans="1:71">
      <c r="A192" s="1" t="str">
        <f t="shared" si="2"/>
        <v>No</v>
      </c>
      <c r="B192" s="1" t="s">
        <v>59</v>
      </c>
      <c r="C192" s="1" t="s">
        <v>429</v>
      </c>
      <c r="D192" s="11" t="s">
        <v>314</v>
      </c>
      <c r="E192" s="1" t="s">
        <v>430</v>
      </c>
      <c r="F192" s="2">
        <v>3</v>
      </c>
      <c r="G192" s="5" t="s">
        <v>63</v>
      </c>
      <c r="H192" s="5" t="s">
        <v>63</v>
      </c>
      <c r="I192" s="5" t="s">
        <v>63</v>
      </c>
      <c r="J192" s="5" t="s">
        <v>63</v>
      </c>
      <c r="K192" s="5" t="s">
        <v>63</v>
      </c>
      <c r="L192" s="5" t="s">
        <v>63</v>
      </c>
      <c r="M192" s="5" t="s">
        <v>63</v>
      </c>
      <c r="N192" s="5" t="s">
        <v>63</v>
      </c>
      <c r="O192" s="5" t="s">
        <v>63</v>
      </c>
      <c r="P192" s="5" t="s">
        <v>63</v>
      </c>
      <c r="Q192" s="5" t="s">
        <v>63</v>
      </c>
      <c r="R192" s="5" t="s">
        <v>63</v>
      </c>
      <c r="S192" s="5" t="s">
        <v>63</v>
      </c>
      <c r="T192" s="5" t="s">
        <v>63</v>
      </c>
      <c r="U192" s="5" t="s">
        <v>63</v>
      </c>
      <c r="V192" s="5" t="s">
        <v>63</v>
      </c>
      <c r="W192" s="5" t="s">
        <v>63</v>
      </c>
      <c r="X192" s="5" t="s">
        <v>63</v>
      </c>
      <c r="Y192" s="5" t="s">
        <v>63</v>
      </c>
      <c r="Z192" s="5" t="s">
        <v>63</v>
      </c>
      <c r="AA192" s="5" t="s">
        <v>63</v>
      </c>
      <c r="AB192" s="5" t="s">
        <v>63</v>
      </c>
      <c r="AC192" s="5" t="s">
        <v>63</v>
      </c>
      <c r="AD192" s="5" t="s">
        <v>63</v>
      </c>
      <c r="AE192" s="5" t="s">
        <v>63</v>
      </c>
      <c r="AF192" s="5" t="s">
        <v>63</v>
      </c>
      <c r="AG192" s="5" t="s">
        <v>63</v>
      </c>
      <c r="AH192" s="5" t="s">
        <v>64</v>
      </c>
      <c r="AI192" s="5" t="s">
        <v>63</v>
      </c>
      <c r="AJ192" s="14" t="s">
        <v>63</v>
      </c>
      <c r="AK192" s="5" t="s">
        <v>63</v>
      </c>
      <c r="AL192" s="5" t="s">
        <v>63</v>
      </c>
      <c r="AM192" s="5" t="s">
        <v>63</v>
      </c>
      <c r="AN192" s="5" t="s">
        <v>63</v>
      </c>
      <c r="AO192" s="5" t="s">
        <v>63</v>
      </c>
      <c r="AP192" s="5" t="s">
        <v>63</v>
      </c>
      <c r="AQ192" s="5" t="s">
        <v>63</v>
      </c>
      <c r="AR192" s="5" t="s">
        <v>63</v>
      </c>
      <c r="AS192" s="5" t="s">
        <v>63</v>
      </c>
      <c r="AT192" s="5" t="s">
        <v>63</v>
      </c>
      <c r="AU192" s="5" t="s">
        <v>63</v>
      </c>
      <c r="AV192" s="5" t="s">
        <v>63</v>
      </c>
      <c r="AW192" s="5" t="s">
        <v>63</v>
      </c>
      <c r="AX192" s="5" t="s">
        <v>63</v>
      </c>
      <c r="AY192" s="5" t="s">
        <v>63</v>
      </c>
      <c r="AZ192" s="5" t="s">
        <v>63</v>
      </c>
      <c r="BA192" s="5" t="s">
        <v>63</v>
      </c>
      <c r="BB192" s="5" t="s">
        <v>63</v>
      </c>
      <c r="BC192" s="5" t="s">
        <v>63</v>
      </c>
      <c r="BD192" s="5" t="s">
        <v>63</v>
      </c>
      <c r="BK192" s="5" t="s">
        <v>64</v>
      </c>
    </row>
    <row r="193" spans="1:72">
      <c r="A193" s="1" t="str">
        <f t="shared" si="2"/>
        <v>No</v>
      </c>
      <c r="B193" s="1" t="s">
        <v>59</v>
      </c>
      <c r="C193" s="1" t="s">
        <v>431</v>
      </c>
      <c r="D193" s="11" t="s">
        <v>314</v>
      </c>
      <c r="E193" s="1" t="s">
        <v>432</v>
      </c>
      <c r="F193" s="2">
        <v>3</v>
      </c>
      <c r="G193" s="5" t="s">
        <v>63</v>
      </c>
      <c r="H193" s="5" t="s">
        <v>63</v>
      </c>
      <c r="I193" s="5" t="s">
        <v>63</v>
      </c>
      <c r="J193" s="5" t="s">
        <v>63</v>
      </c>
      <c r="K193" s="5" t="s">
        <v>63</v>
      </c>
      <c r="L193" s="5" t="s">
        <v>63</v>
      </c>
      <c r="M193" s="5" t="s">
        <v>63</v>
      </c>
      <c r="N193" s="5" t="s">
        <v>63</v>
      </c>
      <c r="O193" s="5" t="s">
        <v>63</v>
      </c>
      <c r="P193" s="5" t="s">
        <v>63</v>
      </c>
      <c r="Q193" s="5" t="s">
        <v>63</v>
      </c>
      <c r="R193" s="5" t="s">
        <v>63</v>
      </c>
      <c r="S193" s="5" t="s">
        <v>63</v>
      </c>
      <c r="T193" s="5" t="s">
        <v>63</v>
      </c>
      <c r="U193" s="5" t="s">
        <v>63</v>
      </c>
      <c r="V193" s="5" t="s">
        <v>63</v>
      </c>
      <c r="W193" s="5" t="s">
        <v>63</v>
      </c>
      <c r="X193" s="5" t="s">
        <v>63</v>
      </c>
      <c r="Y193" s="5" t="s">
        <v>63</v>
      </c>
      <c r="Z193" s="5" t="s">
        <v>63</v>
      </c>
      <c r="AA193" s="5" t="s">
        <v>63</v>
      </c>
      <c r="AB193" s="5" t="s">
        <v>63</v>
      </c>
      <c r="AC193" s="5" t="s">
        <v>63</v>
      </c>
      <c r="AD193" s="5" t="s">
        <v>63</v>
      </c>
      <c r="AE193" s="5" t="s">
        <v>63</v>
      </c>
      <c r="AF193" s="5" t="s">
        <v>63</v>
      </c>
      <c r="AG193" s="5" t="s">
        <v>63</v>
      </c>
      <c r="AH193" s="5" t="s">
        <v>64</v>
      </c>
      <c r="AI193" s="5" t="s">
        <v>63</v>
      </c>
      <c r="AJ193" s="14" t="s">
        <v>63</v>
      </c>
      <c r="AK193" s="5" t="s">
        <v>63</v>
      </c>
      <c r="AL193" s="5" t="s">
        <v>63</v>
      </c>
      <c r="AM193" s="5" t="s">
        <v>63</v>
      </c>
      <c r="AN193" s="5" t="s">
        <v>63</v>
      </c>
      <c r="AO193" s="5" t="s">
        <v>63</v>
      </c>
      <c r="AP193" s="5" t="s">
        <v>63</v>
      </c>
      <c r="AQ193" s="5" t="s">
        <v>63</v>
      </c>
      <c r="AR193" s="5" t="s">
        <v>63</v>
      </c>
      <c r="AS193" s="5" t="s">
        <v>63</v>
      </c>
      <c r="AT193" s="5" t="s">
        <v>63</v>
      </c>
      <c r="AU193" s="5" t="s">
        <v>63</v>
      </c>
      <c r="AV193" s="5" t="s">
        <v>63</v>
      </c>
      <c r="AW193" s="5" t="s">
        <v>63</v>
      </c>
      <c r="AX193" s="5" t="s">
        <v>63</v>
      </c>
      <c r="AY193" s="5" t="s">
        <v>63</v>
      </c>
      <c r="AZ193" s="5" t="s">
        <v>63</v>
      </c>
      <c r="BA193" s="5" t="s">
        <v>63</v>
      </c>
      <c r="BB193" s="5" t="s">
        <v>63</v>
      </c>
      <c r="BC193" s="5" t="s">
        <v>63</v>
      </c>
      <c r="BD193" s="5" t="s">
        <v>63</v>
      </c>
      <c r="BK193" s="5" t="s">
        <v>64</v>
      </c>
    </row>
    <row r="194" spans="1:72">
      <c r="A194" s="1" t="str">
        <f t="shared" si="2"/>
        <v>No</v>
      </c>
      <c r="B194" s="1" t="s">
        <v>59</v>
      </c>
      <c r="C194" s="1" t="s">
        <v>433</v>
      </c>
      <c r="D194" s="11" t="s">
        <v>314</v>
      </c>
      <c r="E194" s="1" t="s">
        <v>434</v>
      </c>
      <c r="F194" s="2">
        <v>3</v>
      </c>
      <c r="G194" s="5" t="s">
        <v>63</v>
      </c>
      <c r="H194" s="5" t="s">
        <v>63</v>
      </c>
      <c r="I194" s="5" t="s">
        <v>63</v>
      </c>
      <c r="J194" s="5" t="s">
        <v>63</v>
      </c>
      <c r="K194" s="5" t="s">
        <v>63</v>
      </c>
      <c r="L194" s="5" t="s">
        <v>63</v>
      </c>
      <c r="M194" s="5" t="s">
        <v>63</v>
      </c>
      <c r="N194" s="5" t="s">
        <v>63</v>
      </c>
      <c r="O194" s="5" t="s">
        <v>63</v>
      </c>
      <c r="P194" s="5" t="s">
        <v>63</v>
      </c>
      <c r="Q194" s="5" t="s">
        <v>63</v>
      </c>
      <c r="R194" s="5" t="s">
        <v>63</v>
      </c>
      <c r="S194" s="5" t="s">
        <v>63</v>
      </c>
      <c r="T194" s="5" t="s">
        <v>63</v>
      </c>
      <c r="U194" s="5" t="s">
        <v>63</v>
      </c>
      <c r="V194" s="5" t="s">
        <v>63</v>
      </c>
      <c r="W194" s="5" t="s">
        <v>63</v>
      </c>
      <c r="X194" s="5" t="s">
        <v>63</v>
      </c>
      <c r="Y194" s="5" t="s">
        <v>63</v>
      </c>
      <c r="Z194" s="5" t="s">
        <v>63</v>
      </c>
      <c r="AA194" s="5" t="s">
        <v>63</v>
      </c>
      <c r="AB194" s="5" t="s">
        <v>63</v>
      </c>
      <c r="AC194" s="5" t="s">
        <v>63</v>
      </c>
      <c r="AD194" s="5" t="s">
        <v>63</v>
      </c>
      <c r="AE194" s="5" t="s">
        <v>63</v>
      </c>
      <c r="AF194" s="5" t="s">
        <v>63</v>
      </c>
      <c r="AG194" s="5" t="s">
        <v>63</v>
      </c>
      <c r="AH194" s="5" t="s">
        <v>64</v>
      </c>
      <c r="AI194" s="5" t="s">
        <v>63</v>
      </c>
      <c r="AJ194" s="14" t="s">
        <v>63</v>
      </c>
      <c r="AK194" s="5" t="s">
        <v>63</v>
      </c>
      <c r="AL194" s="5" t="s">
        <v>63</v>
      </c>
      <c r="AM194" s="5" t="s">
        <v>63</v>
      </c>
      <c r="AN194" s="5" t="s">
        <v>63</v>
      </c>
      <c r="AO194" s="5" t="s">
        <v>63</v>
      </c>
      <c r="AP194" s="5" t="s">
        <v>63</v>
      </c>
      <c r="AQ194" s="5" t="s">
        <v>63</v>
      </c>
      <c r="AR194" s="5" t="s">
        <v>63</v>
      </c>
      <c r="AS194" s="5" t="s">
        <v>63</v>
      </c>
      <c r="AT194" s="5" t="s">
        <v>63</v>
      </c>
      <c r="AU194" s="5" t="s">
        <v>63</v>
      </c>
      <c r="AV194" s="5" t="s">
        <v>63</v>
      </c>
      <c r="AW194" s="5" t="s">
        <v>63</v>
      </c>
      <c r="AX194" s="5" t="s">
        <v>63</v>
      </c>
      <c r="AY194" s="5" t="s">
        <v>63</v>
      </c>
      <c r="AZ194" s="5" t="s">
        <v>63</v>
      </c>
      <c r="BA194" s="5" t="s">
        <v>63</v>
      </c>
      <c r="BB194" s="5" t="s">
        <v>63</v>
      </c>
      <c r="BC194" s="5" t="s">
        <v>63</v>
      </c>
      <c r="BD194" s="5" t="s">
        <v>63</v>
      </c>
      <c r="BK194" s="5" t="s">
        <v>64</v>
      </c>
    </row>
    <row r="195" spans="1:72">
      <c r="A195" s="1" t="str">
        <f t="shared" si="2"/>
        <v>No</v>
      </c>
      <c r="B195" s="1" t="s">
        <v>59</v>
      </c>
      <c r="C195" s="1" t="s">
        <v>435</v>
      </c>
      <c r="D195" s="11" t="s">
        <v>314</v>
      </c>
      <c r="E195" s="1" t="s">
        <v>436</v>
      </c>
      <c r="F195" s="2">
        <v>3</v>
      </c>
      <c r="G195" s="5" t="s">
        <v>63</v>
      </c>
      <c r="H195" s="5" t="s">
        <v>63</v>
      </c>
      <c r="I195" s="5" t="s">
        <v>63</v>
      </c>
      <c r="J195" s="5" t="s">
        <v>63</v>
      </c>
      <c r="K195" s="5" t="s">
        <v>63</v>
      </c>
      <c r="L195" s="5" t="s">
        <v>63</v>
      </c>
      <c r="M195" s="5" t="s">
        <v>63</v>
      </c>
      <c r="N195" s="5" t="s">
        <v>63</v>
      </c>
      <c r="O195" s="5" t="s">
        <v>63</v>
      </c>
      <c r="P195" s="5" t="s">
        <v>63</v>
      </c>
      <c r="Q195" s="5" t="s">
        <v>63</v>
      </c>
      <c r="R195" s="5" t="s">
        <v>63</v>
      </c>
      <c r="S195" s="5" t="s">
        <v>63</v>
      </c>
      <c r="T195" s="5" t="s">
        <v>63</v>
      </c>
      <c r="U195" s="5" t="s">
        <v>63</v>
      </c>
      <c r="V195" s="5" t="s">
        <v>63</v>
      </c>
      <c r="W195" s="5" t="s">
        <v>63</v>
      </c>
      <c r="X195" s="5" t="s">
        <v>63</v>
      </c>
      <c r="Y195" s="5" t="s">
        <v>63</v>
      </c>
      <c r="Z195" s="5" t="s">
        <v>63</v>
      </c>
      <c r="AA195" s="5" t="s">
        <v>63</v>
      </c>
      <c r="AB195" s="5" t="s">
        <v>63</v>
      </c>
      <c r="AC195" s="5" t="s">
        <v>63</v>
      </c>
      <c r="AD195" s="5" t="s">
        <v>63</v>
      </c>
      <c r="AE195" s="5" t="s">
        <v>63</v>
      </c>
      <c r="AF195" s="5" t="s">
        <v>63</v>
      </c>
      <c r="AG195" s="5" t="s">
        <v>63</v>
      </c>
      <c r="AH195" s="5" t="s">
        <v>64</v>
      </c>
      <c r="AI195" s="5" t="s">
        <v>63</v>
      </c>
      <c r="AJ195" s="14" t="s">
        <v>63</v>
      </c>
      <c r="AK195" s="5" t="s">
        <v>63</v>
      </c>
      <c r="AL195" s="5" t="s">
        <v>63</v>
      </c>
      <c r="AM195" s="5" t="s">
        <v>63</v>
      </c>
      <c r="AN195" s="5" t="s">
        <v>63</v>
      </c>
      <c r="AO195" s="5" t="s">
        <v>63</v>
      </c>
      <c r="AP195" s="5" t="s">
        <v>63</v>
      </c>
      <c r="AQ195" s="5" t="s">
        <v>63</v>
      </c>
      <c r="AR195" s="5" t="s">
        <v>63</v>
      </c>
      <c r="AS195" s="5" t="s">
        <v>63</v>
      </c>
      <c r="AT195" s="5" t="s">
        <v>63</v>
      </c>
      <c r="AU195" s="5" t="s">
        <v>63</v>
      </c>
      <c r="AV195" s="5" t="s">
        <v>63</v>
      </c>
      <c r="AW195" s="5" t="s">
        <v>63</v>
      </c>
      <c r="AX195" s="5" t="s">
        <v>63</v>
      </c>
      <c r="AY195" s="5" t="s">
        <v>63</v>
      </c>
      <c r="AZ195" s="5" t="s">
        <v>63</v>
      </c>
      <c r="BA195" s="5" t="s">
        <v>63</v>
      </c>
      <c r="BB195" s="5" t="s">
        <v>63</v>
      </c>
      <c r="BC195" s="5" t="s">
        <v>63</v>
      </c>
      <c r="BD195" s="5" t="s">
        <v>63</v>
      </c>
      <c r="BK195" s="5" t="s">
        <v>64</v>
      </c>
    </row>
    <row r="196" spans="1:72">
      <c r="A196" s="1" t="str">
        <f t="shared" ref="A196:A255" si="3">IF(B196="uncategorized","No","Yes")</f>
        <v>No</v>
      </c>
      <c r="B196" s="1" t="s">
        <v>59</v>
      </c>
      <c r="C196" s="1" t="s">
        <v>437</v>
      </c>
      <c r="D196" s="11" t="s">
        <v>314</v>
      </c>
      <c r="E196" s="1" t="s">
        <v>438</v>
      </c>
      <c r="F196" s="2">
        <v>3</v>
      </c>
      <c r="G196" s="5" t="s">
        <v>63</v>
      </c>
      <c r="H196" s="5" t="s">
        <v>63</v>
      </c>
      <c r="I196" s="5" t="s">
        <v>63</v>
      </c>
      <c r="J196" s="5" t="s">
        <v>63</v>
      </c>
      <c r="K196" s="5" t="s">
        <v>63</v>
      </c>
      <c r="L196" s="5" t="s">
        <v>63</v>
      </c>
      <c r="M196" s="5" t="s">
        <v>63</v>
      </c>
      <c r="N196" s="5" t="s">
        <v>63</v>
      </c>
      <c r="O196" s="5" t="s">
        <v>63</v>
      </c>
      <c r="P196" s="5" t="s">
        <v>63</v>
      </c>
      <c r="Q196" s="5" t="s">
        <v>63</v>
      </c>
      <c r="R196" s="5" t="s">
        <v>63</v>
      </c>
      <c r="S196" s="5" t="s">
        <v>63</v>
      </c>
      <c r="T196" s="5" t="s">
        <v>63</v>
      </c>
      <c r="U196" s="5" t="s">
        <v>63</v>
      </c>
      <c r="V196" s="5" t="s">
        <v>63</v>
      </c>
      <c r="W196" s="5" t="s">
        <v>63</v>
      </c>
      <c r="X196" s="5" t="s">
        <v>63</v>
      </c>
      <c r="Y196" s="5" t="s">
        <v>63</v>
      </c>
      <c r="Z196" s="5" t="s">
        <v>63</v>
      </c>
      <c r="AA196" s="5" t="s">
        <v>63</v>
      </c>
      <c r="AB196" s="5" t="s">
        <v>63</v>
      </c>
      <c r="AC196" s="5" t="s">
        <v>63</v>
      </c>
      <c r="AD196" s="5" t="s">
        <v>63</v>
      </c>
      <c r="AE196" s="5" t="s">
        <v>63</v>
      </c>
      <c r="AF196" s="5" t="s">
        <v>63</v>
      </c>
      <c r="AG196" s="5" t="s">
        <v>63</v>
      </c>
      <c r="AH196" s="5" t="s">
        <v>64</v>
      </c>
      <c r="AI196" s="5" t="s">
        <v>63</v>
      </c>
      <c r="AJ196" s="14" t="s">
        <v>63</v>
      </c>
      <c r="AK196" s="5" t="s">
        <v>63</v>
      </c>
      <c r="AL196" s="5" t="s">
        <v>63</v>
      </c>
      <c r="AM196" s="5" t="s">
        <v>63</v>
      </c>
      <c r="AN196" s="5" t="s">
        <v>63</v>
      </c>
      <c r="AO196" s="5" t="s">
        <v>63</v>
      </c>
      <c r="AP196" s="5" t="s">
        <v>63</v>
      </c>
      <c r="AQ196" s="5" t="s">
        <v>63</v>
      </c>
      <c r="AR196" s="5" t="s">
        <v>63</v>
      </c>
      <c r="AS196" s="5" t="s">
        <v>63</v>
      </c>
      <c r="AT196" s="5" t="s">
        <v>63</v>
      </c>
      <c r="AU196" s="5" t="s">
        <v>63</v>
      </c>
      <c r="AV196" s="5" t="s">
        <v>63</v>
      </c>
      <c r="AW196" s="5" t="s">
        <v>63</v>
      </c>
      <c r="AX196" s="5" t="s">
        <v>64</v>
      </c>
      <c r="AY196" s="5" t="s">
        <v>63</v>
      </c>
      <c r="AZ196" s="5" t="s">
        <v>63</v>
      </c>
      <c r="BA196" s="5" t="s">
        <v>63</v>
      </c>
      <c r="BB196" s="5" t="s">
        <v>63</v>
      </c>
      <c r="BC196" s="5" t="s">
        <v>63</v>
      </c>
      <c r="BD196" s="5" t="s">
        <v>63</v>
      </c>
      <c r="BK196" s="5" t="s">
        <v>64</v>
      </c>
      <c r="BR196" s="5" t="s">
        <v>64</v>
      </c>
    </row>
    <row r="197" spans="1:72">
      <c r="A197" s="1" t="str">
        <f t="shared" si="3"/>
        <v>No</v>
      </c>
      <c r="B197" s="1" t="s">
        <v>59</v>
      </c>
      <c r="C197" s="1" t="s">
        <v>439</v>
      </c>
      <c r="D197" s="11" t="s">
        <v>314</v>
      </c>
      <c r="E197" s="1" t="s">
        <v>440</v>
      </c>
      <c r="F197" s="2">
        <v>3</v>
      </c>
      <c r="G197" s="5" t="s">
        <v>63</v>
      </c>
      <c r="H197" s="5" t="s">
        <v>63</v>
      </c>
      <c r="I197" s="5" t="s">
        <v>63</v>
      </c>
      <c r="J197" s="5" t="s">
        <v>63</v>
      </c>
      <c r="K197" s="5" t="s">
        <v>63</v>
      </c>
      <c r="L197" s="5" t="s">
        <v>63</v>
      </c>
      <c r="M197" s="5" t="s">
        <v>63</v>
      </c>
      <c r="N197" s="5" t="s">
        <v>63</v>
      </c>
      <c r="O197" s="5" t="s">
        <v>63</v>
      </c>
      <c r="P197" s="5" t="s">
        <v>63</v>
      </c>
      <c r="Q197" s="5" t="s">
        <v>63</v>
      </c>
      <c r="R197" s="5" t="s">
        <v>63</v>
      </c>
      <c r="S197" s="5" t="s">
        <v>63</v>
      </c>
      <c r="T197" s="5" t="s">
        <v>63</v>
      </c>
      <c r="U197" s="5" t="s">
        <v>63</v>
      </c>
      <c r="V197" s="5" t="s">
        <v>63</v>
      </c>
      <c r="W197" s="5" t="s">
        <v>63</v>
      </c>
      <c r="X197" s="5" t="s">
        <v>63</v>
      </c>
      <c r="Y197" s="5" t="s">
        <v>63</v>
      </c>
      <c r="Z197" s="5" t="s">
        <v>63</v>
      </c>
      <c r="AA197" s="5" t="s">
        <v>63</v>
      </c>
      <c r="AB197" s="5" t="s">
        <v>63</v>
      </c>
      <c r="AC197" s="5" t="s">
        <v>63</v>
      </c>
      <c r="AD197" s="5" t="s">
        <v>63</v>
      </c>
      <c r="AE197" s="5" t="s">
        <v>63</v>
      </c>
      <c r="AF197" s="5" t="s">
        <v>63</v>
      </c>
      <c r="AG197" s="5" t="s">
        <v>63</v>
      </c>
      <c r="AH197" s="5" t="s">
        <v>64</v>
      </c>
      <c r="AI197" s="5" t="s">
        <v>63</v>
      </c>
      <c r="AJ197" s="14" t="s">
        <v>63</v>
      </c>
      <c r="AK197" s="5" t="s">
        <v>63</v>
      </c>
      <c r="AL197" s="5" t="s">
        <v>63</v>
      </c>
      <c r="AM197" s="5" t="s">
        <v>63</v>
      </c>
      <c r="AN197" s="5" t="s">
        <v>63</v>
      </c>
      <c r="AO197" s="5" t="s">
        <v>63</v>
      </c>
      <c r="AP197" s="5" t="s">
        <v>63</v>
      </c>
      <c r="AQ197" s="5" t="s">
        <v>63</v>
      </c>
      <c r="AR197" s="5" t="s">
        <v>63</v>
      </c>
      <c r="AS197" s="5" t="s">
        <v>63</v>
      </c>
      <c r="AT197" s="5" t="s">
        <v>63</v>
      </c>
      <c r="AU197" s="5" t="s">
        <v>63</v>
      </c>
      <c r="AV197" s="5" t="s">
        <v>63</v>
      </c>
      <c r="AW197" s="5" t="s">
        <v>63</v>
      </c>
      <c r="AX197" s="5" t="s">
        <v>64</v>
      </c>
      <c r="AY197" s="5" t="s">
        <v>63</v>
      </c>
      <c r="AZ197" s="5" t="s">
        <v>63</v>
      </c>
      <c r="BA197" s="5" t="s">
        <v>63</v>
      </c>
      <c r="BB197" s="5" t="s">
        <v>63</v>
      </c>
      <c r="BC197" s="5" t="s">
        <v>63</v>
      </c>
      <c r="BD197" s="5" t="s">
        <v>63</v>
      </c>
      <c r="BK197" s="5" t="s">
        <v>64</v>
      </c>
      <c r="BR197" s="5" t="s">
        <v>64</v>
      </c>
    </row>
    <row r="198" spans="1:72">
      <c r="A198" s="1" t="str">
        <f t="shared" si="3"/>
        <v>No</v>
      </c>
      <c r="B198" s="1" t="s">
        <v>59</v>
      </c>
      <c r="C198" s="1" t="s">
        <v>441</v>
      </c>
      <c r="D198" s="11" t="s">
        <v>314</v>
      </c>
      <c r="E198" s="1" t="s">
        <v>442</v>
      </c>
      <c r="F198" s="2">
        <v>3</v>
      </c>
      <c r="G198" s="5" t="s">
        <v>63</v>
      </c>
      <c r="H198" s="5" t="s">
        <v>63</v>
      </c>
      <c r="I198" s="5" t="s">
        <v>63</v>
      </c>
      <c r="J198" s="5" t="s">
        <v>63</v>
      </c>
      <c r="K198" s="5" t="s">
        <v>63</v>
      </c>
      <c r="L198" s="5" t="s">
        <v>63</v>
      </c>
      <c r="M198" s="5" t="s">
        <v>63</v>
      </c>
      <c r="N198" s="5" t="s">
        <v>63</v>
      </c>
      <c r="O198" s="5" t="s">
        <v>63</v>
      </c>
      <c r="P198" s="5" t="s">
        <v>63</v>
      </c>
      <c r="Q198" s="5" t="s">
        <v>63</v>
      </c>
      <c r="R198" s="5" t="s">
        <v>63</v>
      </c>
      <c r="S198" s="5" t="s">
        <v>63</v>
      </c>
      <c r="T198" s="5" t="s">
        <v>63</v>
      </c>
      <c r="U198" s="5" t="s">
        <v>63</v>
      </c>
      <c r="V198" s="5" t="s">
        <v>63</v>
      </c>
      <c r="W198" s="5" t="s">
        <v>63</v>
      </c>
      <c r="X198" s="5" t="s">
        <v>63</v>
      </c>
      <c r="Y198" s="5" t="s">
        <v>63</v>
      </c>
      <c r="Z198" s="5" t="s">
        <v>63</v>
      </c>
      <c r="AA198" s="5" t="s">
        <v>63</v>
      </c>
      <c r="AB198" s="5" t="s">
        <v>63</v>
      </c>
      <c r="AC198" s="5" t="s">
        <v>63</v>
      </c>
      <c r="AD198" s="5" t="s">
        <v>63</v>
      </c>
      <c r="AE198" s="5" t="s">
        <v>63</v>
      </c>
      <c r="AF198" s="5" t="s">
        <v>63</v>
      </c>
      <c r="AG198" s="5" t="s">
        <v>63</v>
      </c>
      <c r="AH198" s="5" t="s">
        <v>64</v>
      </c>
      <c r="AI198" s="5" t="s">
        <v>63</v>
      </c>
      <c r="AJ198" s="14" t="s">
        <v>63</v>
      </c>
      <c r="AK198" s="5" t="s">
        <v>63</v>
      </c>
      <c r="AL198" s="5" t="s">
        <v>63</v>
      </c>
      <c r="AM198" s="5" t="s">
        <v>63</v>
      </c>
      <c r="AN198" s="5" t="s">
        <v>63</v>
      </c>
      <c r="AO198" s="5" t="s">
        <v>63</v>
      </c>
      <c r="AP198" s="5" t="s">
        <v>63</v>
      </c>
      <c r="AQ198" s="5" t="s">
        <v>63</v>
      </c>
      <c r="AR198" s="5" t="s">
        <v>63</v>
      </c>
      <c r="AS198" s="5" t="s">
        <v>63</v>
      </c>
      <c r="AT198" s="5" t="s">
        <v>63</v>
      </c>
      <c r="AU198" s="5" t="s">
        <v>63</v>
      </c>
      <c r="AV198" s="5" t="s">
        <v>63</v>
      </c>
      <c r="AW198" s="5" t="s">
        <v>63</v>
      </c>
      <c r="AX198" s="5" t="s">
        <v>64</v>
      </c>
      <c r="AY198" s="5" t="s">
        <v>63</v>
      </c>
      <c r="AZ198" s="5" t="s">
        <v>63</v>
      </c>
      <c r="BA198" s="5" t="s">
        <v>63</v>
      </c>
      <c r="BB198" s="5" t="s">
        <v>63</v>
      </c>
      <c r="BC198" s="5" t="s">
        <v>63</v>
      </c>
      <c r="BD198" s="5" t="s">
        <v>63</v>
      </c>
      <c r="BK198" s="5" t="s">
        <v>64</v>
      </c>
      <c r="BR198" s="5" t="s">
        <v>64</v>
      </c>
    </row>
    <row r="199" spans="1:72">
      <c r="A199" s="1" t="str">
        <f t="shared" si="3"/>
        <v>No</v>
      </c>
      <c r="B199" s="1" t="s">
        <v>59</v>
      </c>
      <c r="C199" s="1" t="s">
        <v>443</v>
      </c>
      <c r="D199" s="11" t="s">
        <v>314</v>
      </c>
      <c r="E199" s="1" t="s">
        <v>444</v>
      </c>
      <c r="F199" s="2">
        <v>3</v>
      </c>
      <c r="G199" s="5" t="s">
        <v>63</v>
      </c>
      <c r="H199" s="5" t="s">
        <v>63</v>
      </c>
      <c r="I199" s="5" t="s">
        <v>63</v>
      </c>
      <c r="J199" s="5" t="s">
        <v>63</v>
      </c>
      <c r="K199" s="5" t="s">
        <v>63</v>
      </c>
      <c r="L199" s="5" t="s">
        <v>63</v>
      </c>
      <c r="M199" s="5" t="s">
        <v>63</v>
      </c>
      <c r="N199" s="5" t="s">
        <v>63</v>
      </c>
      <c r="O199" s="5" t="s">
        <v>63</v>
      </c>
      <c r="P199" s="5" t="s">
        <v>63</v>
      </c>
      <c r="Q199" s="5" t="s">
        <v>63</v>
      </c>
      <c r="R199" s="5" t="s">
        <v>63</v>
      </c>
      <c r="S199" s="5" t="s">
        <v>63</v>
      </c>
      <c r="T199" s="5" t="s">
        <v>63</v>
      </c>
      <c r="U199" s="5" t="s">
        <v>63</v>
      </c>
      <c r="V199" s="5" t="s">
        <v>63</v>
      </c>
      <c r="W199" s="5" t="s">
        <v>63</v>
      </c>
      <c r="X199" s="5" t="s">
        <v>63</v>
      </c>
      <c r="Y199" s="5" t="s">
        <v>63</v>
      </c>
      <c r="Z199" s="5" t="s">
        <v>63</v>
      </c>
      <c r="AA199" s="5" t="s">
        <v>63</v>
      </c>
      <c r="AB199" s="5" t="s">
        <v>63</v>
      </c>
      <c r="AC199" s="5" t="s">
        <v>63</v>
      </c>
      <c r="AD199" s="5" t="s">
        <v>63</v>
      </c>
      <c r="AE199" s="5" t="s">
        <v>63</v>
      </c>
      <c r="AF199" s="5" t="s">
        <v>63</v>
      </c>
      <c r="AG199" s="5" t="s">
        <v>63</v>
      </c>
      <c r="AH199" s="5" t="s">
        <v>64</v>
      </c>
      <c r="AI199" s="5" t="s">
        <v>63</v>
      </c>
      <c r="AJ199" s="14" t="s">
        <v>63</v>
      </c>
      <c r="AK199" s="5" t="s">
        <v>63</v>
      </c>
      <c r="AL199" s="5" t="s">
        <v>63</v>
      </c>
      <c r="AM199" s="5" t="s">
        <v>63</v>
      </c>
      <c r="AN199" s="5" t="s">
        <v>63</v>
      </c>
      <c r="AO199" s="5" t="s">
        <v>63</v>
      </c>
      <c r="AP199" s="5" t="s">
        <v>63</v>
      </c>
      <c r="AQ199" s="5" t="s">
        <v>63</v>
      </c>
      <c r="AR199" s="5" t="s">
        <v>63</v>
      </c>
      <c r="AS199" s="5" t="s">
        <v>63</v>
      </c>
      <c r="AT199" s="5" t="s">
        <v>63</v>
      </c>
      <c r="AU199" s="5" t="s">
        <v>63</v>
      </c>
      <c r="AV199" s="5" t="s">
        <v>63</v>
      </c>
      <c r="AW199" s="5" t="s">
        <v>63</v>
      </c>
      <c r="AX199" s="5" t="s">
        <v>63</v>
      </c>
      <c r="AY199" s="5" t="s">
        <v>63</v>
      </c>
      <c r="AZ199" s="5" t="s">
        <v>63</v>
      </c>
      <c r="BA199" s="5" t="s">
        <v>63</v>
      </c>
      <c r="BB199" s="5" t="s">
        <v>63</v>
      </c>
      <c r="BC199" s="5" t="s">
        <v>63</v>
      </c>
      <c r="BD199" s="5" t="s">
        <v>63</v>
      </c>
      <c r="BK199" s="5" t="s">
        <v>64</v>
      </c>
    </row>
    <row r="200" spans="1:72">
      <c r="A200" s="1" t="str">
        <f t="shared" si="3"/>
        <v>Yes</v>
      </c>
      <c r="B200" s="1" t="s">
        <v>106</v>
      </c>
      <c r="C200" s="1" t="s">
        <v>445</v>
      </c>
      <c r="D200" s="11" t="s">
        <v>61</v>
      </c>
      <c r="E200" s="1" t="s">
        <v>446</v>
      </c>
      <c r="F200" s="2">
        <v>4</v>
      </c>
      <c r="G200" s="5" t="s">
        <v>63</v>
      </c>
      <c r="H200" s="5" t="s">
        <v>63</v>
      </c>
      <c r="I200" s="5" t="s">
        <v>63</v>
      </c>
      <c r="J200" s="5" t="s">
        <v>63</v>
      </c>
      <c r="K200" s="5" t="s">
        <v>63</v>
      </c>
      <c r="L200" s="5" t="s">
        <v>63</v>
      </c>
      <c r="M200" s="5" t="s">
        <v>63</v>
      </c>
      <c r="N200" s="5" t="s">
        <v>63</v>
      </c>
      <c r="O200" s="5" t="s">
        <v>63</v>
      </c>
      <c r="P200" s="5" t="s">
        <v>63</v>
      </c>
      <c r="Q200" s="5" t="s">
        <v>63</v>
      </c>
      <c r="R200" s="5" t="s">
        <v>63</v>
      </c>
      <c r="S200" s="5" t="s">
        <v>63</v>
      </c>
      <c r="T200" s="5" t="s">
        <v>63</v>
      </c>
      <c r="U200" s="5" t="s">
        <v>63</v>
      </c>
      <c r="V200" s="5" t="s">
        <v>63</v>
      </c>
      <c r="W200" s="5" t="s">
        <v>63</v>
      </c>
      <c r="X200" s="5" t="s">
        <v>63</v>
      </c>
      <c r="Y200" s="5" t="s">
        <v>63</v>
      </c>
      <c r="Z200" s="5" t="s">
        <v>63</v>
      </c>
      <c r="AA200" s="5" t="s">
        <v>63</v>
      </c>
      <c r="AB200" s="5" t="s">
        <v>63</v>
      </c>
      <c r="AC200" s="5" t="s">
        <v>63</v>
      </c>
      <c r="AD200" s="5" t="s">
        <v>63</v>
      </c>
      <c r="AE200" s="5" t="s">
        <v>63</v>
      </c>
      <c r="AF200" s="5" t="s">
        <v>63</v>
      </c>
      <c r="AG200" s="5" t="s">
        <v>63</v>
      </c>
      <c r="AH200" s="5" t="s">
        <v>63</v>
      </c>
      <c r="AI200" s="5" t="s">
        <v>63</v>
      </c>
      <c r="AJ200" s="14" t="s">
        <v>63</v>
      </c>
      <c r="AK200" s="5" t="s">
        <v>63</v>
      </c>
      <c r="AL200" s="5" t="s">
        <v>63</v>
      </c>
      <c r="AM200" s="5" t="s">
        <v>63</v>
      </c>
      <c r="AN200" s="5" t="s">
        <v>63</v>
      </c>
      <c r="AO200" s="5" t="s">
        <v>63</v>
      </c>
      <c r="AP200" s="5" t="s">
        <v>63</v>
      </c>
      <c r="AQ200" s="5" t="s">
        <v>63</v>
      </c>
      <c r="AR200" s="5" t="s">
        <v>63</v>
      </c>
      <c r="AS200" s="8" t="s">
        <v>63</v>
      </c>
      <c r="AT200" s="5" t="s">
        <v>63</v>
      </c>
      <c r="AU200" s="5" t="s">
        <v>63</v>
      </c>
      <c r="AV200" s="5" t="s">
        <v>64</v>
      </c>
      <c r="AW200" s="5" t="s">
        <v>64</v>
      </c>
      <c r="AX200" s="5" t="s">
        <v>63</v>
      </c>
      <c r="AY200" s="5" t="s">
        <v>63</v>
      </c>
      <c r="AZ200" s="5" t="s">
        <v>63</v>
      </c>
      <c r="BA200" s="5" t="s">
        <v>63</v>
      </c>
      <c r="BB200" s="5" t="s">
        <v>63</v>
      </c>
      <c r="BC200" s="5" t="s">
        <v>63</v>
      </c>
      <c r="BD200" s="5" t="s">
        <v>63</v>
      </c>
      <c r="BP200" s="5" t="s">
        <v>64</v>
      </c>
      <c r="BQ200" s="5" t="s">
        <v>64</v>
      </c>
    </row>
    <row r="201" spans="1:72">
      <c r="A201" s="1" t="str">
        <f t="shared" si="3"/>
        <v>Yes</v>
      </c>
      <c r="B201" s="1" t="s">
        <v>106</v>
      </c>
      <c r="C201" s="1" t="s">
        <v>447</v>
      </c>
      <c r="D201" s="11" t="s">
        <v>350</v>
      </c>
      <c r="E201" s="1" t="s">
        <v>448</v>
      </c>
      <c r="F201" s="2">
        <v>3</v>
      </c>
      <c r="G201" s="5" t="s">
        <v>63</v>
      </c>
      <c r="H201" s="5" t="s">
        <v>63</v>
      </c>
      <c r="I201" s="5" t="s">
        <v>63</v>
      </c>
      <c r="J201" s="5" t="s">
        <v>63</v>
      </c>
      <c r="K201" s="5" t="s">
        <v>63</v>
      </c>
      <c r="L201" s="5" t="s">
        <v>63</v>
      </c>
      <c r="M201" s="5" t="s">
        <v>63</v>
      </c>
      <c r="N201" s="5" t="s">
        <v>63</v>
      </c>
      <c r="O201" s="5" t="s">
        <v>63</v>
      </c>
      <c r="P201" s="5" t="s">
        <v>63</v>
      </c>
      <c r="Q201" s="5" t="s">
        <v>63</v>
      </c>
      <c r="R201" s="5" t="s">
        <v>63</v>
      </c>
      <c r="S201" s="5" t="s">
        <v>63</v>
      </c>
      <c r="T201" s="5" t="s">
        <v>63</v>
      </c>
      <c r="U201" s="5" t="s">
        <v>63</v>
      </c>
      <c r="V201" s="5" t="s">
        <v>63</v>
      </c>
      <c r="W201" s="5" t="s">
        <v>63</v>
      </c>
      <c r="X201" s="5" t="s">
        <v>63</v>
      </c>
      <c r="Y201" s="5" t="s">
        <v>63</v>
      </c>
      <c r="Z201" s="5" t="s">
        <v>63</v>
      </c>
      <c r="AA201" s="5" t="s">
        <v>63</v>
      </c>
      <c r="AB201" s="5" t="s">
        <v>63</v>
      </c>
      <c r="AC201" s="5" t="s">
        <v>63</v>
      </c>
      <c r="AD201" s="5" t="s">
        <v>63</v>
      </c>
      <c r="AE201" s="5" t="s">
        <v>63</v>
      </c>
      <c r="AF201" s="5" t="s">
        <v>64</v>
      </c>
      <c r="AG201" s="5" t="s">
        <v>63</v>
      </c>
      <c r="AH201" s="5" t="s">
        <v>64</v>
      </c>
      <c r="AI201" s="5" t="s">
        <v>63</v>
      </c>
      <c r="AJ201" s="14" t="s">
        <v>63</v>
      </c>
      <c r="AK201" s="5" t="s">
        <v>63</v>
      </c>
      <c r="AL201" s="5" t="s">
        <v>63</v>
      </c>
      <c r="AM201" s="5" t="s">
        <v>63</v>
      </c>
      <c r="AN201" s="5" t="s">
        <v>63</v>
      </c>
      <c r="AO201" s="5" t="s">
        <v>63</v>
      </c>
      <c r="AP201" s="5" t="s">
        <v>63</v>
      </c>
      <c r="AQ201" s="5" t="s">
        <v>63</v>
      </c>
      <c r="AR201" s="5" t="s">
        <v>63</v>
      </c>
      <c r="AS201" s="8" t="s">
        <v>63</v>
      </c>
      <c r="AT201" s="5" t="s">
        <v>63</v>
      </c>
      <c r="AU201" s="5" t="s">
        <v>63</v>
      </c>
      <c r="AV201" s="5" t="s">
        <v>64</v>
      </c>
      <c r="AW201" s="5" t="s">
        <v>63</v>
      </c>
      <c r="AX201" s="5" t="s">
        <v>63</v>
      </c>
      <c r="AY201" s="5" t="s">
        <v>63</v>
      </c>
      <c r="AZ201" s="5" t="s">
        <v>63</v>
      </c>
      <c r="BA201" s="5" t="s">
        <v>64</v>
      </c>
      <c r="BB201" s="5" t="s">
        <v>63</v>
      </c>
      <c r="BC201" s="5" t="s">
        <v>63</v>
      </c>
      <c r="BD201" s="5" t="s">
        <v>63</v>
      </c>
      <c r="BI201" s="5" t="s">
        <v>64</v>
      </c>
      <c r="BK201" s="5" t="s">
        <v>64</v>
      </c>
      <c r="BP201" s="5" t="s">
        <v>64</v>
      </c>
      <c r="BS201" s="5" t="s">
        <v>64</v>
      </c>
    </row>
    <row r="202" spans="1:72">
      <c r="A202" s="1" t="str">
        <f t="shared" si="3"/>
        <v>Yes</v>
      </c>
      <c r="B202" s="1" t="s">
        <v>106</v>
      </c>
      <c r="C202" s="1" t="s">
        <v>449</v>
      </c>
      <c r="D202" s="11" t="s">
        <v>350</v>
      </c>
      <c r="E202" s="1" t="s">
        <v>450</v>
      </c>
      <c r="F202" s="2">
        <v>3</v>
      </c>
      <c r="G202" s="5" t="s">
        <v>63</v>
      </c>
      <c r="H202" s="5" t="s">
        <v>63</v>
      </c>
      <c r="I202" s="5" t="s">
        <v>63</v>
      </c>
      <c r="J202" s="5" t="s">
        <v>63</v>
      </c>
      <c r="K202" s="5" t="s">
        <v>63</v>
      </c>
      <c r="L202" s="5" t="s">
        <v>63</v>
      </c>
      <c r="M202" s="5" t="s">
        <v>63</v>
      </c>
      <c r="N202" s="5" t="s">
        <v>63</v>
      </c>
      <c r="O202" s="5" t="s">
        <v>63</v>
      </c>
      <c r="P202" s="5" t="s">
        <v>63</v>
      </c>
      <c r="Q202" s="5" t="s">
        <v>63</v>
      </c>
      <c r="R202" s="5" t="s">
        <v>63</v>
      </c>
      <c r="S202" s="5" t="s">
        <v>63</v>
      </c>
      <c r="T202" s="5" t="s">
        <v>63</v>
      </c>
      <c r="U202" s="5" t="s">
        <v>63</v>
      </c>
      <c r="V202" s="5" t="s">
        <v>63</v>
      </c>
      <c r="W202" s="5" t="s">
        <v>63</v>
      </c>
      <c r="X202" s="5" t="s">
        <v>63</v>
      </c>
      <c r="Y202" s="5" t="s">
        <v>63</v>
      </c>
      <c r="Z202" s="5" t="s">
        <v>63</v>
      </c>
      <c r="AA202" s="5" t="s">
        <v>63</v>
      </c>
      <c r="AB202" s="5" t="s">
        <v>63</v>
      </c>
      <c r="AC202" s="5" t="s">
        <v>63</v>
      </c>
      <c r="AD202" s="5" t="s">
        <v>63</v>
      </c>
      <c r="AE202" s="5" t="s">
        <v>63</v>
      </c>
      <c r="AF202" s="5" t="s">
        <v>64</v>
      </c>
      <c r="AG202" s="5" t="s">
        <v>63</v>
      </c>
      <c r="AH202" s="5" t="s">
        <v>64</v>
      </c>
      <c r="AI202" s="5" t="s">
        <v>64</v>
      </c>
      <c r="AJ202" s="14" t="s">
        <v>63</v>
      </c>
      <c r="AK202" s="5" t="s">
        <v>63</v>
      </c>
      <c r="AL202" s="5" t="s">
        <v>64</v>
      </c>
      <c r="AM202" s="5" t="s">
        <v>63</v>
      </c>
      <c r="AN202" s="5" t="s">
        <v>63</v>
      </c>
      <c r="AO202" s="5" t="s">
        <v>63</v>
      </c>
      <c r="AP202" s="5" t="s">
        <v>63</v>
      </c>
      <c r="AQ202" s="5" t="s">
        <v>63</v>
      </c>
      <c r="AR202" s="5" t="s">
        <v>63</v>
      </c>
      <c r="AS202" s="8" t="s">
        <v>63</v>
      </c>
      <c r="AT202" s="5" t="s">
        <v>63</v>
      </c>
      <c r="AU202" s="5" t="s">
        <v>63</v>
      </c>
      <c r="AV202" s="5" t="s">
        <v>63</v>
      </c>
      <c r="AW202" s="5" t="s">
        <v>63</v>
      </c>
      <c r="AX202" s="5" t="s">
        <v>63</v>
      </c>
      <c r="AY202" s="5" t="s">
        <v>63</v>
      </c>
      <c r="AZ202" s="5" t="s">
        <v>63</v>
      </c>
      <c r="BA202" s="5" t="s">
        <v>64</v>
      </c>
      <c r="BB202" s="5" t="s">
        <v>63</v>
      </c>
      <c r="BC202" s="5" t="s">
        <v>63</v>
      </c>
      <c r="BD202" s="5" t="s">
        <v>63</v>
      </c>
      <c r="BI202" s="5" t="s">
        <v>64</v>
      </c>
      <c r="BK202" s="5" t="s">
        <v>64</v>
      </c>
      <c r="BM202" s="5" t="s">
        <v>64</v>
      </c>
      <c r="BS202" s="5" t="s">
        <v>64</v>
      </c>
    </row>
    <row r="203" spans="1:72">
      <c r="A203" s="1" t="str">
        <f t="shared" si="3"/>
        <v>Yes</v>
      </c>
      <c r="B203" s="1" t="s">
        <v>106</v>
      </c>
      <c r="C203" s="1" t="s">
        <v>451</v>
      </c>
      <c r="D203" s="11" t="s">
        <v>61</v>
      </c>
      <c r="E203" s="1" t="s">
        <v>452</v>
      </c>
      <c r="F203" s="2">
        <v>3</v>
      </c>
      <c r="G203" s="5" t="s">
        <v>63</v>
      </c>
      <c r="H203" s="5" t="s">
        <v>63</v>
      </c>
      <c r="I203" s="5" t="s">
        <v>63</v>
      </c>
      <c r="J203" s="5" t="s">
        <v>63</v>
      </c>
      <c r="K203" s="5" t="s">
        <v>63</v>
      </c>
      <c r="L203" s="5" t="s">
        <v>63</v>
      </c>
      <c r="M203" s="5" t="s">
        <v>63</v>
      </c>
      <c r="N203" s="5" t="s">
        <v>63</v>
      </c>
      <c r="O203" s="5" t="s">
        <v>63</v>
      </c>
      <c r="P203" s="5" t="s">
        <v>63</v>
      </c>
      <c r="Q203" s="5" t="s">
        <v>63</v>
      </c>
      <c r="R203" s="5" t="s">
        <v>63</v>
      </c>
      <c r="S203" s="5" t="s">
        <v>63</v>
      </c>
      <c r="T203" s="5" t="s">
        <v>63</v>
      </c>
      <c r="U203" s="5" t="s">
        <v>63</v>
      </c>
      <c r="V203" s="5" t="s">
        <v>63</v>
      </c>
      <c r="W203" s="5" t="s">
        <v>63</v>
      </c>
      <c r="X203" s="5" t="s">
        <v>63</v>
      </c>
      <c r="Y203" s="5" t="s">
        <v>63</v>
      </c>
      <c r="Z203" s="5" t="s">
        <v>63</v>
      </c>
      <c r="AA203" s="5" t="s">
        <v>63</v>
      </c>
      <c r="AB203" s="5" t="s">
        <v>63</v>
      </c>
      <c r="AC203" s="5" t="s">
        <v>63</v>
      </c>
      <c r="AD203" s="5" t="s">
        <v>63</v>
      </c>
      <c r="AE203" s="5" t="s">
        <v>63</v>
      </c>
      <c r="AF203" s="5" t="s">
        <v>63</v>
      </c>
      <c r="AG203" s="5" t="s">
        <v>63</v>
      </c>
      <c r="AH203" s="5" t="s">
        <v>63</v>
      </c>
      <c r="AI203" s="5" t="s">
        <v>63</v>
      </c>
      <c r="AJ203" s="14" t="s">
        <v>63</v>
      </c>
      <c r="AK203" s="5" t="s">
        <v>63</v>
      </c>
      <c r="AL203" s="5" t="s">
        <v>63</v>
      </c>
      <c r="AM203" s="5" t="s">
        <v>63</v>
      </c>
      <c r="AN203" s="5" t="s">
        <v>63</v>
      </c>
      <c r="AO203" s="5" t="s">
        <v>63</v>
      </c>
      <c r="AP203" s="5" t="s">
        <v>63</v>
      </c>
      <c r="AQ203" s="5" t="s">
        <v>63</v>
      </c>
      <c r="AR203" s="5" t="s">
        <v>63</v>
      </c>
      <c r="AS203" s="8" t="s">
        <v>63</v>
      </c>
      <c r="AT203" s="5" t="s">
        <v>63</v>
      </c>
      <c r="AU203" s="5" t="s">
        <v>63</v>
      </c>
      <c r="AV203" s="5" t="s">
        <v>64</v>
      </c>
      <c r="AW203" s="5" t="s">
        <v>64</v>
      </c>
      <c r="AX203" s="5" t="s">
        <v>63</v>
      </c>
      <c r="AY203" s="5" t="s">
        <v>63</v>
      </c>
      <c r="AZ203" s="5" t="s">
        <v>63</v>
      </c>
      <c r="BA203" s="5" t="s">
        <v>63</v>
      </c>
      <c r="BB203" s="5" t="s">
        <v>63</v>
      </c>
      <c r="BC203" s="5" t="s">
        <v>63</v>
      </c>
      <c r="BD203" s="5" t="s">
        <v>63</v>
      </c>
      <c r="BP203" s="5" t="s">
        <v>64</v>
      </c>
      <c r="BQ203" s="5" t="s">
        <v>64</v>
      </c>
    </row>
    <row r="204" spans="1:72">
      <c r="A204" s="1" t="str">
        <f t="shared" si="3"/>
        <v>Yes</v>
      </c>
      <c r="B204" s="1" t="s">
        <v>106</v>
      </c>
      <c r="C204" s="1" t="s">
        <v>453</v>
      </c>
      <c r="D204" s="11" t="s">
        <v>61</v>
      </c>
      <c r="E204" s="1" t="s">
        <v>454</v>
      </c>
      <c r="F204" s="2">
        <v>3</v>
      </c>
      <c r="G204" s="5" t="s">
        <v>63</v>
      </c>
      <c r="H204" s="5" t="s">
        <v>63</v>
      </c>
      <c r="I204" s="5" t="s">
        <v>63</v>
      </c>
      <c r="J204" s="5" t="s">
        <v>63</v>
      </c>
      <c r="K204" s="5" t="s">
        <v>63</v>
      </c>
      <c r="L204" s="5" t="s">
        <v>63</v>
      </c>
      <c r="M204" s="5" t="s">
        <v>63</v>
      </c>
      <c r="N204" s="5" t="s">
        <v>63</v>
      </c>
      <c r="O204" s="5" t="s">
        <v>63</v>
      </c>
      <c r="P204" s="5" t="s">
        <v>63</v>
      </c>
      <c r="Q204" s="5" t="s">
        <v>63</v>
      </c>
      <c r="R204" s="5" t="s">
        <v>63</v>
      </c>
      <c r="S204" s="5" t="s">
        <v>63</v>
      </c>
      <c r="T204" s="5" t="s">
        <v>63</v>
      </c>
      <c r="U204" s="5" t="s">
        <v>63</v>
      </c>
      <c r="V204" s="5" t="s">
        <v>63</v>
      </c>
      <c r="W204" s="5" t="s">
        <v>63</v>
      </c>
      <c r="X204" s="5" t="s">
        <v>63</v>
      </c>
      <c r="Y204" s="5" t="s">
        <v>63</v>
      </c>
      <c r="Z204" s="5" t="s">
        <v>63</v>
      </c>
      <c r="AA204" s="5" t="s">
        <v>63</v>
      </c>
      <c r="AB204" s="5" t="s">
        <v>63</v>
      </c>
      <c r="AC204" s="5" t="s">
        <v>63</v>
      </c>
      <c r="AD204" s="5" t="s">
        <v>63</v>
      </c>
      <c r="AE204" s="5" t="s">
        <v>63</v>
      </c>
      <c r="AF204" s="5" t="s">
        <v>63</v>
      </c>
      <c r="AG204" s="5" t="s">
        <v>63</v>
      </c>
      <c r="AH204" s="5" t="s">
        <v>63</v>
      </c>
      <c r="AI204" s="5" t="s">
        <v>63</v>
      </c>
      <c r="AJ204" s="14" t="s">
        <v>64</v>
      </c>
      <c r="AK204" s="5" t="s">
        <v>64</v>
      </c>
      <c r="AL204" s="5" t="s">
        <v>63</v>
      </c>
      <c r="AM204" s="5" t="s">
        <v>64</v>
      </c>
      <c r="AN204" s="5" t="s">
        <v>64</v>
      </c>
      <c r="AO204" s="5" t="s">
        <v>64</v>
      </c>
      <c r="AP204" s="5" t="s">
        <v>63</v>
      </c>
      <c r="AQ204" s="5" t="s">
        <v>63</v>
      </c>
      <c r="AR204" s="5" t="s">
        <v>63</v>
      </c>
      <c r="AS204" s="8" t="s">
        <v>63</v>
      </c>
      <c r="AT204" s="5" t="s">
        <v>63</v>
      </c>
      <c r="AU204" s="5" t="s">
        <v>63</v>
      </c>
      <c r="AV204" s="5" t="s">
        <v>63</v>
      </c>
      <c r="AW204" s="5" t="s">
        <v>63</v>
      </c>
      <c r="AX204" s="5" t="s">
        <v>63</v>
      </c>
      <c r="AY204" s="5" t="s">
        <v>63</v>
      </c>
      <c r="AZ204" s="5" t="s">
        <v>63</v>
      </c>
      <c r="BA204" s="5" t="s">
        <v>63</v>
      </c>
      <c r="BB204" s="5" t="s">
        <v>63</v>
      </c>
      <c r="BC204" s="5" t="s">
        <v>63</v>
      </c>
      <c r="BD204" s="5" t="s">
        <v>63</v>
      </c>
      <c r="BL204" s="5" t="s">
        <v>64</v>
      </c>
      <c r="BN204" s="5" t="s">
        <v>64</v>
      </c>
    </row>
    <row r="205" spans="1:72">
      <c r="A205" s="1" t="str">
        <f t="shared" si="3"/>
        <v>Yes</v>
      </c>
      <c r="B205" s="1" t="s">
        <v>106</v>
      </c>
      <c r="C205" s="1" t="s">
        <v>109</v>
      </c>
      <c r="E205" s="1" t="s">
        <v>455</v>
      </c>
      <c r="F205" s="2" t="s">
        <v>63</v>
      </c>
      <c r="G205" s="5" t="s">
        <v>63</v>
      </c>
      <c r="H205" s="5" t="s">
        <v>63</v>
      </c>
      <c r="I205" s="5" t="s">
        <v>63</v>
      </c>
      <c r="J205" s="5" t="s">
        <v>63</v>
      </c>
      <c r="K205" s="5" t="s">
        <v>63</v>
      </c>
      <c r="L205" s="5" t="s">
        <v>63</v>
      </c>
      <c r="M205" s="5" t="s">
        <v>63</v>
      </c>
      <c r="N205" s="5" t="s">
        <v>63</v>
      </c>
      <c r="O205" s="5" t="s">
        <v>63</v>
      </c>
      <c r="P205" s="5" t="s">
        <v>63</v>
      </c>
      <c r="Q205" s="5" t="s">
        <v>63</v>
      </c>
      <c r="R205" s="5" t="s">
        <v>63</v>
      </c>
      <c r="S205" s="5" t="s">
        <v>63</v>
      </c>
      <c r="T205" s="5" t="s">
        <v>63</v>
      </c>
      <c r="U205" s="5" t="s">
        <v>63</v>
      </c>
      <c r="V205" s="5" t="s">
        <v>63</v>
      </c>
      <c r="W205" s="5" t="s">
        <v>63</v>
      </c>
      <c r="X205" s="5" t="s">
        <v>63</v>
      </c>
      <c r="Y205" s="5" t="s">
        <v>63</v>
      </c>
      <c r="Z205" s="5" t="s">
        <v>63</v>
      </c>
      <c r="AA205" s="5" t="s">
        <v>63</v>
      </c>
      <c r="AB205" s="5" t="s">
        <v>63</v>
      </c>
      <c r="AC205" s="5" t="s">
        <v>63</v>
      </c>
      <c r="AD205" s="5" t="s">
        <v>63</v>
      </c>
      <c r="AE205" s="5" t="s">
        <v>63</v>
      </c>
      <c r="AF205" s="5" t="s">
        <v>63</v>
      </c>
      <c r="AG205" s="5" t="s">
        <v>63</v>
      </c>
      <c r="AH205" s="5" t="s">
        <v>63</v>
      </c>
      <c r="AI205" s="5" t="s">
        <v>63</v>
      </c>
      <c r="AJ205" s="14" t="s">
        <v>63</v>
      </c>
      <c r="AK205" s="5" t="s">
        <v>63</v>
      </c>
      <c r="AL205" s="5" t="s">
        <v>63</v>
      </c>
      <c r="AM205" s="5" t="s">
        <v>63</v>
      </c>
      <c r="AN205" s="5" t="s">
        <v>63</v>
      </c>
      <c r="AO205" s="5" t="s">
        <v>63</v>
      </c>
      <c r="AP205" s="5" t="s">
        <v>63</v>
      </c>
      <c r="AQ205" s="5" t="s">
        <v>63</v>
      </c>
      <c r="AR205" s="5" t="s">
        <v>63</v>
      </c>
      <c r="AS205" s="8" t="s">
        <v>63</v>
      </c>
      <c r="AT205" s="5" t="s">
        <v>63</v>
      </c>
      <c r="AU205" s="5" t="s">
        <v>63</v>
      </c>
      <c r="AV205" s="5" t="s">
        <v>63</v>
      </c>
      <c r="AW205" s="5" t="s">
        <v>63</v>
      </c>
      <c r="AX205" s="5" t="s">
        <v>63</v>
      </c>
      <c r="AY205" s="5" t="s">
        <v>63</v>
      </c>
      <c r="AZ205" s="5" t="s">
        <v>63</v>
      </c>
      <c r="BA205" s="5" t="s">
        <v>63</v>
      </c>
      <c r="BB205" s="5" t="s">
        <v>63</v>
      </c>
      <c r="BC205" s="5" t="s">
        <v>63</v>
      </c>
      <c r="BD205" s="5" t="s">
        <v>63</v>
      </c>
    </row>
    <row r="206" spans="1:72">
      <c r="A206" s="1" t="str">
        <f t="shared" si="3"/>
        <v>Yes</v>
      </c>
      <c r="B206" s="1" t="s">
        <v>106</v>
      </c>
      <c r="C206" s="1" t="s">
        <v>456</v>
      </c>
      <c r="D206" s="11" t="s">
        <v>139</v>
      </c>
      <c r="E206" s="1" t="s">
        <v>457</v>
      </c>
      <c r="F206" s="2">
        <v>4</v>
      </c>
      <c r="G206" s="5" t="s">
        <v>63</v>
      </c>
      <c r="H206" s="5" t="s">
        <v>63</v>
      </c>
      <c r="I206" s="5" t="s">
        <v>63</v>
      </c>
      <c r="J206" s="5" t="s">
        <v>63</v>
      </c>
      <c r="K206" s="5" t="s">
        <v>63</v>
      </c>
      <c r="L206" s="5" t="s">
        <v>63</v>
      </c>
      <c r="M206" s="5" t="s">
        <v>63</v>
      </c>
      <c r="N206" s="5" t="s">
        <v>63</v>
      </c>
      <c r="O206" s="5" t="s">
        <v>63</v>
      </c>
      <c r="P206" s="5" t="s">
        <v>63</v>
      </c>
      <c r="Q206" s="5" t="s">
        <v>63</v>
      </c>
      <c r="R206" s="5" t="s">
        <v>63</v>
      </c>
      <c r="S206" s="5" t="s">
        <v>63</v>
      </c>
      <c r="T206" s="5" t="s">
        <v>63</v>
      </c>
      <c r="U206" s="5" t="s">
        <v>63</v>
      </c>
      <c r="V206" s="5" t="s">
        <v>63</v>
      </c>
      <c r="W206" s="5" t="s">
        <v>63</v>
      </c>
      <c r="X206" s="5" t="s">
        <v>63</v>
      </c>
      <c r="Y206" s="5" t="s">
        <v>63</v>
      </c>
      <c r="Z206" s="5" t="s">
        <v>63</v>
      </c>
      <c r="AA206" s="5" t="s">
        <v>63</v>
      </c>
      <c r="AB206" s="5" t="s">
        <v>63</v>
      </c>
      <c r="AC206" s="5" t="s">
        <v>63</v>
      </c>
      <c r="AD206" s="5" t="s">
        <v>63</v>
      </c>
      <c r="AE206" s="5" t="s">
        <v>63</v>
      </c>
      <c r="AF206" s="5" t="s">
        <v>64</v>
      </c>
      <c r="AG206" s="5" t="s">
        <v>63</v>
      </c>
      <c r="AH206" s="5" t="s">
        <v>63</v>
      </c>
      <c r="AI206" s="5" t="s">
        <v>63</v>
      </c>
      <c r="AJ206" s="14" t="s">
        <v>63</v>
      </c>
      <c r="AK206" s="5" t="s">
        <v>63</v>
      </c>
      <c r="AL206" s="5" t="s">
        <v>63</v>
      </c>
      <c r="AM206" s="5" t="s">
        <v>64</v>
      </c>
      <c r="AN206" s="5" t="s">
        <v>64</v>
      </c>
      <c r="AO206" s="5" t="s">
        <v>64</v>
      </c>
      <c r="AP206" s="5" t="s">
        <v>63</v>
      </c>
      <c r="AQ206" s="5" t="s">
        <v>63</v>
      </c>
      <c r="AR206" s="5" t="s">
        <v>63</v>
      </c>
      <c r="AS206" s="8" t="s">
        <v>63</v>
      </c>
      <c r="AT206" s="5"/>
      <c r="AU206" s="5" t="s">
        <v>63</v>
      </c>
      <c r="AV206" s="5" t="s">
        <v>63</v>
      </c>
      <c r="AW206" s="5" t="s">
        <v>63</v>
      </c>
      <c r="AX206" s="5" t="s">
        <v>63</v>
      </c>
      <c r="AY206" s="5" t="s">
        <v>63</v>
      </c>
      <c r="AZ206" s="5" t="s">
        <v>63</v>
      </c>
      <c r="BA206" s="5" t="s">
        <v>63</v>
      </c>
      <c r="BB206" s="5" t="s">
        <v>63</v>
      </c>
      <c r="BC206" s="5" t="s">
        <v>63</v>
      </c>
      <c r="BD206" s="5" t="s">
        <v>63</v>
      </c>
      <c r="BI206" s="5" t="s">
        <v>64</v>
      </c>
      <c r="BN206" s="5" t="s">
        <v>64</v>
      </c>
      <c r="BP206" s="5" t="s">
        <v>64</v>
      </c>
    </row>
    <row r="207" spans="1:72">
      <c r="A207" s="1" t="str">
        <f t="shared" si="3"/>
        <v>No</v>
      </c>
      <c r="B207" s="1" t="s">
        <v>59</v>
      </c>
      <c r="C207" s="1" t="s">
        <v>458</v>
      </c>
      <c r="D207" s="11" t="s">
        <v>353</v>
      </c>
      <c r="E207" s="1" t="s">
        <v>459</v>
      </c>
      <c r="F207" s="2" t="s">
        <v>63</v>
      </c>
      <c r="G207" s="5" t="s">
        <v>63</v>
      </c>
      <c r="H207" s="5" t="s">
        <v>63</v>
      </c>
      <c r="I207" s="5" t="s">
        <v>63</v>
      </c>
      <c r="J207" s="5" t="s">
        <v>63</v>
      </c>
      <c r="K207" s="5" t="s">
        <v>63</v>
      </c>
      <c r="L207" s="5" t="s">
        <v>63</v>
      </c>
      <c r="M207" s="5" t="s">
        <v>63</v>
      </c>
      <c r="N207" s="5" t="s">
        <v>63</v>
      </c>
      <c r="O207" s="5" t="s">
        <v>63</v>
      </c>
      <c r="P207" s="5" t="s">
        <v>63</v>
      </c>
      <c r="Q207" s="5" t="s">
        <v>63</v>
      </c>
      <c r="R207" s="5" t="s">
        <v>63</v>
      </c>
      <c r="S207" s="5" t="s">
        <v>63</v>
      </c>
      <c r="T207" s="5" t="s">
        <v>63</v>
      </c>
      <c r="U207" s="5" t="s">
        <v>63</v>
      </c>
      <c r="V207" s="5" t="s">
        <v>63</v>
      </c>
      <c r="W207" s="5" t="s">
        <v>63</v>
      </c>
      <c r="X207" s="5" t="s">
        <v>63</v>
      </c>
      <c r="Y207" s="5" t="s">
        <v>63</v>
      </c>
      <c r="Z207" s="5" t="s">
        <v>63</v>
      </c>
      <c r="AA207" s="5" t="s">
        <v>63</v>
      </c>
      <c r="AB207" s="5" t="s">
        <v>63</v>
      </c>
      <c r="AC207" s="5" t="s">
        <v>63</v>
      </c>
      <c r="AD207" s="5" t="s">
        <v>63</v>
      </c>
      <c r="AE207" s="5" t="s">
        <v>63</v>
      </c>
      <c r="AF207" s="5" t="s">
        <v>63</v>
      </c>
      <c r="AG207" s="5" t="s">
        <v>63</v>
      </c>
      <c r="AH207" s="5" t="s">
        <v>63</v>
      </c>
      <c r="AI207" s="5" t="s">
        <v>63</v>
      </c>
      <c r="AJ207" s="14" t="s">
        <v>63</v>
      </c>
      <c r="AK207" s="5" t="s">
        <v>63</v>
      </c>
      <c r="AL207" s="5" t="s">
        <v>63</v>
      </c>
      <c r="AM207" s="5" t="s">
        <v>63</v>
      </c>
      <c r="AN207" s="5" t="s">
        <v>63</v>
      </c>
      <c r="AO207" s="5" t="s">
        <v>63</v>
      </c>
      <c r="AP207" s="5" t="s">
        <v>63</v>
      </c>
      <c r="AQ207" s="5" t="s">
        <v>63</v>
      </c>
      <c r="AR207" s="5" t="s">
        <v>63</v>
      </c>
      <c r="AS207" s="8" t="s">
        <v>63</v>
      </c>
      <c r="AT207" s="5" t="s">
        <v>63</v>
      </c>
      <c r="AU207" s="5" t="s">
        <v>63</v>
      </c>
      <c r="AV207" s="5" t="s">
        <v>63</v>
      </c>
      <c r="AW207" s="5" t="s">
        <v>63</v>
      </c>
      <c r="AX207" s="5" t="s">
        <v>63</v>
      </c>
      <c r="AY207" s="5" t="s">
        <v>63</v>
      </c>
      <c r="AZ207" s="5" t="s">
        <v>63</v>
      </c>
      <c r="BA207" s="5" t="s">
        <v>63</v>
      </c>
      <c r="BB207" s="5" t="s">
        <v>63</v>
      </c>
      <c r="BC207" s="5" t="s">
        <v>64</v>
      </c>
      <c r="BD207" s="5" t="s">
        <v>63</v>
      </c>
      <c r="BT207" s="5" t="s">
        <v>64</v>
      </c>
    </row>
    <row r="208" spans="1:72">
      <c r="A208" s="1" t="str">
        <f t="shared" si="3"/>
        <v>No</v>
      </c>
      <c r="B208" s="1" t="s">
        <v>59</v>
      </c>
      <c r="C208" s="1" t="s">
        <v>460</v>
      </c>
      <c r="D208" s="11" t="s">
        <v>353</v>
      </c>
      <c r="E208" s="1" t="s">
        <v>461</v>
      </c>
      <c r="F208" s="2">
        <v>2</v>
      </c>
      <c r="G208" s="5" t="s">
        <v>63</v>
      </c>
      <c r="H208" s="5" t="s">
        <v>63</v>
      </c>
      <c r="I208" s="5" t="s">
        <v>63</v>
      </c>
      <c r="J208" s="5" t="s">
        <v>63</v>
      </c>
      <c r="K208" s="5" t="s">
        <v>63</v>
      </c>
      <c r="L208" s="5" t="s">
        <v>63</v>
      </c>
      <c r="M208" s="5" t="s">
        <v>63</v>
      </c>
      <c r="N208" s="5" t="s">
        <v>63</v>
      </c>
      <c r="O208" s="5" t="s">
        <v>63</v>
      </c>
      <c r="P208" s="5" t="s">
        <v>63</v>
      </c>
      <c r="Q208" s="5" t="s">
        <v>63</v>
      </c>
      <c r="R208" s="5" t="s">
        <v>63</v>
      </c>
      <c r="S208" s="5" t="s">
        <v>63</v>
      </c>
      <c r="T208" s="5" t="s">
        <v>63</v>
      </c>
      <c r="U208" s="5" t="s">
        <v>63</v>
      </c>
      <c r="V208" s="5" t="s">
        <v>63</v>
      </c>
      <c r="W208" s="5" t="s">
        <v>63</v>
      </c>
      <c r="X208" s="5" t="s">
        <v>63</v>
      </c>
      <c r="Y208" s="5" t="s">
        <v>63</v>
      </c>
      <c r="Z208" s="5" t="s">
        <v>63</v>
      </c>
      <c r="AA208" s="5" t="s">
        <v>63</v>
      </c>
      <c r="AB208" s="5" t="s">
        <v>63</v>
      </c>
      <c r="AC208" s="5" t="s">
        <v>63</v>
      </c>
      <c r="AD208" s="5" t="s">
        <v>63</v>
      </c>
      <c r="AE208" s="5" t="s">
        <v>63</v>
      </c>
      <c r="AF208" s="5" t="s">
        <v>63</v>
      </c>
      <c r="AG208" s="5" t="s">
        <v>63</v>
      </c>
      <c r="AH208" s="5" t="s">
        <v>63</v>
      </c>
      <c r="AI208" s="5" t="s">
        <v>63</v>
      </c>
      <c r="AJ208" s="14" t="s">
        <v>63</v>
      </c>
      <c r="AK208" s="5" t="s">
        <v>63</v>
      </c>
      <c r="AL208" s="5" t="s">
        <v>63</v>
      </c>
      <c r="AM208" s="5" t="s">
        <v>63</v>
      </c>
      <c r="AN208" s="5" t="s">
        <v>63</v>
      </c>
      <c r="AO208" s="5" t="s">
        <v>63</v>
      </c>
      <c r="AP208" s="5" t="s">
        <v>63</v>
      </c>
      <c r="AQ208" s="5" t="s">
        <v>63</v>
      </c>
      <c r="AR208" s="5" t="s">
        <v>63</v>
      </c>
      <c r="AS208" s="8" t="s">
        <v>63</v>
      </c>
      <c r="AT208" s="5" t="s">
        <v>63</v>
      </c>
      <c r="AU208" s="5" t="s">
        <v>63</v>
      </c>
      <c r="AV208" s="5" t="s">
        <v>63</v>
      </c>
      <c r="AW208" s="5" t="s">
        <v>63</v>
      </c>
      <c r="AX208" s="5" t="s">
        <v>63</v>
      </c>
      <c r="AY208" s="5" t="s">
        <v>63</v>
      </c>
      <c r="AZ208" s="5" t="s">
        <v>63</v>
      </c>
      <c r="BA208" s="5" t="s">
        <v>63</v>
      </c>
      <c r="BB208" s="5" t="s">
        <v>63</v>
      </c>
      <c r="BC208" s="5" t="s">
        <v>64</v>
      </c>
      <c r="BD208" s="5" t="s">
        <v>63</v>
      </c>
      <c r="BT208" s="5" t="s">
        <v>64</v>
      </c>
    </row>
    <row r="209" spans="1:72">
      <c r="A209" s="1" t="str">
        <f t="shared" si="3"/>
        <v>No</v>
      </c>
      <c r="B209" s="1" t="s">
        <v>59</v>
      </c>
      <c r="C209" s="1" t="s">
        <v>462</v>
      </c>
      <c r="D209" s="11" t="s">
        <v>353</v>
      </c>
      <c r="E209" s="1" t="s">
        <v>463</v>
      </c>
      <c r="F209" s="2">
        <v>2</v>
      </c>
      <c r="G209" s="5" t="s">
        <v>63</v>
      </c>
      <c r="H209" s="5" t="s">
        <v>63</v>
      </c>
      <c r="I209" s="5" t="s">
        <v>63</v>
      </c>
      <c r="J209" s="5" t="s">
        <v>63</v>
      </c>
      <c r="K209" s="5" t="s">
        <v>63</v>
      </c>
      <c r="L209" s="5" t="s">
        <v>63</v>
      </c>
      <c r="M209" s="5" t="s">
        <v>63</v>
      </c>
      <c r="N209" s="5" t="s">
        <v>63</v>
      </c>
      <c r="O209" s="5" t="s">
        <v>63</v>
      </c>
      <c r="P209" s="5" t="s">
        <v>63</v>
      </c>
      <c r="Q209" s="5" t="s">
        <v>63</v>
      </c>
      <c r="R209" s="5" t="s">
        <v>63</v>
      </c>
      <c r="S209" s="5" t="s">
        <v>63</v>
      </c>
      <c r="T209" s="5" t="s">
        <v>63</v>
      </c>
      <c r="U209" s="5" t="s">
        <v>63</v>
      </c>
      <c r="V209" s="5" t="s">
        <v>63</v>
      </c>
      <c r="W209" s="5" t="s">
        <v>63</v>
      </c>
      <c r="X209" s="5" t="s">
        <v>63</v>
      </c>
      <c r="Y209" s="5" t="s">
        <v>63</v>
      </c>
      <c r="Z209" s="5" t="s">
        <v>63</v>
      </c>
      <c r="AA209" s="5" t="s">
        <v>63</v>
      </c>
      <c r="AB209" s="5" t="s">
        <v>63</v>
      </c>
      <c r="AC209" s="5" t="s">
        <v>63</v>
      </c>
      <c r="AD209" s="5" t="s">
        <v>63</v>
      </c>
      <c r="AE209" s="5" t="s">
        <v>63</v>
      </c>
      <c r="AF209" s="5" t="s">
        <v>63</v>
      </c>
      <c r="AG209" s="5" t="s">
        <v>63</v>
      </c>
      <c r="AH209" s="5" t="s">
        <v>63</v>
      </c>
      <c r="AI209" s="5" t="s">
        <v>63</v>
      </c>
      <c r="AJ209" s="14" t="s">
        <v>63</v>
      </c>
      <c r="AK209" s="5" t="s">
        <v>63</v>
      </c>
      <c r="AL209" s="5" t="s">
        <v>63</v>
      </c>
      <c r="AM209" s="5" t="s">
        <v>63</v>
      </c>
      <c r="AN209" s="5" t="s">
        <v>63</v>
      </c>
      <c r="AO209" s="5" t="s">
        <v>63</v>
      </c>
      <c r="AP209" s="5" t="s">
        <v>63</v>
      </c>
      <c r="AQ209" s="5" t="s">
        <v>63</v>
      </c>
      <c r="AR209" s="5" t="s">
        <v>63</v>
      </c>
      <c r="AS209" s="8" t="s">
        <v>63</v>
      </c>
      <c r="AT209" s="5" t="s">
        <v>63</v>
      </c>
      <c r="AU209" s="5" t="s">
        <v>63</v>
      </c>
      <c r="AV209" s="5" t="s">
        <v>63</v>
      </c>
      <c r="AW209" s="5" t="s">
        <v>63</v>
      </c>
      <c r="AX209" s="5" t="s">
        <v>63</v>
      </c>
      <c r="AY209" s="5" t="s">
        <v>63</v>
      </c>
      <c r="AZ209" s="5" t="s">
        <v>63</v>
      </c>
      <c r="BA209" s="5" t="s">
        <v>63</v>
      </c>
      <c r="BB209" s="5" t="s">
        <v>63</v>
      </c>
      <c r="BC209" s="5" t="s">
        <v>64</v>
      </c>
      <c r="BD209" s="5" t="s">
        <v>63</v>
      </c>
      <c r="BT209" s="5" t="s">
        <v>64</v>
      </c>
    </row>
    <row r="210" spans="1:72">
      <c r="A210" s="1" t="str">
        <f t="shared" si="3"/>
        <v>No</v>
      </c>
      <c r="B210" s="1" t="s">
        <v>59</v>
      </c>
      <c r="C210" s="1" t="s">
        <v>464</v>
      </c>
      <c r="D210" s="11" t="s">
        <v>353</v>
      </c>
      <c r="E210" s="1" t="s">
        <v>465</v>
      </c>
      <c r="F210" s="2">
        <v>2</v>
      </c>
      <c r="G210" s="5" t="s">
        <v>63</v>
      </c>
      <c r="H210" s="5" t="s">
        <v>63</v>
      </c>
      <c r="I210" s="5" t="s">
        <v>63</v>
      </c>
      <c r="J210" s="5" t="s">
        <v>63</v>
      </c>
      <c r="K210" s="5" t="s">
        <v>63</v>
      </c>
      <c r="L210" s="5" t="s">
        <v>63</v>
      </c>
      <c r="M210" s="5" t="s">
        <v>63</v>
      </c>
      <c r="N210" s="5" t="s">
        <v>63</v>
      </c>
      <c r="O210" s="5" t="s">
        <v>63</v>
      </c>
      <c r="P210" s="5" t="s">
        <v>63</v>
      </c>
      <c r="Q210" s="5" t="s">
        <v>63</v>
      </c>
      <c r="R210" s="5" t="s">
        <v>63</v>
      </c>
      <c r="S210" s="5" t="s">
        <v>63</v>
      </c>
      <c r="T210" s="5" t="s">
        <v>63</v>
      </c>
      <c r="U210" s="5" t="s">
        <v>63</v>
      </c>
      <c r="V210" s="5" t="s">
        <v>63</v>
      </c>
      <c r="W210" s="5" t="s">
        <v>63</v>
      </c>
      <c r="X210" s="5" t="s">
        <v>63</v>
      </c>
      <c r="Y210" s="5" t="s">
        <v>63</v>
      </c>
      <c r="Z210" s="5" t="s">
        <v>63</v>
      </c>
      <c r="AA210" s="5" t="s">
        <v>63</v>
      </c>
      <c r="AB210" s="5" t="s">
        <v>63</v>
      </c>
      <c r="AC210" s="5" t="s">
        <v>63</v>
      </c>
      <c r="AD210" s="5" t="s">
        <v>63</v>
      </c>
      <c r="AE210" s="5" t="s">
        <v>63</v>
      </c>
      <c r="AF210" s="5" t="s">
        <v>63</v>
      </c>
      <c r="AG210" s="5" t="s">
        <v>63</v>
      </c>
      <c r="AH210" s="5" t="s">
        <v>63</v>
      </c>
      <c r="AI210" s="5" t="s">
        <v>63</v>
      </c>
      <c r="AJ210" s="14" t="s">
        <v>63</v>
      </c>
      <c r="AK210" s="5" t="s">
        <v>63</v>
      </c>
      <c r="AL210" s="5" t="s">
        <v>63</v>
      </c>
      <c r="AM210" s="5" t="s">
        <v>63</v>
      </c>
      <c r="AN210" s="5" t="s">
        <v>63</v>
      </c>
      <c r="AO210" s="5" t="s">
        <v>63</v>
      </c>
      <c r="AP210" s="5" t="s">
        <v>63</v>
      </c>
      <c r="AQ210" s="5" t="s">
        <v>63</v>
      </c>
      <c r="AR210" s="5" t="s">
        <v>63</v>
      </c>
      <c r="AS210" s="8" t="s">
        <v>63</v>
      </c>
      <c r="AT210" s="5" t="s">
        <v>63</v>
      </c>
      <c r="AU210" s="5" t="s">
        <v>63</v>
      </c>
      <c r="AV210" s="5" t="s">
        <v>63</v>
      </c>
      <c r="AW210" s="5" t="s">
        <v>63</v>
      </c>
      <c r="AX210" s="5" t="s">
        <v>63</v>
      </c>
      <c r="AY210" s="5" t="s">
        <v>63</v>
      </c>
      <c r="AZ210" s="5" t="s">
        <v>63</v>
      </c>
      <c r="BA210" s="5" t="s">
        <v>63</v>
      </c>
      <c r="BB210" s="5" t="s">
        <v>63</v>
      </c>
      <c r="BC210" s="5" t="s">
        <v>64</v>
      </c>
      <c r="BD210" s="5" t="s">
        <v>63</v>
      </c>
      <c r="BT210" s="5" t="s">
        <v>64</v>
      </c>
    </row>
    <row r="211" spans="1:72">
      <c r="A211" s="1" t="str">
        <f t="shared" si="3"/>
        <v>No</v>
      </c>
      <c r="B211" s="1" t="s">
        <v>59</v>
      </c>
      <c r="C211" s="1" t="s">
        <v>466</v>
      </c>
      <c r="D211" s="11" t="s">
        <v>353</v>
      </c>
      <c r="E211" s="1" t="s">
        <v>467</v>
      </c>
      <c r="F211" s="2" t="s">
        <v>63</v>
      </c>
      <c r="G211" s="5" t="s">
        <v>63</v>
      </c>
      <c r="H211" s="5" t="s">
        <v>63</v>
      </c>
      <c r="I211" s="5" t="s">
        <v>63</v>
      </c>
      <c r="J211" s="5" t="s">
        <v>63</v>
      </c>
      <c r="K211" s="5" t="s">
        <v>63</v>
      </c>
      <c r="L211" s="5" t="s">
        <v>63</v>
      </c>
      <c r="M211" s="5" t="s">
        <v>63</v>
      </c>
      <c r="N211" s="5" t="s">
        <v>63</v>
      </c>
      <c r="O211" s="5" t="s">
        <v>63</v>
      </c>
      <c r="P211" s="5" t="s">
        <v>63</v>
      </c>
      <c r="Q211" s="5" t="s">
        <v>63</v>
      </c>
      <c r="R211" s="5" t="s">
        <v>63</v>
      </c>
      <c r="S211" s="5" t="s">
        <v>63</v>
      </c>
      <c r="T211" s="5" t="s">
        <v>63</v>
      </c>
      <c r="U211" s="5" t="s">
        <v>63</v>
      </c>
      <c r="V211" s="5" t="s">
        <v>63</v>
      </c>
      <c r="W211" s="5" t="s">
        <v>63</v>
      </c>
      <c r="X211" s="5" t="s">
        <v>63</v>
      </c>
      <c r="Y211" s="5" t="s">
        <v>63</v>
      </c>
      <c r="Z211" s="5" t="s">
        <v>63</v>
      </c>
      <c r="AA211" s="5" t="s">
        <v>63</v>
      </c>
      <c r="AB211" s="5" t="s">
        <v>63</v>
      </c>
      <c r="AC211" s="5" t="s">
        <v>63</v>
      </c>
      <c r="AD211" s="5" t="s">
        <v>63</v>
      </c>
      <c r="AE211" s="5" t="s">
        <v>63</v>
      </c>
      <c r="AF211" s="5" t="s">
        <v>63</v>
      </c>
      <c r="AG211" s="5" t="s">
        <v>63</v>
      </c>
      <c r="AH211" s="5" t="s">
        <v>63</v>
      </c>
      <c r="AI211" s="5" t="s">
        <v>63</v>
      </c>
      <c r="AJ211" s="14" t="s">
        <v>63</v>
      </c>
      <c r="AK211" s="5" t="s">
        <v>63</v>
      </c>
      <c r="AL211" s="5" t="s">
        <v>63</v>
      </c>
      <c r="AM211" s="5" t="s">
        <v>63</v>
      </c>
      <c r="AN211" s="5" t="s">
        <v>63</v>
      </c>
      <c r="AO211" s="5" t="s">
        <v>63</v>
      </c>
      <c r="AP211" s="5" t="s">
        <v>63</v>
      </c>
      <c r="AQ211" s="5" t="s">
        <v>63</v>
      </c>
      <c r="AR211" s="5" t="s">
        <v>63</v>
      </c>
      <c r="AS211" s="8" t="s">
        <v>63</v>
      </c>
      <c r="AT211" s="5" t="s">
        <v>63</v>
      </c>
      <c r="AU211" s="5" t="s">
        <v>63</v>
      </c>
      <c r="AV211" s="5" t="s">
        <v>63</v>
      </c>
      <c r="AW211" s="5" t="s">
        <v>63</v>
      </c>
      <c r="AX211" s="5" t="s">
        <v>63</v>
      </c>
      <c r="AY211" s="5" t="s">
        <v>63</v>
      </c>
      <c r="AZ211" s="5" t="s">
        <v>63</v>
      </c>
      <c r="BA211" s="5" t="s">
        <v>63</v>
      </c>
      <c r="BB211" s="5" t="s">
        <v>63</v>
      </c>
      <c r="BC211" s="5" t="s">
        <v>64</v>
      </c>
      <c r="BD211" s="5" t="s">
        <v>63</v>
      </c>
      <c r="BT211" s="5" t="s">
        <v>64</v>
      </c>
    </row>
    <row r="212" spans="1:72">
      <c r="A212" s="1" t="str">
        <f t="shared" si="3"/>
        <v>No</v>
      </c>
      <c r="B212" s="1" t="s">
        <v>59</v>
      </c>
      <c r="C212" s="1" t="s">
        <v>468</v>
      </c>
      <c r="D212" s="11" t="s">
        <v>353</v>
      </c>
      <c r="E212" s="1" t="s">
        <v>469</v>
      </c>
      <c r="F212" s="2" t="s">
        <v>63</v>
      </c>
      <c r="G212" s="5" t="s">
        <v>63</v>
      </c>
      <c r="H212" s="5" t="s">
        <v>63</v>
      </c>
      <c r="I212" s="5" t="s">
        <v>63</v>
      </c>
      <c r="J212" s="5" t="s">
        <v>63</v>
      </c>
      <c r="K212" s="5" t="s">
        <v>63</v>
      </c>
      <c r="L212" s="5" t="s">
        <v>63</v>
      </c>
      <c r="M212" s="5" t="s">
        <v>63</v>
      </c>
      <c r="N212" s="5" t="s">
        <v>63</v>
      </c>
      <c r="O212" s="5" t="s">
        <v>63</v>
      </c>
      <c r="P212" s="5" t="s">
        <v>63</v>
      </c>
      <c r="Q212" s="5" t="s">
        <v>63</v>
      </c>
      <c r="R212" s="5" t="s">
        <v>63</v>
      </c>
      <c r="S212" s="5" t="s">
        <v>63</v>
      </c>
      <c r="T212" s="5" t="s">
        <v>63</v>
      </c>
      <c r="U212" s="5" t="s">
        <v>63</v>
      </c>
      <c r="V212" s="5" t="s">
        <v>63</v>
      </c>
      <c r="W212" s="5" t="s">
        <v>63</v>
      </c>
      <c r="X212" s="5" t="s">
        <v>63</v>
      </c>
      <c r="Y212" s="5" t="s">
        <v>63</v>
      </c>
      <c r="Z212" s="5" t="s">
        <v>63</v>
      </c>
      <c r="AA212" s="5" t="s">
        <v>63</v>
      </c>
      <c r="AB212" s="5" t="s">
        <v>63</v>
      </c>
      <c r="AC212" s="5" t="s">
        <v>63</v>
      </c>
      <c r="AD212" s="5" t="s">
        <v>63</v>
      </c>
      <c r="AE212" s="5" t="s">
        <v>63</v>
      </c>
      <c r="AF212" s="5" t="s">
        <v>63</v>
      </c>
      <c r="AG212" s="5" t="s">
        <v>63</v>
      </c>
      <c r="AH212" s="5" t="s">
        <v>63</v>
      </c>
      <c r="AI212" s="5" t="s">
        <v>63</v>
      </c>
      <c r="AJ212" s="14" t="s">
        <v>63</v>
      </c>
      <c r="AK212" s="5" t="s">
        <v>63</v>
      </c>
      <c r="AL212" s="5" t="s">
        <v>63</v>
      </c>
      <c r="AM212" s="5" t="s">
        <v>63</v>
      </c>
      <c r="AN212" s="5" t="s">
        <v>63</v>
      </c>
      <c r="AO212" s="5" t="s">
        <v>63</v>
      </c>
      <c r="AP212" s="5" t="s">
        <v>63</v>
      </c>
      <c r="AQ212" s="5" t="s">
        <v>63</v>
      </c>
      <c r="AR212" s="5" t="s">
        <v>63</v>
      </c>
      <c r="AS212" s="8" t="s">
        <v>63</v>
      </c>
      <c r="AT212" s="5" t="s">
        <v>63</v>
      </c>
      <c r="AU212" s="5" t="s">
        <v>63</v>
      </c>
      <c r="AV212" s="5" t="s">
        <v>63</v>
      </c>
      <c r="AW212" s="5" t="s">
        <v>63</v>
      </c>
      <c r="AX212" s="5" t="s">
        <v>63</v>
      </c>
      <c r="AY212" s="5" t="s">
        <v>63</v>
      </c>
      <c r="AZ212" s="5" t="s">
        <v>63</v>
      </c>
      <c r="BA212" s="5" t="s">
        <v>63</v>
      </c>
      <c r="BB212" s="5" t="s">
        <v>63</v>
      </c>
      <c r="BC212" s="5" t="s">
        <v>64</v>
      </c>
      <c r="BD212" s="5" t="s">
        <v>63</v>
      </c>
      <c r="BT212" s="5" t="s">
        <v>64</v>
      </c>
    </row>
    <row r="213" spans="1:72">
      <c r="A213" s="1" t="str">
        <f t="shared" si="3"/>
        <v>No</v>
      </c>
      <c r="B213" s="1" t="s">
        <v>59</v>
      </c>
      <c r="C213" s="1" t="s">
        <v>470</v>
      </c>
      <c r="D213" s="11" t="s">
        <v>353</v>
      </c>
      <c r="E213" s="1" t="s">
        <v>471</v>
      </c>
      <c r="F213" s="2" t="s">
        <v>63</v>
      </c>
      <c r="G213" s="5" t="s">
        <v>63</v>
      </c>
      <c r="H213" s="5" t="s">
        <v>63</v>
      </c>
      <c r="I213" s="5" t="s">
        <v>63</v>
      </c>
      <c r="J213" s="5" t="s">
        <v>63</v>
      </c>
      <c r="K213" s="5" t="s">
        <v>63</v>
      </c>
      <c r="L213" s="5" t="s">
        <v>63</v>
      </c>
      <c r="M213" s="5" t="s">
        <v>63</v>
      </c>
      <c r="N213" s="5" t="s">
        <v>63</v>
      </c>
      <c r="O213" s="5" t="s">
        <v>63</v>
      </c>
      <c r="P213" s="5" t="s">
        <v>63</v>
      </c>
      <c r="Q213" s="5" t="s">
        <v>63</v>
      </c>
      <c r="R213" s="5" t="s">
        <v>63</v>
      </c>
      <c r="S213" s="5" t="s">
        <v>63</v>
      </c>
      <c r="T213" s="5" t="s">
        <v>63</v>
      </c>
      <c r="U213" s="5" t="s">
        <v>63</v>
      </c>
      <c r="V213" s="5" t="s">
        <v>63</v>
      </c>
      <c r="W213" s="5" t="s">
        <v>63</v>
      </c>
      <c r="X213" s="5" t="s">
        <v>63</v>
      </c>
      <c r="Y213" s="5" t="s">
        <v>63</v>
      </c>
      <c r="Z213" s="5" t="s">
        <v>63</v>
      </c>
      <c r="AA213" s="5" t="s">
        <v>63</v>
      </c>
      <c r="AB213" s="5" t="s">
        <v>63</v>
      </c>
      <c r="AC213" s="5" t="s">
        <v>63</v>
      </c>
      <c r="AD213" s="5" t="s">
        <v>63</v>
      </c>
      <c r="AE213" s="5" t="s">
        <v>63</v>
      </c>
      <c r="AF213" s="5" t="s">
        <v>63</v>
      </c>
      <c r="AG213" s="5" t="s">
        <v>63</v>
      </c>
      <c r="AH213" s="5" t="s">
        <v>63</v>
      </c>
      <c r="AI213" s="5" t="s">
        <v>63</v>
      </c>
      <c r="AJ213" s="14" t="s">
        <v>63</v>
      </c>
      <c r="AK213" s="5" t="s">
        <v>63</v>
      </c>
      <c r="AL213" s="5" t="s">
        <v>63</v>
      </c>
      <c r="AM213" s="5" t="s">
        <v>63</v>
      </c>
      <c r="AN213" s="5" t="s">
        <v>63</v>
      </c>
      <c r="AO213" s="5" t="s">
        <v>63</v>
      </c>
      <c r="AP213" s="5" t="s">
        <v>63</v>
      </c>
      <c r="AQ213" s="5" t="s">
        <v>63</v>
      </c>
      <c r="AR213" s="5" t="s">
        <v>63</v>
      </c>
      <c r="AS213" s="8" t="s">
        <v>63</v>
      </c>
      <c r="AT213" s="5" t="s">
        <v>63</v>
      </c>
      <c r="AU213" s="5" t="s">
        <v>63</v>
      </c>
      <c r="AV213" s="5" t="s">
        <v>63</v>
      </c>
      <c r="AW213" s="5" t="s">
        <v>63</v>
      </c>
      <c r="AX213" s="5" t="s">
        <v>63</v>
      </c>
      <c r="AY213" s="5" t="s">
        <v>63</v>
      </c>
      <c r="AZ213" s="5" t="s">
        <v>63</v>
      </c>
      <c r="BA213" s="5" t="s">
        <v>63</v>
      </c>
      <c r="BB213" s="5" t="s">
        <v>63</v>
      </c>
      <c r="BC213" s="5" t="s">
        <v>64</v>
      </c>
      <c r="BD213" s="5" t="s">
        <v>63</v>
      </c>
      <c r="BT213" s="5" t="s">
        <v>64</v>
      </c>
    </row>
    <row r="214" spans="1:72">
      <c r="A214" s="1" t="str">
        <f t="shared" si="3"/>
        <v>No</v>
      </c>
      <c r="B214" s="1" t="s">
        <v>59</v>
      </c>
      <c r="C214" s="1" t="s">
        <v>472</v>
      </c>
      <c r="D214" s="11" t="s">
        <v>353</v>
      </c>
      <c r="E214" s="1" t="s">
        <v>473</v>
      </c>
      <c r="F214" s="2" t="s">
        <v>63</v>
      </c>
      <c r="G214" s="5" t="s">
        <v>63</v>
      </c>
      <c r="H214" s="5" t="s">
        <v>63</v>
      </c>
      <c r="I214" s="5" t="s">
        <v>63</v>
      </c>
      <c r="J214" s="5" t="s">
        <v>63</v>
      </c>
      <c r="K214" s="5" t="s">
        <v>63</v>
      </c>
      <c r="L214" s="5" t="s">
        <v>63</v>
      </c>
      <c r="M214" s="5" t="s">
        <v>63</v>
      </c>
      <c r="N214" s="5" t="s">
        <v>63</v>
      </c>
      <c r="O214" s="5" t="s">
        <v>63</v>
      </c>
      <c r="P214" s="5" t="s">
        <v>63</v>
      </c>
      <c r="Q214" s="5" t="s">
        <v>63</v>
      </c>
      <c r="R214" s="5" t="s">
        <v>63</v>
      </c>
      <c r="S214" s="5" t="s">
        <v>63</v>
      </c>
      <c r="T214" s="5" t="s">
        <v>63</v>
      </c>
      <c r="U214" s="5" t="s">
        <v>63</v>
      </c>
      <c r="V214" s="5" t="s">
        <v>63</v>
      </c>
      <c r="W214" s="5" t="s">
        <v>63</v>
      </c>
      <c r="X214" s="5" t="s">
        <v>63</v>
      </c>
      <c r="Y214" s="5" t="s">
        <v>63</v>
      </c>
      <c r="Z214" s="5" t="s">
        <v>63</v>
      </c>
      <c r="AA214" s="5" t="s">
        <v>63</v>
      </c>
      <c r="AB214" s="5" t="s">
        <v>63</v>
      </c>
      <c r="AC214" s="5" t="s">
        <v>63</v>
      </c>
      <c r="AD214" s="5" t="s">
        <v>63</v>
      </c>
      <c r="AE214" s="5" t="s">
        <v>63</v>
      </c>
      <c r="AF214" s="5" t="s">
        <v>63</v>
      </c>
      <c r="AG214" s="5" t="s">
        <v>63</v>
      </c>
      <c r="AH214" s="5" t="s">
        <v>63</v>
      </c>
      <c r="AI214" s="5" t="s">
        <v>63</v>
      </c>
      <c r="AJ214" s="14" t="s">
        <v>63</v>
      </c>
      <c r="AK214" s="5" t="s">
        <v>63</v>
      </c>
      <c r="AL214" s="5" t="s">
        <v>63</v>
      </c>
      <c r="AM214" s="5" t="s">
        <v>63</v>
      </c>
      <c r="AN214" s="5" t="s">
        <v>63</v>
      </c>
      <c r="AO214" s="5" t="s">
        <v>63</v>
      </c>
      <c r="AP214" s="5" t="s">
        <v>63</v>
      </c>
      <c r="AQ214" s="5" t="s">
        <v>63</v>
      </c>
      <c r="AR214" s="5" t="s">
        <v>63</v>
      </c>
      <c r="AS214" s="8" t="s">
        <v>63</v>
      </c>
      <c r="AT214" s="5" t="s">
        <v>63</v>
      </c>
      <c r="AU214" s="5" t="s">
        <v>63</v>
      </c>
      <c r="AV214" s="5" t="s">
        <v>63</v>
      </c>
      <c r="AW214" s="5" t="s">
        <v>63</v>
      </c>
      <c r="AX214" s="5" t="s">
        <v>63</v>
      </c>
      <c r="AY214" s="5" t="s">
        <v>63</v>
      </c>
      <c r="AZ214" s="5" t="s">
        <v>63</v>
      </c>
      <c r="BA214" s="5" t="s">
        <v>63</v>
      </c>
      <c r="BB214" s="5" t="s">
        <v>63</v>
      </c>
      <c r="BC214" s="5" t="s">
        <v>64</v>
      </c>
      <c r="BD214" s="5" t="s">
        <v>63</v>
      </c>
      <c r="BT214" s="5" t="s">
        <v>64</v>
      </c>
    </row>
    <row r="215" spans="1:72">
      <c r="A215" s="1" t="str">
        <f t="shared" si="3"/>
        <v>No</v>
      </c>
      <c r="B215" s="1" t="s">
        <v>59</v>
      </c>
      <c r="C215" s="1" t="s">
        <v>474</v>
      </c>
      <c r="D215" s="11" t="s">
        <v>353</v>
      </c>
      <c r="E215" s="1" t="s">
        <v>475</v>
      </c>
      <c r="F215" s="2" t="s">
        <v>63</v>
      </c>
      <c r="G215" s="5" t="s">
        <v>63</v>
      </c>
      <c r="H215" s="5" t="s">
        <v>63</v>
      </c>
      <c r="I215" s="5" t="s">
        <v>63</v>
      </c>
      <c r="J215" s="5" t="s">
        <v>63</v>
      </c>
      <c r="K215" s="5" t="s">
        <v>63</v>
      </c>
      <c r="L215" s="5" t="s">
        <v>63</v>
      </c>
      <c r="M215" s="5" t="s">
        <v>63</v>
      </c>
      <c r="N215" s="5" t="s">
        <v>63</v>
      </c>
      <c r="O215" s="5" t="s">
        <v>63</v>
      </c>
      <c r="P215" s="5" t="s">
        <v>63</v>
      </c>
      <c r="Q215" s="5" t="s">
        <v>63</v>
      </c>
      <c r="R215" s="5" t="s">
        <v>63</v>
      </c>
      <c r="S215" s="5" t="s">
        <v>63</v>
      </c>
      <c r="T215" s="5" t="s">
        <v>63</v>
      </c>
      <c r="U215" s="5" t="s">
        <v>63</v>
      </c>
      <c r="V215" s="5" t="s">
        <v>63</v>
      </c>
      <c r="W215" s="5" t="s">
        <v>63</v>
      </c>
      <c r="X215" s="5" t="s">
        <v>63</v>
      </c>
      <c r="Y215" s="5" t="s">
        <v>63</v>
      </c>
      <c r="Z215" s="5" t="s">
        <v>63</v>
      </c>
      <c r="AA215" s="5" t="s">
        <v>63</v>
      </c>
      <c r="AB215" s="5" t="s">
        <v>63</v>
      </c>
      <c r="AC215" s="5" t="s">
        <v>63</v>
      </c>
      <c r="AD215" s="5" t="s">
        <v>63</v>
      </c>
      <c r="AE215" s="5" t="s">
        <v>63</v>
      </c>
      <c r="AF215" s="5" t="s">
        <v>63</v>
      </c>
      <c r="AG215" s="5" t="s">
        <v>63</v>
      </c>
      <c r="AH215" s="5" t="s">
        <v>63</v>
      </c>
      <c r="AI215" s="5" t="s">
        <v>63</v>
      </c>
      <c r="AJ215" s="14" t="s">
        <v>63</v>
      </c>
      <c r="AK215" s="5" t="s">
        <v>63</v>
      </c>
      <c r="AL215" s="5" t="s">
        <v>63</v>
      </c>
      <c r="AM215" s="5" t="s">
        <v>63</v>
      </c>
      <c r="AN215" s="5" t="s">
        <v>63</v>
      </c>
      <c r="AO215" s="5" t="s">
        <v>63</v>
      </c>
      <c r="AP215" s="5" t="s">
        <v>63</v>
      </c>
      <c r="AQ215" s="5" t="s">
        <v>63</v>
      </c>
      <c r="AR215" s="5" t="s">
        <v>63</v>
      </c>
      <c r="AS215" s="8" t="s">
        <v>63</v>
      </c>
      <c r="AT215" s="5" t="s">
        <v>63</v>
      </c>
      <c r="AU215" s="5" t="s">
        <v>63</v>
      </c>
      <c r="AV215" s="5" t="s">
        <v>63</v>
      </c>
      <c r="AW215" s="5" t="s">
        <v>63</v>
      </c>
      <c r="AX215" s="5" t="s">
        <v>63</v>
      </c>
      <c r="AY215" s="5" t="s">
        <v>63</v>
      </c>
      <c r="AZ215" s="5" t="s">
        <v>63</v>
      </c>
      <c r="BA215" s="5" t="s">
        <v>63</v>
      </c>
      <c r="BB215" s="5" t="s">
        <v>63</v>
      </c>
      <c r="BC215" s="5" t="s">
        <v>64</v>
      </c>
      <c r="BD215" s="5" t="s">
        <v>63</v>
      </c>
      <c r="BT215" s="5" t="s">
        <v>64</v>
      </c>
    </row>
    <row r="216" spans="1:72">
      <c r="A216" s="1" t="str">
        <f t="shared" si="3"/>
        <v>Yes</v>
      </c>
      <c r="B216" s="1" t="s">
        <v>106</v>
      </c>
      <c r="C216" s="1" t="s">
        <v>476</v>
      </c>
      <c r="D216" s="11" t="s">
        <v>139</v>
      </c>
      <c r="E216" s="1" t="s">
        <v>477</v>
      </c>
      <c r="F216" s="2">
        <v>4</v>
      </c>
      <c r="G216" s="5" t="s">
        <v>63</v>
      </c>
      <c r="H216" s="5" t="s">
        <v>63</v>
      </c>
      <c r="I216" s="5" t="s">
        <v>63</v>
      </c>
      <c r="J216" s="5" t="s">
        <v>63</v>
      </c>
      <c r="K216" s="5" t="s">
        <v>63</v>
      </c>
      <c r="L216" s="5" t="s">
        <v>63</v>
      </c>
      <c r="M216" s="5" t="s">
        <v>63</v>
      </c>
      <c r="N216" s="5" t="s">
        <v>63</v>
      </c>
      <c r="O216" s="5" t="s">
        <v>63</v>
      </c>
      <c r="P216" s="5" t="s">
        <v>63</v>
      </c>
      <c r="Q216" s="5" t="s">
        <v>63</v>
      </c>
      <c r="R216" s="5" t="s">
        <v>63</v>
      </c>
      <c r="S216" s="5" t="s">
        <v>63</v>
      </c>
      <c r="T216" s="5" t="s">
        <v>63</v>
      </c>
      <c r="U216" s="5" t="s">
        <v>63</v>
      </c>
      <c r="V216" s="5" t="s">
        <v>63</v>
      </c>
      <c r="W216" s="5" t="s">
        <v>63</v>
      </c>
      <c r="X216" s="5" t="s">
        <v>63</v>
      </c>
      <c r="Y216" s="5" t="s">
        <v>63</v>
      </c>
      <c r="Z216" s="5" t="s">
        <v>63</v>
      </c>
      <c r="AA216" s="5" t="s">
        <v>63</v>
      </c>
      <c r="AB216" s="5" t="s">
        <v>63</v>
      </c>
      <c r="AC216" s="5" t="s">
        <v>63</v>
      </c>
      <c r="AD216" s="5" t="s">
        <v>63</v>
      </c>
      <c r="AE216" s="5" t="s">
        <v>63</v>
      </c>
      <c r="AF216" s="5" t="s">
        <v>64</v>
      </c>
      <c r="AG216" s="5" t="s">
        <v>63</v>
      </c>
      <c r="AH216" s="5" t="s">
        <v>63</v>
      </c>
      <c r="AI216" s="5" t="s">
        <v>63</v>
      </c>
      <c r="AJ216" s="14" t="s">
        <v>63</v>
      </c>
      <c r="AK216" s="5" t="s">
        <v>64</v>
      </c>
      <c r="AL216" s="5" t="s">
        <v>63</v>
      </c>
      <c r="AM216" s="5" t="s">
        <v>64</v>
      </c>
      <c r="AN216" s="5" t="s">
        <v>64</v>
      </c>
      <c r="AO216" s="5" t="s">
        <v>64</v>
      </c>
      <c r="AP216" s="5" t="s">
        <v>63</v>
      </c>
      <c r="AQ216" s="5" t="s">
        <v>63</v>
      </c>
      <c r="AR216" s="5" t="s">
        <v>63</v>
      </c>
      <c r="AS216" s="8" t="s">
        <v>63</v>
      </c>
      <c r="AT216" s="5" t="s">
        <v>63</v>
      </c>
      <c r="AU216" s="5" t="s">
        <v>63</v>
      </c>
      <c r="AV216" s="5" t="s">
        <v>63</v>
      </c>
      <c r="AW216" s="5" t="s">
        <v>63</v>
      </c>
      <c r="AX216" s="5" t="s">
        <v>63</v>
      </c>
      <c r="AY216" s="5" t="s">
        <v>63</v>
      </c>
      <c r="AZ216" s="5" t="s">
        <v>63</v>
      </c>
      <c r="BA216" s="5" t="s">
        <v>63</v>
      </c>
      <c r="BB216" s="5" t="s">
        <v>63</v>
      </c>
      <c r="BC216" s="5" t="s">
        <v>63</v>
      </c>
      <c r="BD216" s="5" t="s">
        <v>63</v>
      </c>
      <c r="BI216" s="5" t="s">
        <v>64</v>
      </c>
      <c r="BL216" s="5" t="s">
        <v>64</v>
      </c>
      <c r="BN216" s="5" t="s">
        <v>64</v>
      </c>
    </row>
    <row r="217" spans="1:72">
      <c r="A217" s="1" t="str">
        <f t="shared" si="3"/>
        <v>No</v>
      </c>
      <c r="B217" s="1" t="s">
        <v>59</v>
      </c>
      <c r="C217" s="1" t="s">
        <v>478</v>
      </c>
      <c r="D217" s="11" t="s">
        <v>77</v>
      </c>
      <c r="E217" s="1" t="s">
        <v>479</v>
      </c>
      <c r="F217" s="2">
        <v>3</v>
      </c>
      <c r="G217" s="5" t="s">
        <v>63</v>
      </c>
      <c r="H217" s="5" t="s">
        <v>63</v>
      </c>
      <c r="I217" s="5" t="s">
        <v>63</v>
      </c>
      <c r="J217" s="5" t="s">
        <v>63</v>
      </c>
      <c r="K217" s="5" t="s">
        <v>63</v>
      </c>
      <c r="L217" s="5" t="s">
        <v>63</v>
      </c>
      <c r="M217" s="5" t="s">
        <v>63</v>
      </c>
      <c r="N217" s="5" t="s">
        <v>63</v>
      </c>
      <c r="O217" s="5" t="s">
        <v>63</v>
      </c>
      <c r="P217" s="5" t="s">
        <v>63</v>
      </c>
      <c r="Q217" s="5" t="s">
        <v>63</v>
      </c>
      <c r="R217" s="5" t="s">
        <v>63</v>
      </c>
      <c r="S217" s="5" t="s">
        <v>63</v>
      </c>
      <c r="T217" s="5" t="s">
        <v>63</v>
      </c>
      <c r="U217" s="5" t="s">
        <v>63</v>
      </c>
      <c r="V217" s="5" t="s">
        <v>63</v>
      </c>
      <c r="W217" s="5" t="s">
        <v>63</v>
      </c>
      <c r="X217" s="5" t="s">
        <v>63</v>
      </c>
      <c r="Y217" s="5" t="s">
        <v>63</v>
      </c>
      <c r="Z217" s="5" t="s">
        <v>63</v>
      </c>
      <c r="AA217" s="5" t="s">
        <v>63</v>
      </c>
      <c r="AB217" s="5" t="s">
        <v>63</v>
      </c>
      <c r="AC217" s="5" t="s">
        <v>63</v>
      </c>
      <c r="AD217" s="5" t="s">
        <v>63</v>
      </c>
      <c r="AE217" s="5" t="s">
        <v>63</v>
      </c>
      <c r="AF217" s="5" t="s">
        <v>63</v>
      </c>
      <c r="AG217" s="5" t="s">
        <v>63</v>
      </c>
      <c r="AH217" s="5" t="s">
        <v>63</v>
      </c>
      <c r="AI217" s="5" t="s">
        <v>63</v>
      </c>
      <c r="AJ217" s="14" t="s">
        <v>63</v>
      </c>
      <c r="AK217" s="5" t="s">
        <v>63</v>
      </c>
      <c r="AL217" s="5" t="s">
        <v>63</v>
      </c>
      <c r="AM217" s="5" t="s">
        <v>63</v>
      </c>
      <c r="AN217" s="5" t="s">
        <v>63</v>
      </c>
      <c r="AO217" s="5" t="s">
        <v>63</v>
      </c>
      <c r="AP217" s="5" t="s">
        <v>63</v>
      </c>
      <c r="AQ217" s="5" t="s">
        <v>63</v>
      </c>
      <c r="AR217" s="5" t="s">
        <v>63</v>
      </c>
      <c r="AS217" s="8" t="s">
        <v>63</v>
      </c>
      <c r="AT217" s="5" t="s">
        <v>63</v>
      </c>
      <c r="AU217" s="5" t="s">
        <v>63</v>
      </c>
      <c r="AV217" s="5" t="s">
        <v>64</v>
      </c>
      <c r="AW217" s="5" t="s">
        <v>63</v>
      </c>
      <c r="AX217" s="5" t="s">
        <v>63</v>
      </c>
      <c r="AY217" s="5" t="s">
        <v>63</v>
      </c>
      <c r="AZ217" s="5" t="s">
        <v>64</v>
      </c>
      <c r="BA217" s="5" t="s">
        <v>63</v>
      </c>
      <c r="BB217" s="5" t="s">
        <v>63</v>
      </c>
      <c r="BC217" s="5" t="s">
        <v>63</v>
      </c>
      <c r="BD217" s="5" t="s">
        <v>63</v>
      </c>
      <c r="BP217" s="5" t="s">
        <v>64</v>
      </c>
      <c r="BR217" s="5" t="s">
        <v>64</v>
      </c>
    </row>
    <row r="218" spans="1:72">
      <c r="A218" s="1" t="str">
        <f t="shared" si="3"/>
        <v>No</v>
      </c>
      <c r="B218" s="1" t="s">
        <v>59</v>
      </c>
      <c r="C218" s="1" t="s">
        <v>480</v>
      </c>
      <c r="E218" s="1" t="s">
        <v>481</v>
      </c>
      <c r="F218" s="2">
        <v>3</v>
      </c>
      <c r="G218" s="5" t="s">
        <v>63</v>
      </c>
      <c r="H218" s="5" t="s">
        <v>63</v>
      </c>
      <c r="I218" s="5" t="s">
        <v>63</v>
      </c>
      <c r="J218" s="5" t="s">
        <v>63</v>
      </c>
      <c r="K218" s="5" t="s">
        <v>63</v>
      </c>
      <c r="L218" s="5" t="s">
        <v>63</v>
      </c>
      <c r="M218" s="5" t="s">
        <v>63</v>
      </c>
      <c r="N218" s="5" t="s">
        <v>63</v>
      </c>
      <c r="O218" s="5" t="s">
        <v>63</v>
      </c>
      <c r="P218" s="5" t="s">
        <v>63</v>
      </c>
      <c r="Q218" s="5" t="s">
        <v>63</v>
      </c>
      <c r="R218" s="5" t="s">
        <v>63</v>
      </c>
      <c r="S218" s="5" t="s">
        <v>63</v>
      </c>
      <c r="T218" s="5" t="s">
        <v>63</v>
      </c>
      <c r="U218" s="5" t="s">
        <v>63</v>
      </c>
      <c r="V218" s="5" t="s">
        <v>63</v>
      </c>
      <c r="W218" s="5" t="s">
        <v>63</v>
      </c>
      <c r="X218" s="5" t="s">
        <v>63</v>
      </c>
      <c r="Y218" s="5" t="s">
        <v>63</v>
      </c>
      <c r="Z218" s="5" t="s">
        <v>63</v>
      </c>
      <c r="AA218" s="5" t="s">
        <v>63</v>
      </c>
      <c r="AB218" s="5" t="s">
        <v>63</v>
      </c>
      <c r="AC218" s="5" t="s">
        <v>63</v>
      </c>
      <c r="AD218" s="5" t="s">
        <v>63</v>
      </c>
      <c r="AE218" s="5" t="s">
        <v>63</v>
      </c>
      <c r="AF218" s="5" t="s">
        <v>63</v>
      </c>
      <c r="AG218" s="5" t="s">
        <v>63</v>
      </c>
      <c r="AH218" s="5" t="s">
        <v>63</v>
      </c>
      <c r="AI218" s="5" t="s">
        <v>63</v>
      </c>
      <c r="AJ218" s="14" t="s">
        <v>63</v>
      </c>
      <c r="AK218" s="5" t="s">
        <v>63</v>
      </c>
      <c r="AL218" s="5" t="s">
        <v>63</v>
      </c>
      <c r="AM218" s="5" t="s">
        <v>63</v>
      </c>
      <c r="AN218" s="5" t="s">
        <v>63</v>
      </c>
      <c r="AO218" s="5" t="s">
        <v>63</v>
      </c>
      <c r="AP218" s="5" t="s">
        <v>63</v>
      </c>
      <c r="AQ218" s="5" t="s">
        <v>63</v>
      </c>
      <c r="AR218" s="5" t="s">
        <v>63</v>
      </c>
      <c r="AS218" s="8" t="s">
        <v>63</v>
      </c>
      <c r="AT218" s="5" t="s">
        <v>63</v>
      </c>
      <c r="AU218" s="5" t="s">
        <v>63</v>
      </c>
      <c r="AV218" s="5" t="s">
        <v>63</v>
      </c>
      <c r="AW218" s="5" t="s">
        <v>63</v>
      </c>
      <c r="AX218" s="5" t="s">
        <v>63</v>
      </c>
      <c r="AY218" s="5" t="s">
        <v>63</v>
      </c>
      <c r="AZ218" s="5" t="s">
        <v>63</v>
      </c>
      <c r="BA218" s="5" t="s">
        <v>63</v>
      </c>
      <c r="BB218" s="5" t="s">
        <v>63</v>
      </c>
      <c r="BC218" s="5" t="s">
        <v>63</v>
      </c>
      <c r="BD218" s="5" t="s">
        <v>63</v>
      </c>
    </row>
    <row r="219" spans="1:72">
      <c r="A219" s="1" t="str">
        <f t="shared" si="3"/>
        <v>Yes</v>
      </c>
      <c r="B219" s="1" t="s">
        <v>106</v>
      </c>
      <c r="C219" s="1" t="s">
        <v>482</v>
      </c>
      <c r="D219" s="11" t="s">
        <v>139</v>
      </c>
      <c r="E219" s="1" t="s">
        <v>483</v>
      </c>
      <c r="F219" s="2">
        <v>3</v>
      </c>
      <c r="G219" s="5" t="s">
        <v>63</v>
      </c>
      <c r="H219" s="5" t="s">
        <v>63</v>
      </c>
      <c r="I219" s="5" t="s">
        <v>63</v>
      </c>
      <c r="J219" s="5" t="s">
        <v>63</v>
      </c>
      <c r="K219" s="5" t="s">
        <v>63</v>
      </c>
      <c r="L219" s="5" t="s">
        <v>63</v>
      </c>
      <c r="M219" s="5" t="s">
        <v>63</v>
      </c>
      <c r="N219" s="5" t="s">
        <v>63</v>
      </c>
      <c r="O219" s="5" t="s">
        <v>63</v>
      </c>
      <c r="P219" s="5" t="s">
        <v>63</v>
      </c>
      <c r="Q219" s="5" t="s">
        <v>63</v>
      </c>
      <c r="R219" s="5" t="s">
        <v>63</v>
      </c>
      <c r="S219" s="5" t="s">
        <v>63</v>
      </c>
      <c r="T219" s="5" t="s">
        <v>63</v>
      </c>
      <c r="U219" s="5" t="s">
        <v>63</v>
      </c>
      <c r="V219" s="5" t="s">
        <v>63</v>
      </c>
      <c r="W219" s="5" t="s">
        <v>63</v>
      </c>
      <c r="X219" s="5" t="s">
        <v>63</v>
      </c>
      <c r="Y219" s="5" t="s">
        <v>63</v>
      </c>
      <c r="Z219" s="5" t="s">
        <v>63</v>
      </c>
      <c r="AA219" s="5" t="s">
        <v>63</v>
      </c>
      <c r="AB219" s="5" t="s">
        <v>63</v>
      </c>
      <c r="AC219" s="5" t="s">
        <v>63</v>
      </c>
      <c r="AD219" s="5" t="s">
        <v>63</v>
      </c>
      <c r="AE219" s="5" t="s">
        <v>63</v>
      </c>
      <c r="AF219" s="5" t="s">
        <v>63</v>
      </c>
      <c r="AG219" s="5" t="s">
        <v>63</v>
      </c>
      <c r="AH219" s="5" t="s">
        <v>63</v>
      </c>
      <c r="AI219" s="5" t="s">
        <v>63</v>
      </c>
      <c r="AJ219" s="14" t="s">
        <v>63</v>
      </c>
      <c r="AK219" s="5" t="s">
        <v>63</v>
      </c>
      <c r="AL219" s="5" t="s">
        <v>63</v>
      </c>
      <c r="AM219" s="5" t="s">
        <v>64</v>
      </c>
      <c r="AN219" s="5" t="s">
        <v>64</v>
      </c>
      <c r="AO219" s="5" t="s">
        <v>64</v>
      </c>
      <c r="AP219" s="5" t="s">
        <v>63</v>
      </c>
      <c r="AQ219" s="5" t="s">
        <v>63</v>
      </c>
      <c r="AR219" s="5" t="s">
        <v>63</v>
      </c>
      <c r="AS219" s="8" t="s">
        <v>63</v>
      </c>
      <c r="AT219" s="5" t="s">
        <v>63</v>
      </c>
      <c r="AU219" s="5" t="s">
        <v>63</v>
      </c>
      <c r="AV219" s="5" t="s">
        <v>63</v>
      </c>
      <c r="AW219" s="5" t="s">
        <v>63</v>
      </c>
      <c r="AX219" s="5" t="s">
        <v>63</v>
      </c>
      <c r="AY219" s="5" t="s">
        <v>63</v>
      </c>
      <c r="AZ219" s="5" t="s">
        <v>63</v>
      </c>
      <c r="BA219" s="5" t="s">
        <v>63</v>
      </c>
      <c r="BB219" s="5" t="s">
        <v>63</v>
      </c>
      <c r="BC219" s="5" t="s">
        <v>63</v>
      </c>
      <c r="BD219" s="5" t="s">
        <v>63</v>
      </c>
      <c r="BN219" s="5" t="s">
        <v>64</v>
      </c>
    </row>
    <row r="220" spans="1:72">
      <c r="A220" s="1" t="str">
        <f t="shared" si="3"/>
        <v>No</v>
      </c>
      <c r="B220" s="1" t="s">
        <v>59</v>
      </c>
      <c r="C220" s="1" t="s">
        <v>484</v>
      </c>
      <c r="D220" s="11" t="s">
        <v>77</v>
      </c>
      <c r="E220" s="1" t="s">
        <v>485</v>
      </c>
      <c r="F220" s="2">
        <v>3</v>
      </c>
      <c r="G220" s="5" t="s">
        <v>63</v>
      </c>
      <c r="H220" s="5" t="s">
        <v>63</v>
      </c>
      <c r="I220" s="5" t="s">
        <v>63</v>
      </c>
      <c r="J220" s="5" t="s">
        <v>63</v>
      </c>
      <c r="K220" s="5" t="s">
        <v>63</v>
      </c>
      <c r="L220" s="5" t="s">
        <v>63</v>
      </c>
      <c r="M220" s="5" t="s">
        <v>63</v>
      </c>
      <c r="N220" s="5" t="s">
        <v>63</v>
      </c>
      <c r="O220" s="5" t="s">
        <v>63</v>
      </c>
      <c r="P220" s="5" t="s">
        <v>63</v>
      </c>
      <c r="Q220" s="5" t="s">
        <v>63</v>
      </c>
      <c r="R220" s="5" t="s">
        <v>63</v>
      </c>
      <c r="S220" s="5" t="s">
        <v>63</v>
      </c>
      <c r="T220" s="5" t="s">
        <v>63</v>
      </c>
      <c r="U220" s="5" t="s">
        <v>63</v>
      </c>
      <c r="V220" s="5" t="s">
        <v>63</v>
      </c>
      <c r="W220" s="5" t="s">
        <v>63</v>
      </c>
      <c r="X220" s="5" t="s">
        <v>63</v>
      </c>
      <c r="Y220" s="5" t="s">
        <v>63</v>
      </c>
      <c r="Z220" s="5" t="s">
        <v>63</v>
      </c>
      <c r="AA220" s="5" t="s">
        <v>63</v>
      </c>
      <c r="AB220" s="5" t="s">
        <v>63</v>
      </c>
      <c r="AC220" s="5" t="s">
        <v>63</v>
      </c>
      <c r="AD220" s="5" t="s">
        <v>63</v>
      </c>
      <c r="AE220" s="5" t="s">
        <v>63</v>
      </c>
      <c r="AF220" s="5" t="s">
        <v>63</v>
      </c>
      <c r="AG220" s="5" t="s">
        <v>63</v>
      </c>
      <c r="AH220" s="5" t="s">
        <v>63</v>
      </c>
      <c r="AI220" s="5" t="s">
        <v>63</v>
      </c>
      <c r="AJ220" s="14" t="s">
        <v>64</v>
      </c>
      <c r="AK220" s="5" t="s">
        <v>63</v>
      </c>
      <c r="AL220" s="5" t="s">
        <v>63</v>
      </c>
      <c r="AM220" s="5" t="s">
        <v>63</v>
      </c>
      <c r="AN220" s="5" t="s">
        <v>63</v>
      </c>
      <c r="AO220" s="5" t="s">
        <v>64</v>
      </c>
      <c r="AP220" s="5" t="s">
        <v>63</v>
      </c>
      <c r="AQ220" s="5" t="s">
        <v>63</v>
      </c>
      <c r="AR220" s="5" t="s">
        <v>63</v>
      </c>
      <c r="AS220" s="8" t="s">
        <v>63</v>
      </c>
      <c r="AT220" s="5" t="s">
        <v>63</v>
      </c>
      <c r="AU220" s="5" t="s">
        <v>63</v>
      </c>
      <c r="AV220" s="5" t="s">
        <v>63</v>
      </c>
      <c r="AW220" s="5" t="s">
        <v>63</v>
      </c>
      <c r="AX220" s="5" t="s">
        <v>63</v>
      </c>
      <c r="AY220" s="5" t="s">
        <v>63</v>
      </c>
      <c r="AZ220" s="5" t="s">
        <v>63</v>
      </c>
      <c r="BA220" s="5" t="s">
        <v>63</v>
      </c>
      <c r="BB220" s="5" t="s">
        <v>63</v>
      </c>
      <c r="BC220" s="5" t="s">
        <v>63</v>
      </c>
      <c r="BD220" s="5" t="s">
        <v>63</v>
      </c>
      <c r="BL220" s="5" t="s">
        <v>64</v>
      </c>
      <c r="BN220" s="5" t="s">
        <v>64</v>
      </c>
    </row>
    <row r="221" spans="1:72">
      <c r="A221" s="1" t="str">
        <f t="shared" si="3"/>
        <v>Yes</v>
      </c>
      <c r="B221" s="1" t="s">
        <v>106</v>
      </c>
      <c r="C221" s="1" t="s">
        <v>486</v>
      </c>
      <c r="D221" s="11" t="s">
        <v>139</v>
      </c>
      <c r="E221" s="1" t="s">
        <v>487</v>
      </c>
      <c r="F221" s="2">
        <v>3</v>
      </c>
      <c r="G221" s="5" t="s">
        <v>63</v>
      </c>
      <c r="H221" s="5" t="s">
        <v>63</v>
      </c>
      <c r="I221" s="5" t="s">
        <v>63</v>
      </c>
      <c r="J221" s="5" t="s">
        <v>63</v>
      </c>
      <c r="K221" s="5" t="s">
        <v>63</v>
      </c>
      <c r="L221" s="5" t="s">
        <v>63</v>
      </c>
      <c r="M221" s="5" t="s">
        <v>63</v>
      </c>
      <c r="N221" s="5" t="s">
        <v>63</v>
      </c>
      <c r="O221" s="5" t="s">
        <v>63</v>
      </c>
      <c r="P221" s="5" t="s">
        <v>63</v>
      </c>
      <c r="Q221" s="5" t="s">
        <v>63</v>
      </c>
      <c r="R221" s="5" t="s">
        <v>63</v>
      </c>
      <c r="S221" s="5" t="s">
        <v>63</v>
      </c>
      <c r="T221" s="5" t="s">
        <v>63</v>
      </c>
      <c r="U221" s="5" t="s">
        <v>63</v>
      </c>
      <c r="V221" s="5" t="s">
        <v>63</v>
      </c>
      <c r="W221" s="5" t="s">
        <v>63</v>
      </c>
      <c r="X221" s="5" t="s">
        <v>63</v>
      </c>
      <c r="Y221" s="5" t="s">
        <v>63</v>
      </c>
      <c r="Z221" s="5" t="s">
        <v>63</v>
      </c>
      <c r="AA221" s="5" t="s">
        <v>63</v>
      </c>
      <c r="AB221" s="5" t="s">
        <v>63</v>
      </c>
      <c r="AC221" s="5" t="s">
        <v>63</v>
      </c>
      <c r="AD221" s="5" t="s">
        <v>63</v>
      </c>
      <c r="AE221" s="5" t="s">
        <v>63</v>
      </c>
      <c r="AF221" s="5" t="s">
        <v>63</v>
      </c>
      <c r="AG221" s="5" t="s">
        <v>63</v>
      </c>
      <c r="AH221" s="5" t="s">
        <v>63</v>
      </c>
      <c r="AI221" s="5" t="s">
        <v>63</v>
      </c>
      <c r="AJ221" s="14" t="s">
        <v>63</v>
      </c>
      <c r="AK221" s="5" t="s">
        <v>63</v>
      </c>
      <c r="AL221" s="5" t="s">
        <v>63</v>
      </c>
      <c r="AM221" s="5" t="s">
        <v>64</v>
      </c>
      <c r="AN221" s="5" t="s">
        <v>63</v>
      </c>
      <c r="AO221" s="5" t="s">
        <v>64</v>
      </c>
      <c r="AP221" s="5" t="s">
        <v>63</v>
      </c>
      <c r="AQ221" s="5" t="s">
        <v>63</v>
      </c>
      <c r="AR221" s="5" t="s">
        <v>63</v>
      </c>
      <c r="AS221" s="8" t="s">
        <v>63</v>
      </c>
      <c r="AT221" s="5" t="s">
        <v>63</v>
      </c>
      <c r="AU221" s="5" t="s">
        <v>63</v>
      </c>
      <c r="AV221" s="5" t="s">
        <v>63</v>
      </c>
      <c r="AW221" s="5" t="s">
        <v>63</v>
      </c>
      <c r="AX221" s="5" t="s">
        <v>63</v>
      </c>
      <c r="AY221" s="5" t="s">
        <v>63</v>
      </c>
      <c r="AZ221" s="5" t="s">
        <v>63</v>
      </c>
      <c r="BA221" s="5" t="s">
        <v>63</v>
      </c>
      <c r="BB221" s="5" t="s">
        <v>63</v>
      </c>
      <c r="BC221" s="5" t="s">
        <v>63</v>
      </c>
      <c r="BD221" s="5" t="s">
        <v>63</v>
      </c>
      <c r="BN221" s="5" t="s">
        <v>64</v>
      </c>
    </row>
    <row r="222" spans="1:72">
      <c r="A222" s="1" t="str">
        <f t="shared" si="3"/>
        <v>Yes</v>
      </c>
      <c r="B222" s="1" t="s">
        <v>106</v>
      </c>
      <c r="C222" s="1" t="s">
        <v>488</v>
      </c>
      <c r="D222" s="11" t="s">
        <v>346</v>
      </c>
      <c r="E222" s="1" t="s">
        <v>489</v>
      </c>
      <c r="F222" s="2">
        <v>3</v>
      </c>
      <c r="G222" s="5" t="s">
        <v>63</v>
      </c>
      <c r="H222" s="5" t="s">
        <v>63</v>
      </c>
      <c r="I222" s="5" t="s">
        <v>63</v>
      </c>
      <c r="J222" s="5" t="s">
        <v>63</v>
      </c>
      <c r="K222" s="5" t="s">
        <v>63</v>
      </c>
      <c r="L222" s="5" t="s">
        <v>63</v>
      </c>
      <c r="M222" s="5" t="s">
        <v>63</v>
      </c>
      <c r="N222" s="5" t="s">
        <v>63</v>
      </c>
      <c r="O222" s="5" t="s">
        <v>63</v>
      </c>
      <c r="P222" s="5" t="s">
        <v>63</v>
      </c>
      <c r="Q222" s="5" t="s">
        <v>63</v>
      </c>
      <c r="R222" s="5" t="s">
        <v>63</v>
      </c>
      <c r="S222" s="5" t="s">
        <v>63</v>
      </c>
      <c r="T222" s="5" t="s">
        <v>63</v>
      </c>
      <c r="U222" s="5" t="s">
        <v>64</v>
      </c>
      <c r="V222" s="5" t="s">
        <v>63</v>
      </c>
      <c r="W222" s="5" t="s">
        <v>63</v>
      </c>
      <c r="X222" s="5" t="s">
        <v>63</v>
      </c>
      <c r="Y222" s="5" t="s">
        <v>64</v>
      </c>
      <c r="Z222" s="5" t="s">
        <v>63</v>
      </c>
      <c r="AA222" s="5" t="s">
        <v>63</v>
      </c>
      <c r="AB222" s="5" t="s">
        <v>63</v>
      </c>
      <c r="AC222" s="5" t="s">
        <v>63</v>
      </c>
      <c r="AD222" s="5" t="s">
        <v>63</v>
      </c>
      <c r="AE222" s="5" t="s">
        <v>64</v>
      </c>
      <c r="AF222" s="5" t="s">
        <v>63</v>
      </c>
      <c r="AG222" s="5" t="s">
        <v>63</v>
      </c>
      <c r="AH222" s="5" t="s">
        <v>63</v>
      </c>
      <c r="AI222" s="5" t="s">
        <v>63</v>
      </c>
      <c r="AJ222" s="14" t="s">
        <v>64</v>
      </c>
      <c r="AK222" s="5" t="s">
        <v>63</v>
      </c>
      <c r="AL222" s="5" t="s">
        <v>63</v>
      </c>
      <c r="AM222" s="5" t="s">
        <v>63</v>
      </c>
      <c r="AN222" s="5" t="s">
        <v>63</v>
      </c>
      <c r="AO222" s="5" t="s">
        <v>64</v>
      </c>
      <c r="AP222" s="5" t="s">
        <v>63</v>
      </c>
      <c r="AQ222" s="5" t="s">
        <v>63</v>
      </c>
      <c r="AR222" s="5" t="s">
        <v>63</v>
      </c>
      <c r="AS222" s="8" t="s">
        <v>63</v>
      </c>
      <c r="AT222" s="5" t="s">
        <v>63</v>
      </c>
      <c r="AU222" s="5" t="s">
        <v>63</v>
      </c>
      <c r="AV222" s="5" t="s">
        <v>63</v>
      </c>
      <c r="AW222" s="5" t="s">
        <v>63</v>
      </c>
      <c r="AX222" s="5" t="s">
        <v>63</v>
      </c>
      <c r="AY222" s="5" t="s">
        <v>64</v>
      </c>
      <c r="AZ222" s="5" t="s">
        <v>63</v>
      </c>
      <c r="BA222" s="5" t="s">
        <v>63</v>
      </c>
      <c r="BB222" s="5" t="s">
        <v>63</v>
      </c>
      <c r="BC222" s="5" t="s">
        <v>63</v>
      </c>
      <c r="BD222" s="5" t="s">
        <v>63</v>
      </c>
      <c r="BE222" s="5" t="s">
        <v>64</v>
      </c>
      <c r="BI222" s="5" t="s">
        <v>64</v>
      </c>
      <c r="BL222" s="5" t="s">
        <v>64</v>
      </c>
      <c r="BN222" s="5" t="s">
        <v>64</v>
      </c>
      <c r="BR222" s="5" t="s">
        <v>64</v>
      </c>
    </row>
    <row r="223" spans="1:72">
      <c r="A223" s="1" t="str">
        <f t="shared" si="3"/>
        <v>Yes</v>
      </c>
      <c r="B223" s="1" t="s">
        <v>106</v>
      </c>
      <c r="C223" s="1" t="s">
        <v>490</v>
      </c>
      <c r="D223" s="11" t="s">
        <v>346</v>
      </c>
      <c r="E223" s="1" t="s">
        <v>491</v>
      </c>
      <c r="F223" s="2">
        <v>3</v>
      </c>
      <c r="G223" s="5" t="s">
        <v>63</v>
      </c>
      <c r="H223" s="5" t="s">
        <v>63</v>
      </c>
      <c r="I223" s="5" t="s">
        <v>63</v>
      </c>
      <c r="J223" s="5" t="s">
        <v>63</v>
      </c>
      <c r="K223" s="5" t="s">
        <v>63</v>
      </c>
      <c r="L223" s="5" t="s">
        <v>63</v>
      </c>
      <c r="M223" s="5" t="s">
        <v>63</v>
      </c>
      <c r="N223" s="5" t="s">
        <v>63</v>
      </c>
      <c r="O223" s="5" t="s">
        <v>63</v>
      </c>
      <c r="P223" s="5" t="s">
        <v>63</v>
      </c>
      <c r="Q223" s="5" t="s">
        <v>63</v>
      </c>
      <c r="R223" s="5" t="s">
        <v>63</v>
      </c>
      <c r="S223" s="5" t="s">
        <v>63</v>
      </c>
      <c r="T223" s="5" t="s">
        <v>63</v>
      </c>
      <c r="U223" s="5" t="s">
        <v>64</v>
      </c>
      <c r="V223" s="5" t="s">
        <v>63</v>
      </c>
      <c r="W223" s="5" t="s">
        <v>63</v>
      </c>
      <c r="X223" s="5" t="s">
        <v>63</v>
      </c>
      <c r="Y223" s="5" t="s">
        <v>64</v>
      </c>
      <c r="Z223" s="5" t="s">
        <v>63</v>
      </c>
      <c r="AA223" s="5" t="s">
        <v>63</v>
      </c>
      <c r="AB223" s="5" t="s">
        <v>63</v>
      </c>
      <c r="AC223" s="5" t="s">
        <v>63</v>
      </c>
      <c r="AD223" s="5" t="s">
        <v>63</v>
      </c>
      <c r="AE223" s="5" t="s">
        <v>64</v>
      </c>
      <c r="AF223" s="5" t="s">
        <v>64</v>
      </c>
      <c r="AG223" s="5" t="s">
        <v>63</v>
      </c>
      <c r="AH223" s="5" t="s">
        <v>63</v>
      </c>
      <c r="AI223" s="5" t="s">
        <v>63</v>
      </c>
      <c r="AJ223" s="14" t="s">
        <v>63</v>
      </c>
      <c r="AK223" s="5" t="s">
        <v>63</v>
      </c>
      <c r="AL223" s="5" t="s">
        <v>63</v>
      </c>
      <c r="AM223" s="5" t="s">
        <v>63</v>
      </c>
      <c r="AN223" s="5" t="s">
        <v>63</v>
      </c>
      <c r="AO223" s="5" t="s">
        <v>63</v>
      </c>
      <c r="AP223" s="5" t="s">
        <v>63</v>
      </c>
      <c r="AQ223" s="5" t="s">
        <v>63</v>
      </c>
      <c r="AR223" s="5" t="s">
        <v>63</v>
      </c>
      <c r="AS223" s="8" t="s">
        <v>63</v>
      </c>
      <c r="AT223" s="5" t="s">
        <v>63</v>
      </c>
      <c r="AU223" s="5" t="s">
        <v>63</v>
      </c>
      <c r="AV223" s="5" t="s">
        <v>63</v>
      </c>
      <c r="AW223" s="5" t="s">
        <v>63</v>
      </c>
      <c r="AX223" s="5" t="s">
        <v>63</v>
      </c>
      <c r="AY223" s="5" t="s">
        <v>63</v>
      </c>
      <c r="AZ223" s="5" t="s">
        <v>63</v>
      </c>
      <c r="BA223" s="5" t="s">
        <v>63</v>
      </c>
      <c r="BB223" s="5" t="s">
        <v>63</v>
      </c>
      <c r="BC223" s="5" t="s">
        <v>63</v>
      </c>
      <c r="BD223" s="5" t="s">
        <v>63</v>
      </c>
      <c r="BE223" s="5" t="s">
        <v>64</v>
      </c>
      <c r="BI223" s="5" t="s">
        <v>64</v>
      </c>
    </row>
    <row r="224" spans="1:72">
      <c r="A224" s="1" t="str">
        <f t="shared" si="3"/>
        <v>Yes</v>
      </c>
      <c r="B224" s="1" t="s">
        <v>106</v>
      </c>
      <c r="C224" s="1" t="s">
        <v>492</v>
      </c>
      <c r="D224" s="11" t="s">
        <v>346</v>
      </c>
      <c r="E224" s="1" t="s">
        <v>493</v>
      </c>
      <c r="F224" s="2">
        <v>3</v>
      </c>
      <c r="G224" s="5" t="s">
        <v>63</v>
      </c>
      <c r="H224" s="5" t="s">
        <v>63</v>
      </c>
      <c r="I224" s="5" t="s">
        <v>63</v>
      </c>
      <c r="J224" s="5" t="s">
        <v>63</v>
      </c>
      <c r="K224" s="5" t="s">
        <v>63</v>
      </c>
      <c r="L224" s="5" t="s">
        <v>63</v>
      </c>
      <c r="M224" s="5" t="s">
        <v>63</v>
      </c>
      <c r="N224" s="5" t="s">
        <v>63</v>
      </c>
      <c r="O224" s="5" t="s">
        <v>63</v>
      </c>
      <c r="P224" s="5" t="s">
        <v>63</v>
      </c>
      <c r="Q224" s="5" t="s">
        <v>63</v>
      </c>
      <c r="R224" s="5" t="s">
        <v>63</v>
      </c>
      <c r="S224" s="5" t="s">
        <v>63</v>
      </c>
      <c r="T224" s="5" t="s">
        <v>63</v>
      </c>
      <c r="U224" s="5" t="s">
        <v>64</v>
      </c>
      <c r="V224" s="5" t="s">
        <v>63</v>
      </c>
      <c r="W224" s="5" t="s">
        <v>63</v>
      </c>
      <c r="X224" s="5" t="s">
        <v>63</v>
      </c>
      <c r="Y224" s="5" t="s">
        <v>64</v>
      </c>
      <c r="Z224" s="5" t="s">
        <v>63</v>
      </c>
      <c r="AA224" s="5" t="s">
        <v>63</v>
      </c>
      <c r="AB224" s="5" t="s">
        <v>63</v>
      </c>
      <c r="AC224" s="5" t="s">
        <v>63</v>
      </c>
      <c r="AD224" s="5" t="s">
        <v>63</v>
      </c>
      <c r="AE224" s="5" t="s">
        <v>64</v>
      </c>
      <c r="AF224" s="5" t="s">
        <v>63</v>
      </c>
      <c r="AG224" s="5" t="s">
        <v>63</v>
      </c>
      <c r="AH224" s="5" t="s">
        <v>63</v>
      </c>
      <c r="AI224" s="5" t="s">
        <v>63</v>
      </c>
      <c r="AJ224" s="14" t="s">
        <v>64</v>
      </c>
      <c r="AK224" s="5" t="s">
        <v>63</v>
      </c>
      <c r="AL224" s="5" t="s">
        <v>63</v>
      </c>
      <c r="AM224" s="5" t="s">
        <v>63</v>
      </c>
      <c r="AN224" s="5" t="s">
        <v>63</v>
      </c>
      <c r="AO224" s="5" t="s">
        <v>64</v>
      </c>
      <c r="AP224" s="5" t="s">
        <v>63</v>
      </c>
      <c r="AQ224" s="5" t="s">
        <v>63</v>
      </c>
      <c r="AR224" s="5" t="s">
        <v>63</v>
      </c>
      <c r="AS224" s="8" t="s">
        <v>63</v>
      </c>
      <c r="AT224" s="5" t="s">
        <v>63</v>
      </c>
      <c r="AU224" s="5" t="s">
        <v>63</v>
      </c>
      <c r="AV224" s="5" t="s">
        <v>63</v>
      </c>
      <c r="AW224" s="5" t="s">
        <v>63</v>
      </c>
      <c r="AX224" s="5" t="s">
        <v>63</v>
      </c>
      <c r="AY224" s="5" t="s">
        <v>64</v>
      </c>
      <c r="AZ224" s="5" t="s">
        <v>63</v>
      </c>
      <c r="BA224" s="5" t="s">
        <v>63</v>
      </c>
      <c r="BB224" s="5" t="s">
        <v>63</v>
      </c>
      <c r="BC224" s="5" t="s">
        <v>63</v>
      </c>
      <c r="BD224" s="5" t="s">
        <v>63</v>
      </c>
      <c r="BE224" s="5" t="s">
        <v>64</v>
      </c>
      <c r="BI224" s="5" t="s">
        <v>64</v>
      </c>
      <c r="BL224" s="5" t="s">
        <v>64</v>
      </c>
      <c r="BN224" s="5" t="s">
        <v>64</v>
      </c>
      <c r="BR224" s="5" t="s">
        <v>64</v>
      </c>
    </row>
    <row r="225" spans="1:71">
      <c r="A225" s="1" t="str">
        <f t="shared" si="3"/>
        <v>Yes</v>
      </c>
      <c r="B225" s="1" t="s">
        <v>106</v>
      </c>
      <c r="C225" s="1" t="s">
        <v>494</v>
      </c>
      <c r="D225" s="11" t="s">
        <v>346</v>
      </c>
      <c r="E225" s="1" t="s">
        <v>495</v>
      </c>
      <c r="F225" s="2">
        <v>3</v>
      </c>
      <c r="G225" s="5" t="s">
        <v>63</v>
      </c>
      <c r="H225" s="5" t="s">
        <v>63</v>
      </c>
      <c r="I225" s="5" t="s">
        <v>63</v>
      </c>
      <c r="J225" s="5" t="s">
        <v>63</v>
      </c>
      <c r="K225" s="5" t="s">
        <v>63</v>
      </c>
      <c r="L225" s="5" t="s">
        <v>63</v>
      </c>
      <c r="M225" s="5" t="s">
        <v>63</v>
      </c>
      <c r="N225" s="5" t="s">
        <v>63</v>
      </c>
      <c r="O225" s="5" t="s">
        <v>63</v>
      </c>
      <c r="P225" s="5" t="s">
        <v>63</v>
      </c>
      <c r="Q225" s="5" t="s">
        <v>63</v>
      </c>
      <c r="R225" s="5" t="s">
        <v>63</v>
      </c>
      <c r="S225" s="5" t="s">
        <v>63</v>
      </c>
      <c r="T225" s="5" t="s">
        <v>63</v>
      </c>
      <c r="U225" s="5" t="s">
        <v>63</v>
      </c>
      <c r="V225" s="5" t="s">
        <v>63</v>
      </c>
      <c r="W225" s="5" t="s">
        <v>63</v>
      </c>
      <c r="X225" s="5" t="s">
        <v>63</v>
      </c>
      <c r="Y225" s="5" t="s">
        <v>64</v>
      </c>
      <c r="Z225" s="5" t="s">
        <v>63</v>
      </c>
      <c r="AA225" s="5" t="s">
        <v>63</v>
      </c>
      <c r="AB225" s="5" t="s">
        <v>63</v>
      </c>
      <c r="AC225" s="5" t="s">
        <v>63</v>
      </c>
      <c r="AD225" s="5" t="s">
        <v>63</v>
      </c>
      <c r="AE225" s="5" t="s">
        <v>64</v>
      </c>
      <c r="AF225" s="5" t="s">
        <v>64</v>
      </c>
      <c r="AG225" s="5" t="s">
        <v>63</v>
      </c>
      <c r="AH225" s="5" t="s">
        <v>63</v>
      </c>
      <c r="AI225" s="5" t="s">
        <v>63</v>
      </c>
      <c r="AJ225" s="14" t="s">
        <v>64</v>
      </c>
      <c r="AK225" s="5" t="s">
        <v>63</v>
      </c>
      <c r="AL225" s="5" t="s">
        <v>63</v>
      </c>
      <c r="AM225" s="5" t="s">
        <v>63</v>
      </c>
      <c r="AN225" s="5" t="s">
        <v>63</v>
      </c>
      <c r="AO225" s="5" t="s">
        <v>63</v>
      </c>
      <c r="AP225" s="5" t="s">
        <v>63</v>
      </c>
      <c r="AQ225" s="5" t="s">
        <v>63</v>
      </c>
      <c r="AR225" s="5" t="s">
        <v>63</v>
      </c>
      <c r="AS225" s="8" t="s">
        <v>63</v>
      </c>
      <c r="AT225" s="5" t="s">
        <v>63</v>
      </c>
      <c r="AU225" s="5" t="s">
        <v>63</v>
      </c>
      <c r="AV225" s="5" t="s">
        <v>63</v>
      </c>
      <c r="AW225" s="5" t="s">
        <v>63</v>
      </c>
      <c r="AX225" s="5" t="s">
        <v>63</v>
      </c>
      <c r="AY225" s="5" t="s">
        <v>64</v>
      </c>
      <c r="AZ225" s="5" t="s">
        <v>64</v>
      </c>
      <c r="BA225" s="5" t="s">
        <v>63</v>
      </c>
      <c r="BB225" s="5" t="s">
        <v>63</v>
      </c>
      <c r="BC225" s="5" t="s">
        <v>63</v>
      </c>
      <c r="BD225" s="5" t="s">
        <v>63</v>
      </c>
      <c r="BE225" s="5" t="s">
        <v>64</v>
      </c>
      <c r="BI225" s="5" t="s">
        <v>64</v>
      </c>
      <c r="BL225" s="5" t="s">
        <v>64</v>
      </c>
      <c r="BR225" s="5" t="s">
        <v>64</v>
      </c>
    </row>
    <row r="226" spans="1:71">
      <c r="A226" s="1" t="str">
        <f t="shared" si="3"/>
        <v>No</v>
      </c>
      <c r="B226" s="1" t="s">
        <v>59</v>
      </c>
      <c r="C226" s="1" t="s">
        <v>496</v>
      </c>
      <c r="D226" s="11" t="s">
        <v>77</v>
      </c>
      <c r="E226" s="1" t="s">
        <v>497</v>
      </c>
      <c r="F226" s="2">
        <v>3</v>
      </c>
      <c r="G226" s="5" t="s">
        <v>63</v>
      </c>
      <c r="H226" s="5" t="s">
        <v>63</v>
      </c>
      <c r="I226" s="5" t="s">
        <v>63</v>
      </c>
      <c r="J226" s="5" t="s">
        <v>63</v>
      </c>
      <c r="K226" s="5" t="s">
        <v>63</v>
      </c>
      <c r="L226" s="5" t="s">
        <v>63</v>
      </c>
      <c r="M226" s="5" t="s">
        <v>63</v>
      </c>
      <c r="N226" s="5" t="s">
        <v>63</v>
      </c>
      <c r="O226" s="5" t="s">
        <v>63</v>
      </c>
      <c r="P226" s="5" t="s">
        <v>63</v>
      </c>
      <c r="Q226" s="5" t="s">
        <v>63</v>
      </c>
      <c r="R226" s="5" t="s">
        <v>63</v>
      </c>
      <c r="S226" s="5" t="s">
        <v>63</v>
      </c>
      <c r="T226" s="5" t="s">
        <v>63</v>
      </c>
      <c r="U226" s="5" t="s">
        <v>63</v>
      </c>
      <c r="V226" s="5" t="s">
        <v>63</v>
      </c>
      <c r="W226" s="5" t="s">
        <v>63</v>
      </c>
      <c r="X226" s="5" t="s">
        <v>63</v>
      </c>
      <c r="Y226" s="5" t="s">
        <v>63</v>
      </c>
      <c r="Z226" s="5" t="s">
        <v>63</v>
      </c>
      <c r="AA226" s="5" t="s">
        <v>63</v>
      </c>
      <c r="AB226" s="5" t="s">
        <v>63</v>
      </c>
      <c r="AC226" s="5" t="s">
        <v>63</v>
      </c>
      <c r="AD226" s="5" t="s">
        <v>63</v>
      </c>
      <c r="AE226" s="5" t="s">
        <v>63</v>
      </c>
      <c r="AF226" s="5" t="s">
        <v>63</v>
      </c>
      <c r="AG226" s="5" t="s">
        <v>63</v>
      </c>
      <c r="AH226" s="5" t="s">
        <v>63</v>
      </c>
      <c r="AI226" s="5" t="s">
        <v>63</v>
      </c>
      <c r="AJ226" s="14" t="s">
        <v>63</v>
      </c>
      <c r="AK226" s="5" t="s">
        <v>63</v>
      </c>
      <c r="AL226" s="5" t="s">
        <v>63</v>
      </c>
      <c r="AM226" s="5" t="s">
        <v>63</v>
      </c>
      <c r="AN226" s="5" t="s">
        <v>63</v>
      </c>
      <c r="AO226" s="5" t="s">
        <v>63</v>
      </c>
      <c r="AP226" s="5" t="s">
        <v>63</v>
      </c>
      <c r="AQ226" s="5" t="s">
        <v>63</v>
      </c>
      <c r="AR226" s="5" t="s">
        <v>63</v>
      </c>
      <c r="AS226" s="8" t="s">
        <v>63</v>
      </c>
      <c r="AT226" s="5" t="s">
        <v>63</v>
      </c>
      <c r="AU226" s="5" t="s">
        <v>63</v>
      </c>
      <c r="AV226" s="5" t="s">
        <v>63</v>
      </c>
      <c r="AW226" s="5" t="s">
        <v>63</v>
      </c>
      <c r="AX226" s="5" t="s">
        <v>63</v>
      </c>
      <c r="AY226" s="5" t="s">
        <v>63</v>
      </c>
      <c r="AZ226" s="5" t="s">
        <v>63</v>
      </c>
      <c r="BA226" s="5" t="s">
        <v>64</v>
      </c>
      <c r="BB226" s="5" t="s">
        <v>63</v>
      </c>
      <c r="BC226" s="5" t="s">
        <v>63</v>
      </c>
      <c r="BD226" s="5" t="s">
        <v>63</v>
      </c>
      <c r="BS226" s="5" t="s">
        <v>64</v>
      </c>
    </row>
    <row r="227" spans="1:71">
      <c r="A227" s="1" t="str">
        <f t="shared" si="3"/>
        <v>Yes</v>
      </c>
      <c r="B227" s="1" t="s">
        <v>106</v>
      </c>
      <c r="C227" s="1" t="s">
        <v>498</v>
      </c>
      <c r="D227" s="11" t="s">
        <v>346</v>
      </c>
      <c r="E227" s="1" t="s">
        <v>499</v>
      </c>
      <c r="F227" s="2">
        <v>3</v>
      </c>
      <c r="G227" s="5" t="s">
        <v>63</v>
      </c>
      <c r="H227" s="5" t="s">
        <v>63</v>
      </c>
      <c r="I227" s="5" t="s">
        <v>63</v>
      </c>
      <c r="J227" s="5" t="s">
        <v>63</v>
      </c>
      <c r="K227" s="5" t="s">
        <v>63</v>
      </c>
      <c r="L227" s="5" t="s">
        <v>63</v>
      </c>
      <c r="M227" s="5" t="s">
        <v>63</v>
      </c>
      <c r="N227" s="5" t="s">
        <v>63</v>
      </c>
      <c r="O227" s="5" t="s">
        <v>63</v>
      </c>
      <c r="P227" s="5" t="s">
        <v>63</v>
      </c>
      <c r="Q227" s="5" t="s">
        <v>63</v>
      </c>
      <c r="R227" s="5" t="s">
        <v>63</v>
      </c>
      <c r="S227" s="5" t="s">
        <v>63</v>
      </c>
      <c r="T227" s="5" t="s">
        <v>63</v>
      </c>
      <c r="U227" s="5" t="s">
        <v>63</v>
      </c>
      <c r="V227" s="5" t="s">
        <v>63</v>
      </c>
      <c r="W227" s="5" t="s">
        <v>63</v>
      </c>
      <c r="X227" s="5" t="s">
        <v>63</v>
      </c>
      <c r="Y227" s="5" t="s">
        <v>64</v>
      </c>
      <c r="Z227" s="5" t="s">
        <v>63</v>
      </c>
      <c r="AA227" s="5" t="s">
        <v>63</v>
      </c>
      <c r="AB227" s="5" t="s">
        <v>63</v>
      </c>
      <c r="AC227" s="5" t="s">
        <v>63</v>
      </c>
      <c r="AD227" s="5" t="s">
        <v>63</v>
      </c>
      <c r="AE227" s="5" t="s">
        <v>63</v>
      </c>
      <c r="AF227" s="5" t="s">
        <v>64</v>
      </c>
      <c r="AG227" s="5" t="s">
        <v>63</v>
      </c>
      <c r="AH227" s="5" t="s">
        <v>63</v>
      </c>
      <c r="AI227" s="5" t="s">
        <v>63</v>
      </c>
      <c r="AJ227" s="14" t="s">
        <v>64</v>
      </c>
      <c r="AK227" s="5" t="s">
        <v>63</v>
      </c>
      <c r="AL227" s="5" t="s">
        <v>63</v>
      </c>
      <c r="AM227" s="5" t="s">
        <v>63</v>
      </c>
      <c r="AN227" s="5" t="s">
        <v>63</v>
      </c>
      <c r="AO227" s="5" t="s">
        <v>63</v>
      </c>
      <c r="AP227" s="5" t="s">
        <v>63</v>
      </c>
      <c r="AQ227" s="5" t="s">
        <v>63</v>
      </c>
      <c r="AR227" s="5" t="s">
        <v>63</v>
      </c>
      <c r="AS227" s="8" t="s">
        <v>63</v>
      </c>
      <c r="AT227" s="5"/>
      <c r="AU227" s="5" t="s">
        <v>63</v>
      </c>
      <c r="AV227" s="5" t="s">
        <v>63</v>
      </c>
      <c r="AW227" s="5" t="s">
        <v>63</v>
      </c>
      <c r="AX227" s="5" t="s">
        <v>63</v>
      </c>
      <c r="AY227" s="5" t="s">
        <v>64</v>
      </c>
      <c r="AZ227" s="5" t="s">
        <v>64</v>
      </c>
      <c r="BA227" s="5" t="s">
        <v>63</v>
      </c>
      <c r="BB227" s="5" t="s">
        <v>63</v>
      </c>
      <c r="BC227" s="5" t="s">
        <v>63</v>
      </c>
      <c r="BD227" s="5" t="s">
        <v>63</v>
      </c>
      <c r="BE227" s="5" t="s">
        <v>64</v>
      </c>
      <c r="BI227" s="5" t="s">
        <v>64</v>
      </c>
      <c r="BL227" s="5" t="s">
        <v>64</v>
      </c>
      <c r="BP227" s="5" t="s">
        <v>64</v>
      </c>
      <c r="BR227" s="5" t="s">
        <v>64</v>
      </c>
    </row>
    <row r="228" spans="1:71">
      <c r="A228" s="1" t="str">
        <f t="shared" si="3"/>
        <v>No</v>
      </c>
      <c r="B228" s="1" t="s">
        <v>59</v>
      </c>
      <c r="C228" s="1" t="s">
        <v>500</v>
      </c>
      <c r="D228" s="11" t="s">
        <v>77</v>
      </c>
      <c r="E228" s="1" t="s">
        <v>501</v>
      </c>
      <c r="F228" s="2">
        <v>3</v>
      </c>
      <c r="G228" s="5" t="s">
        <v>63</v>
      </c>
      <c r="H228" s="5" t="s">
        <v>63</v>
      </c>
      <c r="I228" s="5" t="s">
        <v>63</v>
      </c>
      <c r="J228" s="5" t="s">
        <v>63</v>
      </c>
      <c r="K228" s="5" t="s">
        <v>63</v>
      </c>
      <c r="L228" s="5" t="s">
        <v>63</v>
      </c>
      <c r="M228" s="5" t="s">
        <v>63</v>
      </c>
      <c r="N228" s="5" t="s">
        <v>63</v>
      </c>
      <c r="O228" s="5" t="s">
        <v>63</v>
      </c>
      <c r="P228" s="5" t="s">
        <v>63</v>
      </c>
      <c r="Q228" s="5" t="s">
        <v>63</v>
      </c>
      <c r="R228" s="5" t="s">
        <v>63</v>
      </c>
      <c r="S228" s="5" t="s">
        <v>63</v>
      </c>
      <c r="T228" s="5" t="s">
        <v>63</v>
      </c>
      <c r="U228" s="5" t="s">
        <v>63</v>
      </c>
      <c r="V228" s="5" t="s">
        <v>63</v>
      </c>
      <c r="W228" s="5" t="s">
        <v>63</v>
      </c>
      <c r="X228" s="5" t="s">
        <v>63</v>
      </c>
      <c r="Y228" s="5" t="s">
        <v>63</v>
      </c>
      <c r="Z228" s="5" t="s">
        <v>63</v>
      </c>
      <c r="AA228" s="5" t="s">
        <v>63</v>
      </c>
      <c r="AB228" s="5" t="s">
        <v>63</v>
      </c>
      <c r="AC228" s="5" t="s">
        <v>63</v>
      </c>
      <c r="AD228" s="5" t="s">
        <v>63</v>
      </c>
      <c r="AE228" s="5" t="s">
        <v>63</v>
      </c>
      <c r="AF228" s="5" t="s">
        <v>63</v>
      </c>
      <c r="AG228" s="5" t="s">
        <v>63</v>
      </c>
      <c r="AH228" s="5" t="s">
        <v>63</v>
      </c>
      <c r="AI228" s="5" t="s">
        <v>63</v>
      </c>
      <c r="AJ228" s="14" t="s">
        <v>64</v>
      </c>
      <c r="AK228" s="5" t="s">
        <v>63</v>
      </c>
      <c r="AL228" s="5" t="s">
        <v>63</v>
      </c>
      <c r="AM228" s="5" t="s">
        <v>63</v>
      </c>
      <c r="AN228" s="5" t="s">
        <v>63</v>
      </c>
      <c r="AO228" s="5" t="s">
        <v>64</v>
      </c>
      <c r="AP228" s="5" t="s">
        <v>63</v>
      </c>
      <c r="AQ228" s="5" t="s">
        <v>63</v>
      </c>
      <c r="AR228" s="5" t="s">
        <v>63</v>
      </c>
      <c r="AS228" s="8" t="s">
        <v>63</v>
      </c>
      <c r="AT228" s="5" t="s">
        <v>63</v>
      </c>
      <c r="AU228" s="5" t="s">
        <v>63</v>
      </c>
      <c r="AV228" s="5" t="s">
        <v>63</v>
      </c>
      <c r="AW228" s="5" t="s">
        <v>63</v>
      </c>
      <c r="AX228" s="5" t="s">
        <v>63</v>
      </c>
      <c r="AY228" s="5" t="s">
        <v>63</v>
      </c>
      <c r="AZ228" s="5" t="s">
        <v>63</v>
      </c>
      <c r="BA228" s="5" t="s">
        <v>63</v>
      </c>
      <c r="BB228" s="5" t="s">
        <v>63</v>
      </c>
      <c r="BC228" s="5" t="s">
        <v>63</v>
      </c>
      <c r="BD228" s="5" t="s">
        <v>63</v>
      </c>
      <c r="BL228" s="5" t="s">
        <v>64</v>
      </c>
      <c r="BN228" s="5" t="s">
        <v>64</v>
      </c>
    </row>
    <row r="229" spans="1:71">
      <c r="A229" s="1" t="str">
        <f t="shared" si="3"/>
        <v>Yes</v>
      </c>
      <c r="B229" s="1" t="s">
        <v>106</v>
      </c>
      <c r="C229" s="1" t="s">
        <v>502</v>
      </c>
      <c r="D229" s="11" t="s">
        <v>346</v>
      </c>
      <c r="E229" s="1" t="s">
        <v>503</v>
      </c>
      <c r="F229" s="2">
        <v>3</v>
      </c>
      <c r="G229" s="5" t="s">
        <v>63</v>
      </c>
      <c r="H229" s="5" t="s">
        <v>63</v>
      </c>
      <c r="I229" s="5" t="s">
        <v>63</v>
      </c>
      <c r="J229" s="5" t="s">
        <v>63</v>
      </c>
      <c r="K229" s="5" t="s">
        <v>63</v>
      </c>
      <c r="L229" s="5" t="s">
        <v>63</v>
      </c>
      <c r="M229" s="5" t="s">
        <v>63</v>
      </c>
      <c r="N229" s="5" t="s">
        <v>63</v>
      </c>
      <c r="O229" s="5" t="s">
        <v>63</v>
      </c>
      <c r="P229" s="5" t="s">
        <v>63</v>
      </c>
      <c r="Q229" s="5" t="s">
        <v>63</v>
      </c>
      <c r="R229" s="5" t="s">
        <v>63</v>
      </c>
      <c r="S229" s="5" t="s">
        <v>63</v>
      </c>
      <c r="T229" s="5" t="s">
        <v>63</v>
      </c>
      <c r="U229" s="5" t="s">
        <v>63</v>
      </c>
      <c r="V229" s="5" t="s">
        <v>63</v>
      </c>
      <c r="W229" s="5" t="s">
        <v>63</v>
      </c>
      <c r="X229" s="5" t="s">
        <v>63</v>
      </c>
      <c r="Y229" s="5" t="s">
        <v>64</v>
      </c>
      <c r="Z229" s="5" t="s">
        <v>63</v>
      </c>
      <c r="AA229" s="5" t="s">
        <v>63</v>
      </c>
      <c r="AB229" s="5" t="s">
        <v>63</v>
      </c>
      <c r="AC229" s="5" t="s">
        <v>63</v>
      </c>
      <c r="AD229" s="5" t="s">
        <v>63</v>
      </c>
      <c r="AE229" s="5" t="s">
        <v>63</v>
      </c>
      <c r="AF229" s="5" t="s">
        <v>63</v>
      </c>
      <c r="AG229" s="5" t="s">
        <v>63</v>
      </c>
      <c r="AH229" s="5" t="s">
        <v>63</v>
      </c>
      <c r="AI229" s="5" t="s">
        <v>63</v>
      </c>
      <c r="AJ229" s="14" t="s">
        <v>64</v>
      </c>
      <c r="AK229" s="5" t="s">
        <v>63</v>
      </c>
      <c r="AL229" s="5" t="s">
        <v>63</v>
      </c>
      <c r="AM229" s="5" t="s">
        <v>63</v>
      </c>
      <c r="AN229" s="5" t="s">
        <v>63</v>
      </c>
      <c r="AO229" s="5" t="s">
        <v>63</v>
      </c>
      <c r="AP229" s="5" t="s">
        <v>63</v>
      </c>
      <c r="AQ229" s="5" t="s">
        <v>63</v>
      </c>
      <c r="AR229" s="5" t="s">
        <v>63</v>
      </c>
      <c r="AS229" s="8" t="s">
        <v>63</v>
      </c>
      <c r="AT229" s="5"/>
      <c r="AU229" s="5" t="s">
        <v>63</v>
      </c>
      <c r="AV229" s="5" t="s">
        <v>63</v>
      </c>
      <c r="AW229" s="5" t="s">
        <v>63</v>
      </c>
      <c r="AX229" s="5" t="s">
        <v>63</v>
      </c>
      <c r="AY229" s="5" t="s">
        <v>64</v>
      </c>
      <c r="AZ229" s="5" t="s">
        <v>64</v>
      </c>
      <c r="BA229" s="5" t="s">
        <v>63</v>
      </c>
      <c r="BB229" s="5" t="s">
        <v>63</v>
      </c>
      <c r="BC229" s="5" t="s">
        <v>63</v>
      </c>
      <c r="BD229" s="5" t="s">
        <v>63</v>
      </c>
      <c r="BE229" s="5" t="s">
        <v>64</v>
      </c>
      <c r="BL229" s="5" t="s">
        <v>64</v>
      </c>
      <c r="BP229" s="5" t="s">
        <v>64</v>
      </c>
      <c r="BR229" s="5" t="s">
        <v>64</v>
      </c>
    </row>
    <row r="230" spans="1:71">
      <c r="A230" s="1" t="str">
        <f t="shared" si="3"/>
        <v>Yes</v>
      </c>
      <c r="B230" s="1" t="s">
        <v>106</v>
      </c>
      <c r="C230" s="1" t="s">
        <v>504</v>
      </c>
      <c r="D230" s="11" t="s">
        <v>77</v>
      </c>
      <c r="E230" s="1" t="s">
        <v>505</v>
      </c>
      <c r="F230" s="2">
        <v>3</v>
      </c>
      <c r="G230" s="5" t="s">
        <v>63</v>
      </c>
      <c r="H230" s="5" t="s">
        <v>63</v>
      </c>
      <c r="I230" s="5" t="s">
        <v>63</v>
      </c>
      <c r="J230" s="5" t="s">
        <v>63</v>
      </c>
      <c r="K230" s="5" t="s">
        <v>63</v>
      </c>
      <c r="L230" s="5" t="s">
        <v>63</v>
      </c>
      <c r="M230" s="5" t="s">
        <v>63</v>
      </c>
      <c r="N230" s="5" t="s">
        <v>63</v>
      </c>
      <c r="O230" s="5" t="s">
        <v>63</v>
      </c>
      <c r="P230" s="5" t="s">
        <v>63</v>
      </c>
      <c r="Q230" s="5" t="s">
        <v>63</v>
      </c>
      <c r="R230" s="5" t="s">
        <v>63</v>
      </c>
      <c r="S230" s="5" t="s">
        <v>63</v>
      </c>
      <c r="T230" s="5" t="s">
        <v>63</v>
      </c>
      <c r="U230" s="5" t="s">
        <v>63</v>
      </c>
      <c r="V230" s="5" t="s">
        <v>63</v>
      </c>
      <c r="W230" s="5" t="s">
        <v>63</v>
      </c>
      <c r="X230" s="5" t="s">
        <v>63</v>
      </c>
      <c r="Y230" s="5" t="s">
        <v>63</v>
      </c>
      <c r="Z230" s="5" t="s">
        <v>63</v>
      </c>
      <c r="AA230" s="5" t="s">
        <v>63</v>
      </c>
      <c r="AB230" s="5" t="s">
        <v>63</v>
      </c>
      <c r="AC230" s="5" t="s">
        <v>63</v>
      </c>
      <c r="AD230" s="5" t="s">
        <v>63</v>
      </c>
      <c r="AE230" s="5" t="s">
        <v>63</v>
      </c>
      <c r="AF230" s="5" t="s">
        <v>63</v>
      </c>
      <c r="AG230" s="5" t="s">
        <v>63</v>
      </c>
      <c r="AH230" s="5" t="s">
        <v>63</v>
      </c>
      <c r="AI230" s="5" t="s">
        <v>63</v>
      </c>
      <c r="AJ230" s="14" t="s">
        <v>63</v>
      </c>
      <c r="AK230" s="5" t="s">
        <v>63</v>
      </c>
      <c r="AL230" s="5" t="s">
        <v>63</v>
      </c>
      <c r="AM230" s="5" t="s">
        <v>63</v>
      </c>
      <c r="AN230" s="5" t="s">
        <v>63</v>
      </c>
      <c r="AO230" s="5" t="s">
        <v>63</v>
      </c>
      <c r="AP230" s="5" t="s">
        <v>63</v>
      </c>
      <c r="AQ230" s="5" t="s">
        <v>63</v>
      </c>
      <c r="AR230" s="5" t="s">
        <v>63</v>
      </c>
      <c r="AS230" s="8" t="s">
        <v>63</v>
      </c>
      <c r="AT230" s="5" t="s">
        <v>63</v>
      </c>
      <c r="AU230" s="5" t="s">
        <v>63</v>
      </c>
      <c r="AV230" s="5" t="s">
        <v>63</v>
      </c>
      <c r="AW230" s="5" t="s">
        <v>63</v>
      </c>
      <c r="AX230" s="5" t="s">
        <v>63</v>
      </c>
      <c r="AY230" s="5" t="s">
        <v>63</v>
      </c>
      <c r="AZ230" s="5" t="s">
        <v>64</v>
      </c>
      <c r="BA230" s="5" t="s">
        <v>63</v>
      </c>
      <c r="BB230" s="5" t="s">
        <v>63</v>
      </c>
      <c r="BC230" s="5" t="s">
        <v>63</v>
      </c>
      <c r="BD230" s="5" t="s">
        <v>63</v>
      </c>
      <c r="BR230" s="5" t="s">
        <v>64</v>
      </c>
    </row>
    <row r="231" spans="1:71">
      <c r="A231" s="1" t="str">
        <f t="shared" si="3"/>
        <v>No</v>
      </c>
      <c r="B231" s="1" t="s">
        <v>59</v>
      </c>
      <c r="C231" s="1" t="s">
        <v>506</v>
      </c>
      <c r="D231" s="11" t="s">
        <v>77</v>
      </c>
      <c r="E231" s="1" t="s">
        <v>507</v>
      </c>
      <c r="F231" s="2">
        <v>3</v>
      </c>
      <c r="G231" s="5" t="s">
        <v>63</v>
      </c>
      <c r="H231" s="5" t="s">
        <v>63</v>
      </c>
      <c r="I231" s="5" t="s">
        <v>63</v>
      </c>
      <c r="J231" s="5" t="s">
        <v>63</v>
      </c>
      <c r="K231" s="5" t="s">
        <v>63</v>
      </c>
      <c r="L231" s="5" t="s">
        <v>63</v>
      </c>
      <c r="M231" s="5" t="s">
        <v>63</v>
      </c>
      <c r="N231" s="5" t="s">
        <v>63</v>
      </c>
      <c r="O231" s="5" t="s">
        <v>63</v>
      </c>
      <c r="P231" s="5" t="s">
        <v>63</v>
      </c>
      <c r="Q231" s="5" t="s">
        <v>63</v>
      </c>
      <c r="R231" s="5" t="s">
        <v>63</v>
      </c>
      <c r="S231" s="5" t="s">
        <v>63</v>
      </c>
      <c r="T231" s="5" t="s">
        <v>63</v>
      </c>
      <c r="U231" s="5" t="s">
        <v>63</v>
      </c>
      <c r="V231" s="5" t="s">
        <v>63</v>
      </c>
      <c r="W231" s="5" t="s">
        <v>63</v>
      </c>
      <c r="X231" s="5" t="s">
        <v>63</v>
      </c>
      <c r="Y231" s="5" t="s">
        <v>63</v>
      </c>
      <c r="Z231" s="5" t="s">
        <v>63</v>
      </c>
      <c r="AA231" s="5" t="s">
        <v>63</v>
      </c>
      <c r="AB231" s="5" t="s">
        <v>63</v>
      </c>
      <c r="AC231" s="5" t="s">
        <v>63</v>
      </c>
      <c r="AD231" s="5" t="s">
        <v>63</v>
      </c>
      <c r="AE231" s="5" t="s">
        <v>63</v>
      </c>
      <c r="AF231" s="5" t="s">
        <v>63</v>
      </c>
      <c r="AG231" s="5" t="s">
        <v>63</v>
      </c>
      <c r="AH231" s="5" t="s">
        <v>63</v>
      </c>
      <c r="AI231" s="5" t="s">
        <v>63</v>
      </c>
      <c r="AJ231" s="14" t="s">
        <v>63</v>
      </c>
      <c r="AK231" s="5" t="s">
        <v>63</v>
      </c>
      <c r="AL231" s="5" t="s">
        <v>63</v>
      </c>
      <c r="AM231" s="5" t="s">
        <v>63</v>
      </c>
      <c r="AN231" s="5" t="s">
        <v>63</v>
      </c>
      <c r="AO231" s="5" t="s">
        <v>64</v>
      </c>
      <c r="AP231" s="5" t="s">
        <v>63</v>
      </c>
      <c r="AQ231" s="5" t="s">
        <v>63</v>
      </c>
      <c r="AR231" s="5" t="s">
        <v>63</v>
      </c>
      <c r="AS231" s="8" t="s">
        <v>63</v>
      </c>
      <c r="AT231" s="5" t="s">
        <v>63</v>
      </c>
      <c r="AU231" s="5" t="s">
        <v>63</v>
      </c>
      <c r="AV231" s="5" t="s">
        <v>63</v>
      </c>
      <c r="AW231" s="5" t="s">
        <v>63</v>
      </c>
      <c r="AX231" s="5" t="s">
        <v>63</v>
      </c>
      <c r="AY231" s="5" t="s">
        <v>63</v>
      </c>
      <c r="AZ231" s="5" t="s">
        <v>63</v>
      </c>
      <c r="BA231" s="5" t="s">
        <v>64</v>
      </c>
      <c r="BB231" s="5" t="s">
        <v>63</v>
      </c>
      <c r="BC231" s="5" t="s">
        <v>63</v>
      </c>
      <c r="BD231" s="5" t="s">
        <v>63</v>
      </c>
      <c r="BN231" s="5" t="s">
        <v>64</v>
      </c>
      <c r="BS231" s="5" t="s">
        <v>64</v>
      </c>
    </row>
    <row r="232" spans="1:71">
      <c r="A232" s="1" t="str">
        <f t="shared" si="3"/>
        <v>Yes</v>
      </c>
      <c r="B232" s="1" t="s">
        <v>106</v>
      </c>
      <c r="C232" s="1" t="s">
        <v>508</v>
      </c>
      <c r="E232" s="1" t="s">
        <v>509</v>
      </c>
      <c r="F232" s="2">
        <v>3</v>
      </c>
      <c r="G232" s="5" t="s">
        <v>63</v>
      </c>
      <c r="H232" s="5" t="s">
        <v>63</v>
      </c>
      <c r="I232" s="5" t="s">
        <v>63</v>
      </c>
      <c r="J232" s="5" t="s">
        <v>63</v>
      </c>
      <c r="K232" s="5" t="s">
        <v>63</v>
      </c>
      <c r="L232" s="5" t="s">
        <v>63</v>
      </c>
      <c r="M232" s="5" t="s">
        <v>63</v>
      </c>
      <c r="N232" s="5" t="s">
        <v>63</v>
      </c>
      <c r="O232" s="5" t="s">
        <v>63</v>
      </c>
      <c r="P232" s="5" t="s">
        <v>63</v>
      </c>
      <c r="Q232" s="5" t="s">
        <v>63</v>
      </c>
      <c r="R232" s="5" t="s">
        <v>63</v>
      </c>
      <c r="S232" s="5" t="s">
        <v>63</v>
      </c>
      <c r="T232" s="5" t="s">
        <v>63</v>
      </c>
      <c r="U232" s="5" t="s">
        <v>63</v>
      </c>
      <c r="V232" s="5" t="s">
        <v>63</v>
      </c>
      <c r="W232" s="5" t="s">
        <v>63</v>
      </c>
      <c r="X232" s="5" t="s">
        <v>63</v>
      </c>
      <c r="Y232" s="5" t="s">
        <v>63</v>
      </c>
      <c r="Z232" s="5" t="s">
        <v>63</v>
      </c>
      <c r="AA232" s="5" t="s">
        <v>63</v>
      </c>
      <c r="AB232" s="5" t="s">
        <v>63</v>
      </c>
      <c r="AC232" s="5" t="s">
        <v>63</v>
      </c>
      <c r="AD232" s="5" t="s">
        <v>63</v>
      </c>
      <c r="AE232" s="5" t="s">
        <v>63</v>
      </c>
      <c r="AF232" s="5" t="s">
        <v>63</v>
      </c>
      <c r="AG232" s="5" t="s">
        <v>63</v>
      </c>
      <c r="AH232" s="5" t="s">
        <v>63</v>
      </c>
      <c r="AI232" s="5" t="s">
        <v>63</v>
      </c>
      <c r="AJ232" s="14" t="s">
        <v>63</v>
      </c>
      <c r="AK232" s="5" t="s">
        <v>63</v>
      </c>
      <c r="AL232" s="5" t="s">
        <v>63</v>
      </c>
      <c r="AM232" s="5" t="s">
        <v>63</v>
      </c>
      <c r="AN232" s="5" t="s">
        <v>63</v>
      </c>
      <c r="AO232" s="5" t="s">
        <v>63</v>
      </c>
      <c r="AP232" s="5" t="s">
        <v>63</v>
      </c>
      <c r="AQ232" s="5" t="s">
        <v>63</v>
      </c>
      <c r="AR232" s="5" t="s">
        <v>63</v>
      </c>
      <c r="AS232" s="8" t="s">
        <v>63</v>
      </c>
      <c r="AT232" s="5" t="s">
        <v>63</v>
      </c>
      <c r="AU232" s="5" t="s">
        <v>63</v>
      </c>
      <c r="AV232" s="5" t="s">
        <v>63</v>
      </c>
      <c r="AW232" s="5" t="s">
        <v>63</v>
      </c>
      <c r="AX232" s="5" t="s">
        <v>63</v>
      </c>
      <c r="AY232" s="5" t="s">
        <v>63</v>
      </c>
      <c r="AZ232" s="5" t="s">
        <v>63</v>
      </c>
      <c r="BA232" s="5" t="s">
        <v>63</v>
      </c>
      <c r="BB232" s="5" t="s">
        <v>63</v>
      </c>
      <c r="BC232" s="5" t="s">
        <v>63</v>
      </c>
      <c r="BD232" s="5" t="s">
        <v>63</v>
      </c>
    </row>
    <row r="233" spans="1:71">
      <c r="A233" s="1" t="str">
        <f t="shared" si="3"/>
        <v>Yes</v>
      </c>
      <c r="B233" s="1" t="s">
        <v>106</v>
      </c>
      <c r="C233" s="1" t="s">
        <v>510</v>
      </c>
      <c r="E233" s="1" t="s">
        <v>511</v>
      </c>
      <c r="F233" s="2">
        <v>3</v>
      </c>
      <c r="G233" s="5" t="s">
        <v>63</v>
      </c>
      <c r="H233" s="5" t="s">
        <v>63</v>
      </c>
      <c r="I233" s="5" t="s">
        <v>63</v>
      </c>
      <c r="J233" s="5" t="s">
        <v>63</v>
      </c>
      <c r="K233" s="5" t="s">
        <v>63</v>
      </c>
      <c r="L233" s="5" t="s">
        <v>63</v>
      </c>
      <c r="M233" s="5" t="s">
        <v>63</v>
      </c>
      <c r="N233" s="5" t="s">
        <v>63</v>
      </c>
      <c r="O233" s="5" t="s">
        <v>63</v>
      </c>
      <c r="P233" s="5" t="s">
        <v>63</v>
      </c>
      <c r="Q233" s="5" t="s">
        <v>63</v>
      </c>
      <c r="R233" s="5" t="s">
        <v>63</v>
      </c>
      <c r="S233" s="5" t="s">
        <v>63</v>
      </c>
      <c r="T233" s="5" t="s">
        <v>63</v>
      </c>
      <c r="U233" s="5" t="s">
        <v>63</v>
      </c>
      <c r="V233" s="5" t="s">
        <v>63</v>
      </c>
      <c r="W233" s="5" t="s">
        <v>63</v>
      </c>
      <c r="X233" s="5" t="s">
        <v>63</v>
      </c>
      <c r="Y233" s="5" t="s">
        <v>63</v>
      </c>
      <c r="Z233" s="5" t="s">
        <v>63</v>
      </c>
      <c r="AA233" s="5" t="s">
        <v>63</v>
      </c>
      <c r="AB233" s="5" t="s">
        <v>63</v>
      </c>
      <c r="AC233" s="5" t="s">
        <v>63</v>
      </c>
      <c r="AD233" s="5" t="s">
        <v>63</v>
      </c>
      <c r="AE233" s="5" t="s">
        <v>63</v>
      </c>
      <c r="AF233" s="5" t="s">
        <v>63</v>
      </c>
      <c r="AG233" s="5" t="s">
        <v>63</v>
      </c>
      <c r="AH233" s="5" t="s">
        <v>63</v>
      </c>
      <c r="AI233" s="5" t="s">
        <v>63</v>
      </c>
      <c r="AJ233" s="14" t="s">
        <v>63</v>
      </c>
      <c r="AK233" s="5" t="s">
        <v>63</v>
      </c>
      <c r="AL233" s="5" t="s">
        <v>63</v>
      </c>
      <c r="AM233" s="5" t="s">
        <v>63</v>
      </c>
      <c r="AN233" s="5" t="s">
        <v>63</v>
      </c>
      <c r="AO233" s="5" t="s">
        <v>63</v>
      </c>
      <c r="AP233" s="5" t="s">
        <v>63</v>
      </c>
      <c r="AQ233" s="5" t="s">
        <v>63</v>
      </c>
      <c r="AR233" s="5" t="s">
        <v>63</v>
      </c>
      <c r="AS233" s="8" t="s">
        <v>63</v>
      </c>
      <c r="AT233" s="5" t="s">
        <v>63</v>
      </c>
      <c r="AU233" s="5" t="s">
        <v>63</v>
      </c>
      <c r="AV233" s="5" t="s">
        <v>63</v>
      </c>
      <c r="AW233" s="5" t="s">
        <v>63</v>
      </c>
      <c r="AX233" s="5" t="s">
        <v>63</v>
      </c>
      <c r="AY233" s="5" t="s">
        <v>63</v>
      </c>
      <c r="AZ233" s="5" t="s">
        <v>63</v>
      </c>
      <c r="BA233" s="5" t="s">
        <v>63</v>
      </c>
      <c r="BB233" s="5" t="s">
        <v>63</v>
      </c>
      <c r="BC233" s="5" t="s">
        <v>63</v>
      </c>
      <c r="BD233" s="5" t="s">
        <v>63</v>
      </c>
    </row>
    <row r="234" spans="1:71">
      <c r="A234" s="1" t="str">
        <f t="shared" si="3"/>
        <v>Yes</v>
      </c>
      <c r="B234" s="1" t="s">
        <v>106</v>
      </c>
      <c r="C234" s="1" t="s">
        <v>512</v>
      </c>
      <c r="D234" s="11" t="s">
        <v>77</v>
      </c>
      <c r="E234" s="1" t="s">
        <v>513</v>
      </c>
      <c r="F234" s="2">
        <v>3</v>
      </c>
      <c r="G234" s="5" t="s">
        <v>63</v>
      </c>
      <c r="H234" s="5" t="s">
        <v>63</v>
      </c>
      <c r="I234" s="5" t="s">
        <v>63</v>
      </c>
      <c r="J234" s="5" t="s">
        <v>63</v>
      </c>
      <c r="K234" s="5" t="s">
        <v>63</v>
      </c>
      <c r="L234" s="5" t="s">
        <v>63</v>
      </c>
      <c r="M234" s="5" t="s">
        <v>63</v>
      </c>
      <c r="N234" s="5" t="s">
        <v>63</v>
      </c>
      <c r="O234" s="5" t="s">
        <v>63</v>
      </c>
      <c r="P234" s="5" t="s">
        <v>63</v>
      </c>
      <c r="Q234" s="5" t="s">
        <v>63</v>
      </c>
      <c r="R234" s="5" t="s">
        <v>63</v>
      </c>
      <c r="S234" s="5" t="s">
        <v>63</v>
      </c>
      <c r="T234" s="5" t="s">
        <v>63</v>
      </c>
      <c r="U234" s="5" t="s">
        <v>63</v>
      </c>
      <c r="V234" s="5" t="s">
        <v>63</v>
      </c>
      <c r="W234" s="5" t="s">
        <v>63</v>
      </c>
      <c r="X234" s="5" t="s">
        <v>63</v>
      </c>
      <c r="Y234" s="5" t="s">
        <v>63</v>
      </c>
      <c r="Z234" s="5" t="s">
        <v>63</v>
      </c>
      <c r="AA234" s="5" t="s">
        <v>63</v>
      </c>
      <c r="AB234" s="5" t="s">
        <v>63</v>
      </c>
      <c r="AC234" s="5" t="s">
        <v>63</v>
      </c>
      <c r="AD234" s="5" t="s">
        <v>63</v>
      </c>
      <c r="AE234" s="5" t="s">
        <v>64</v>
      </c>
      <c r="AF234" s="5" t="s">
        <v>63</v>
      </c>
      <c r="AG234" s="5" t="s">
        <v>63</v>
      </c>
      <c r="AH234" s="5" t="s">
        <v>63</v>
      </c>
      <c r="AI234" s="5" t="s">
        <v>63</v>
      </c>
      <c r="AJ234" s="14" t="s">
        <v>63</v>
      </c>
      <c r="AK234" s="5" t="s">
        <v>63</v>
      </c>
      <c r="AL234" s="5" t="s">
        <v>63</v>
      </c>
      <c r="AM234" s="5" t="s">
        <v>63</v>
      </c>
      <c r="AN234" s="5" t="s">
        <v>63</v>
      </c>
      <c r="AO234" s="5" t="s">
        <v>64</v>
      </c>
      <c r="AP234" s="5" t="s">
        <v>63</v>
      </c>
      <c r="AQ234" s="5" t="s">
        <v>63</v>
      </c>
      <c r="AR234" s="5" t="s">
        <v>63</v>
      </c>
      <c r="AS234" s="8" t="s">
        <v>63</v>
      </c>
      <c r="AT234" s="5" t="s">
        <v>63</v>
      </c>
      <c r="AU234" s="5" t="s">
        <v>63</v>
      </c>
      <c r="AV234" s="5" t="s">
        <v>63</v>
      </c>
      <c r="AW234" s="5" t="s">
        <v>63</v>
      </c>
      <c r="AX234" s="5" t="s">
        <v>63</v>
      </c>
      <c r="AY234" s="5" t="s">
        <v>63</v>
      </c>
      <c r="AZ234" s="5" t="s">
        <v>63</v>
      </c>
      <c r="BA234" s="5" t="s">
        <v>63</v>
      </c>
      <c r="BB234" s="5" t="s">
        <v>63</v>
      </c>
      <c r="BC234" s="5" t="s">
        <v>63</v>
      </c>
      <c r="BD234" s="5" t="s">
        <v>63</v>
      </c>
      <c r="BI234" s="5" t="s">
        <v>64</v>
      </c>
      <c r="BN234" s="5" t="s">
        <v>64</v>
      </c>
    </row>
    <row r="235" spans="1:71">
      <c r="A235" s="1" t="str">
        <f t="shared" si="3"/>
        <v>No</v>
      </c>
      <c r="B235" s="1" t="s">
        <v>59</v>
      </c>
      <c r="C235" s="1" t="s">
        <v>514</v>
      </c>
      <c r="D235" s="11" t="s">
        <v>77</v>
      </c>
      <c r="E235" s="1" t="s">
        <v>515</v>
      </c>
      <c r="F235" s="2">
        <v>3</v>
      </c>
      <c r="G235" s="5" t="s">
        <v>63</v>
      </c>
      <c r="H235" s="5" t="s">
        <v>63</v>
      </c>
      <c r="I235" s="5" t="s">
        <v>63</v>
      </c>
      <c r="J235" s="5" t="s">
        <v>63</v>
      </c>
      <c r="K235" s="5" t="s">
        <v>63</v>
      </c>
      <c r="L235" s="5" t="s">
        <v>63</v>
      </c>
      <c r="M235" s="5" t="s">
        <v>63</v>
      </c>
      <c r="N235" s="5" t="s">
        <v>63</v>
      </c>
      <c r="O235" s="5" t="s">
        <v>63</v>
      </c>
      <c r="P235" s="5" t="s">
        <v>63</v>
      </c>
      <c r="Q235" s="5" t="s">
        <v>63</v>
      </c>
      <c r="R235" s="5" t="s">
        <v>63</v>
      </c>
      <c r="S235" s="5" t="s">
        <v>63</v>
      </c>
      <c r="T235" s="5" t="s">
        <v>63</v>
      </c>
      <c r="U235" s="5" t="s">
        <v>63</v>
      </c>
      <c r="V235" s="5" t="s">
        <v>63</v>
      </c>
      <c r="W235" s="5" t="s">
        <v>63</v>
      </c>
      <c r="X235" s="5" t="s">
        <v>63</v>
      </c>
      <c r="Y235" s="5" t="s">
        <v>63</v>
      </c>
      <c r="Z235" s="5" t="s">
        <v>63</v>
      </c>
      <c r="AA235" s="5" t="s">
        <v>63</v>
      </c>
      <c r="AB235" s="5" t="s">
        <v>63</v>
      </c>
      <c r="AC235" s="5" t="s">
        <v>63</v>
      </c>
      <c r="AD235" s="5" t="s">
        <v>63</v>
      </c>
      <c r="AE235" s="5" t="s">
        <v>63</v>
      </c>
      <c r="AF235" s="5" t="s">
        <v>63</v>
      </c>
      <c r="AG235" s="5" t="s">
        <v>63</v>
      </c>
      <c r="AH235" s="5" t="s">
        <v>63</v>
      </c>
      <c r="AI235" s="5" t="s">
        <v>63</v>
      </c>
      <c r="AJ235" s="14" t="s">
        <v>63</v>
      </c>
      <c r="AK235" s="5" t="s">
        <v>63</v>
      </c>
      <c r="AL235" s="5" t="s">
        <v>63</v>
      </c>
      <c r="AM235" s="5" t="s">
        <v>63</v>
      </c>
      <c r="AN235" s="5" t="s">
        <v>63</v>
      </c>
      <c r="AO235" s="5" t="s">
        <v>64</v>
      </c>
      <c r="AP235" s="5" t="s">
        <v>63</v>
      </c>
      <c r="AQ235" s="5" t="s">
        <v>63</v>
      </c>
      <c r="AR235" s="5" t="s">
        <v>63</v>
      </c>
      <c r="AS235" s="8" t="s">
        <v>63</v>
      </c>
      <c r="AT235" s="5" t="s">
        <v>63</v>
      </c>
      <c r="AU235" s="5" t="s">
        <v>63</v>
      </c>
      <c r="AV235" s="5" t="s">
        <v>63</v>
      </c>
      <c r="AW235" s="5" t="s">
        <v>63</v>
      </c>
      <c r="AX235" s="5" t="s">
        <v>63</v>
      </c>
      <c r="AY235" s="5" t="s">
        <v>63</v>
      </c>
      <c r="AZ235" s="5" t="s">
        <v>63</v>
      </c>
      <c r="BA235" s="5" t="s">
        <v>63</v>
      </c>
      <c r="BB235" s="5" t="s">
        <v>63</v>
      </c>
      <c r="BC235" s="5" t="s">
        <v>63</v>
      </c>
      <c r="BD235" s="5" t="s">
        <v>63</v>
      </c>
      <c r="BN235" s="5" t="s">
        <v>64</v>
      </c>
    </row>
    <row r="236" spans="1:71">
      <c r="A236" s="1" t="str">
        <f t="shared" si="3"/>
        <v>Yes</v>
      </c>
      <c r="B236" s="1" t="s">
        <v>106</v>
      </c>
      <c r="C236" s="1" t="s">
        <v>516</v>
      </c>
      <c r="D236" s="11" t="s">
        <v>77</v>
      </c>
      <c r="E236" s="1" t="s">
        <v>517</v>
      </c>
      <c r="F236" s="2">
        <v>3</v>
      </c>
      <c r="G236" s="5" t="s">
        <v>63</v>
      </c>
      <c r="H236" s="5" t="s">
        <v>63</v>
      </c>
      <c r="I236" s="5" t="s">
        <v>63</v>
      </c>
      <c r="J236" s="5" t="s">
        <v>63</v>
      </c>
      <c r="K236" s="5" t="s">
        <v>63</v>
      </c>
      <c r="L236" s="5" t="s">
        <v>63</v>
      </c>
      <c r="M236" s="5" t="s">
        <v>63</v>
      </c>
      <c r="N236" s="5" t="s">
        <v>63</v>
      </c>
      <c r="O236" s="5" t="s">
        <v>63</v>
      </c>
      <c r="P236" s="5" t="s">
        <v>63</v>
      </c>
      <c r="Q236" s="5" t="s">
        <v>63</v>
      </c>
      <c r="R236" s="5" t="s">
        <v>63</v>
      </c>
      <c r="S236" s="5" t="s">
        <v>63</v>
      </c>
      <c r="T236" s="5" t="s">
        <v>63</v>
      </c>
      <c r="U236" s="5" t="s">
        <v>63</v>
      </c>
      <c r="V236" s="5" t="s">
        <v>63</v>
      </c>
      <c r="W236" s="5" t="s">
        <v>63</v>
      </c>
      <c r="X236" s="5" t="s">
        <v>63</v>
      </c>
      <c r="Y236" s="5" t="s">
        <v>63</v>
      </c>
      <c r="Z236" s="5" t="s">
        <v>63</v>
      </c>
      <c r="AA236" s="5" t="s">
        <v>63</v>
      </c>
      <c r="AB236" s="5" t="s">
        <v>63</v>
      </c>
      <c r="AC236" s="5" t="s">
        <v>63</v>
      </c>
      <c r="AD236" s="5" t="s">
        <v>63</v>
      </c>
      <c r="AE236" s="5" t="s">
        <v>63</v>
      </c>
      <c r="AF236" s="5" t="s">
        <v>63</v>
      </c>
      <c r="AG236" s="5" t="s">
        <v>63</v>
      </c>
      <c r="AH236" s="5" t="s">
        <v>63</v>
      </c>
      <c r="AI236" s="5" t="s">
        <v>63</v>
      </c>
      <c r="AJ236" s="14" t="s">
        <v>63</v>
      </c>
      <c r="AK236" s="5" t="s">
        <v>63</v>
      </c>
      <c r="AL236" s="5" t="s">
        <v>63</v>
      </c>
      <c r="AM236" s="5" t="s">
        <v>63</v>
      </c>
      <c r="AN236" s="5" t="s">
        <v>63</v>
      </c>
      <c r="AO236" s="5" t="s">
        <v>64</v>
      </c>
      <c r="AP236" s="5" t="s">
        <v>63</v>
      </c>
      <c r="AQ236" s="5" t="s">
        <v>63</v>
      </c>
      <c r="AR236" s="5" t="s">
        <v>63</v>
      </c>
      <c r="AS236" s="8" t="s">
        <v>63</v>
      </c>
      <c r="AT236" s="5" t="s">
        <v>63</v>
      </c>
      <c r="AU236" s="5" t="s">
        <v>63</v>
      </c>
      <c r="AV236" s="5" t="s">
        <v>63</v>
      </c>
      <c r="AW236" s="5" t="s">
        <v>63</v>
      </c>
      <c r="AX236" s="5" t="s">
        <v>63</v>
      </c>
      <c r="AY236" s="5" t="s">
        <v>63</v>
      </c>
      <c r="AZ236" s="5" t="s">
        <v>63</v>
      </c>
      <c r="BA236" s="5" t="s">
        <v>63</v>
      </c>
      <c r="BB236" s="5" t="s">
        <v>63</v>
      </c>
      <c r="BC236" s="5" t="s">
        <v>63</v>
      </c>
      <c r="BD236" s="5" t="s">
        <v>63</v>
      </c>
      <c r="BN236" s="5" t="s">
        <v>64</v>
      </c>
    </row>
    <row r="237" spans="1:71">
      <c r="A237" s="1" t="str">
        <f t="shared" si="3"/>
        <v>Yes</v>
      </c>
      <c r="B237" s="1" t="s">
        <v>106</v>
      </c>
      <c r="C237" s="1" t="s">
        <v>518</v>
      </c>
      <c r="D237" s="11" t="s">
        <v>77</v>
      </c>
      <c r="E237" s="1" t="s">
        <v>519</v>
      </c>
      <c r="F237" s="2">
        <v>3</v>
      </c>
      <c r="G237" s="5" t="s">
        <v>63</v>
      </c>
      <c r="H237" s="5" t="s">
        <v>63</v>
      </c>
      <c r="I237" s="5" t="s">
        <v>63</v>
      </c>
      <c r="J237" s="5" t="s">
        <v>63</v>
      </c>
      <c r="K237" s="5" t="s">
        <v>63</v>
      </c>
      <c r="L237" s="5" t="s">
        <v>63</v>
      </c>
      <c r="M237" s="5" t="s">
        <v>63</v>
      </c>
      <c r="N237" s="5" t="s">
        <v>63</v>
      </c>
      <c r="O237" s="5" t="s">
        <v>63</v>
      </c>
      <c r="P237" s="5" t="s">
        <v>63</v>
      </c>
      <c r="Q237" s="5" t="s">
        <v>63</v>
      </c>
      <c r="R237" s="5" t="s">
        <v>63</v>
      </c>
      <c r="S237" s="5" t="s">
        <v>63</v>
      </c>
      <c r="T237" s="5" t="s">
        <v>63</v>
      </c>
      <c r="U237" s="5" t="s">
        <v>63</v>
      </c>
      <c r="V237" s="5" t="s">
        <v>63</v>
      </c>
      <c r="W237" s="5" t="s">
        <v>63</v>
      </c>
      <c r="X237" s="5" t="s">
        <v>63</v>
      </c>
      <c r="Y237" s="5" t="s">
        <v>63</v>
      </c>
      <c r="Z237" s="5" t="s">
        <v>63</v>
      </c>
      <c r="AA237" s="5" t="s">
        <v>63</v>
      </c>
      <c r="AB237" s="5" t="s">
        <v>63</v>
      </c>
      <c r="AC237" s="5" t="s">
        <v>63</v>
      </c>
      <c r="AD237" s="5" t="s">
        <v>63</v>
      </c>
      <c r="AE237" s="5" t="s">
        <v>63</v>
      </c>
      <c r="AF237" s="5" t="s">
        <v>63</v>
      </c>
      <c r="AG237" s="5" t="s">
        <v>63</v>
      </c>
      <c r="AH237" s="5" t="s">
        <v>63</v>
      </c>
      <c r="AI237" s="5" t="s">
        <v>63</v>
      </c>
      <c r="AJ237" s="14" t="s">
        <v>64</v>
      </c>
      <c r="AK237" s="5" t="s">
        <v>63</v>
      </c>
      <c r="AL237" s="5" t="s">
        <v>63</v>
      </c>
      <c r="AM237" s="5" t="s">
        <v>63</v>
      </c>
      <c r="AN237" s="5" t="s">
        <v>63</v>
      </c>
      <c r="AO237" s="5" t="s">
        <v>64</v>
      </c>
      <c r="AP237" s="5" t="s">
        <v>63</v>
      </c>
      <c r="AQ237" s="5" t="s">
        <v>63</v>
      </c>
      <c r="AR237" s="5" t="s">
        <v>63</v>
      </c>
      <c r="AS237" s="8" t="s">
        <v>63</v>
      </c>
      <c r="AT237" s="5" t="s">
        <v>63</v>
      </c>
      <c r="AU237" s="5" t="s">
        <v>63</v>
      </c>
      <c r="AV237" s="5" t="s">
        <v>63</v>
      </c>
      <c r="AW237" s="5" t="s">
        <v>63</v>
      </c>
      <c r="AX237" s="5" t="s">
        <v>63</v>
      </c>
      <c r="AY237" s="5" t="s">
        <v>63</v>
      </c>
      <c r="AZ237" s="5" t="s">
        <v>63</v>
      </c>
      <c r="BA237" s="5" t="s">
        <v>63</v>
      </c>
      <c r="BB237" s="5" t="s">
        <v>63</v>
      </c>
      <c r="BC237" s="5" t="s">
        <v>63</v>
      </c>
      <c r="BD237" s="5" t="s">
        <v>63</v>
      </c>
      <c r="BL237" s="5" t="s">
        <v>64</v>
      </c>
      <c r="BN237" s="5" t="s">
        <v>64</v>
      </c>
    </row>
    <row r="238" spans="1:71">
      <c r="A238" s="1" t="str">
        <f t="shared" si="3"/>
        <v>Yes</v>
      </c>
      <c r="B238" s="1" t="s">
        <v>106</v>
      </c>
      <c r="C238" s="1" t="s">
        <v>520</v>
      </c>
      <c r="E238" s="1" t="s">
        <v>521</v>
      </c>
      <c r="F238" s="2">
        <v>3</v>
      </c>
      <c r="G238" s="5" t="s">
        <v>63</v>
      </c>
      <c r="H238" s="5" t="s">
        <v>63</v>
      </c>
      <c r="I238" s="5" t="s">
        <v>63</v>
      </c>
      <c r="J238" s="5" t="s">
        <v>63</v>
      </c>
      <c r="K238" s="5" t="s">
        <v>63</v>
      </c>
      <c r="L238" s="5" t="s">
        <v>63</v>
      </c>
      <c r="M238" s="5" t="s">
        <v>63</v>
      </c>
      <c r="N238" s="5" t="s">
        <v>63</v>
      </c>
      <c r="O238" s="5" t="s">
        <v>63</v>
      </c>
      <c r="P238" s="5" t="s">
        <v>63</v>
      </c>
      <c r="Q238" s="5" t="s">
        <v>63</v>
      </c>
      <c r="R238" s="5" t="s">
        <v>63</v>
      </c>
      <c r="S238" s="5" t="s">
        <v>63</v>
      </c>
      <c r="T238" s="5" t="s">
        <v>63</v>
      </c>
      <c r="U238" s="5" t="s">
        <v>63</v>
      </c>
      <c r="V238" s="5" t="s">
        <v>63</v>
      </c>
      <c r="W238" s="5" t="s">
        <v>63</v>
      </c>
      <c r="X238" s="5" t="s">
        <v>63</v>
      </c>
      <c r="Y238" s="5" t="s">
        <v>63</v>
      </c>
      <c r="Z238" s="5" t="s">
        <v>63</v>
      </c>
      <c r="AA238" s="5" t="s">
        <v>64</v>
      </c>
      <c r="AB238" s="5" t="s">
        <v>63</v>
      </c>
      <c r="AC238" s="5" t="s">
        <v>63</v>
      </c>
      <c r="AD238" s="5" t="s">
        <v>63</v>
      </c>
      <c r="AE238" s="5" t="s">
        <v>64</v>
      </c>
      <c r="AF238" s="5" t="s">
        <v>64</v>
      </c>
      <c r="AG238" s="5" t="s">
        <v>63</v>
      </c>
      <c r="AH238" s="5" t="s">
        <v>63</v>
      </c>
      <c r="AI238" s="5" t="s">
        <v>63</v>
      </c>
      <c r="AJ238" s="14" t="s">
        <v>64</v>
      </c>
      <c r="AK238" s="5" t="s">
        <v>63</v>
      </c>
      <c r="AL238" s="5" t="s">
        <v>63</v>
      </c>
      <c r="AM238" s="5" t="s">
        <v>63</v>
      </c>
      <c r="AN238" s="5" t="s">
        <v>63</v>
      </c>
      <c r="AO238" s="5" t="s">
        <v>64</v>
      </c>
      <c r="AP238" s="5" t="s">
        <v>63</v>
      </c>
      <c r="AQ238" s="5" t="s">
        <v>63</v>
      </c>
      <c r="AR238" s="5" t="s">
        <v>63</v>
      </c>
      <c r="AS238" s="8" t="s">
        <v>63</v>
      </c>
      <c r="AT238" s="5" t="s">
        <v>63</v>
      </c>
      <c r="AU238" s="5" t="s">
        <v>63</v>
      </c>
      <c r="AV238" s="5" t="s">
        <v>64</v>
      </c>
      <c r="AW238" s="5" t="s">
        <v>63</v>
      </c>
      <c r="AX238" s="5" t="s">
        <v>63</v>
      </c>
      <c r="AY238" s="5" t="s">
        <v>64</v>
      </c>
      <c r="AZ238" s="5" t="s">
        <v>63</v>
      </c>
      <c r="BA238" s="5" t="s">
        <v>63</v>
      </c>
      <c r="BB238" s="5" t="s">
        <v>63</v>
      </c>
      <c r="BC238" s="5" t="s">
        <v>63</v>
      </c>
      <c r="BD238" s="5" t="s">
        <v>63</v>
      </c>
      <c r="BF238" s="5" t="s">
        <v>64</v>
      </c>
      <c r="BI238" s="5" t="s">
        <v>64</v>
      </c>
      <c r="BL238" s="5" t="s">
        <v>64</v>
      </c>
      <c r="BN238" s="5" t="s">
        <v>64</v>
      </c>
      <c r="BP238" s="5" t="s">
        <v>64</v>
      </c>
      <c r="BR238" s="5" t="s">
        <v>64</v>
      </c>
    </row>
    <row r="239" spans="1:71">
      <c r="A239" s="1" t="str">
        <f t="shared" si="3"/>
        <v>Yes</v>
      </c>
      <c r="B239" s="1" t="s">
        <v>106</v>
      </c>
      <c r="C239" s="1" t="s">
        <v>522</v>
      </c>
      <c r="E239" s="1" t="s">
        <v>523</v>
      </c>
      <c r="F239" s="2">
        <v>3</v>
      </c>
      <c r="G239" s="5" t="s">
        <v>63</v>
      </c>
      <c r="H239" s="5" t="s">
        <v>63</v>
      </c>
      <c r="I239" s="5" t="s">
        <v>63</v>
      </c>
      <c r="J239" s="5" t="s">
        <v>63</v>
      </c>
      <c r="K239" s="5" t="s">
        <v>63</v>
      </c>
      <c r="L239" s="5" t="s">
        <v>63</v>
      </c>
      <c r="M239" s="5" t="s">
        <v>63</v>
      </c>
      <c r="N239" s="5" t="s">
        <v>63</v>
      </c>
      <c r="O239" s="5" t="s">
        <v>63</v>
      </c>
      <c r="P239" s="5" t="s">
        <v>63</v>
      </c>
      <c r="Q239" s="5" t="s">
        <v>63</v>
      </c>
      <c r="R239" s="5" t="s">
        <v>63</v>
      </c>
      <c r="S239" s="5" t="s">
        <v>63</v>
      </c>
      <c r="T239" s="5" t="s">
        <v>63</v>
      </c>
      <c r="U239" s="5" t="s">
        <v>63</v>
      </c>
      <c r="V239" s="5" t="s">
        <v>63</v>
      </c>
      <c r="W239" s="5" t="s">
        <v>63</v>
      </c>
      <c r="X239" s="5" t="s">
        <v>63</v>
      </c>
      <c r="Y239" s="5" t="s">
        <v>63</v>
      </c>
      <c r="Z239" s="5" t="s">
        <v>63</v>
      </c>
      <c r="AA239" s="5" t="s">
        <v>63</v>
      </c>
      <c r="AB239" s="5" t="s">
        <v>63</v>
      </c>
      <c r="AC239" s="5" t="s">
        <v>63</v>
      </c>
      <c r="AD239" s="5" t="s">
        <v>63</v>
      </c>
      <c r="AE239" s="5" t="s">
        <v>63</v>
      </c>
      <c r="AF239" s="5" t="s">
        <v>63</v>
      </c>
      <c r="AG239" s="5" t="s">
        <v>63</v>
      </c>
      <c r="AH239" s="5" t="s">
        <v>63</v>
      </c>
      <c r="AI239" s="5" t="s">
        <v>63</v>
      </c>
      <c r="AJ239" s="14" t="s">
        <v>63</v>
      </c>
      <c r="AK239" s="5" t="s">
        <v>63</v>
      </c>
      <c r="AL239" s="5" t="s">
        <v>63</v>
      </c>
      <c r="AM239" s="5" t="s">
        <v>63</v>
      </c>
      <c r="AN239" s="5" t="s">
        <v>63</v>
      </c>
      <c r="AO239" s="5" t="s">
        <v>63</v>
      </c>
      <c r="AP239" s="5" t="s">
        <v>63</v>
      </c>
      <c r="AQ239" s="5" t="s">
        <v>63</v>
      </c>
      <c r="AR239" s="5" t="s">
        <v>63</v>
      </c>
      <c r="AS239" s="8" t="s">
        <v>63</v>
      </c>
      <c r="AT239" s="5" t="s">
        <v>63</v>
      </c>
      <c r="AU239" s="5" t="s">
        <v>63</v>
      </c>
      <c r="AV239" s="5" t="s">
        <v>63</v>
      </c>
      <c r="AW239" s="5" t="s">
        <v>63</v>
      </c>
      <c r="AX239" s="5" t="s">
        <v>63</v>
      </c>
      <c r="AY239" s="5" t="s">
        <v>63</v>
      </c>
      <c r="AZ239" s="5" t="s">
        <v>63</v>
      </c>
      <c r="BA239" s="5" t="s">
        <v>63</v>
      </c>
      <c r="BB239" s="5" t="s">
        <v>63</v>
      </c>
      <c r="BC239" s="5" t="s">
        <v>63</v>
      </c>
      <c r="BD239" s="5" t="s">
        <v>63</v>
      </c>
    </row>
    <row r="240" spans="1:71">
      <c r="A240" s="1" t="str">
        <f t="shared" si="3"/>
        <v>No</v>
      </c>
      <c r="B240" s="1" t="s">
        <v>59</v>
      </c>
      <c r="C240" s="1" t="s">
        <v>524</v>
      </c>
      <c r="D240" s="11" t="s">
        <v>286</v>
      </c>
      <c r="E240" s="1" t="s">
        <v>525</v>
      </c>
      <c r="F240" s="2">
        <v>3</v>
      </c>
      <c r="G240" s="5" t="s">
        <v>63</v>
      </c>
      <c r="H240" s="5" t="s">
        <v>63</v>
      </c>
      <c r="I240" s="5" t="s">
        <v>63</v>
      </c>
      <c r="J240" s="5" t="s">
        <v>63</v>
      </c>
      <c r="K240" s="5" t="s">
        <v>63</v>
      </c>
      <c r="L240" s="5" t="s">
        <v>63</v>
      </c>
      <c r="M240" s="5" t="s">
        <v>63</v>
      </c>
      <c r="N240" s="5" t="s">
        <v>63</v>
      </c>
      <c r="O240" s="5" t="s">
        <v>63</v>
      </c>
      <c r="P240" s="5" t="s">
        <v>63</v>
      </c>
      <c r="Q240" s="5" t="s">
        <v>63</v>
      </c>
      <c r="R240" s="5" t="s">
        <v>63</v>
      </c>
      <c r="S240" s="5" t="s">
        <v>63</v>
      </c>
      <c r="T240" s="5" t="s">
        <v>63</v>
      </c>
      <c r="U240" s="5" t="s">
        <v>63</v>
      </c>
      <c r="V240" s="5" t="s">
        <v>63</v>
      </c>
      <c r="W240" s="5" t="s">
        <v>63</v>
      </c>
      <c r="X240" s="5" t="s">
        <v>63</v>
      </c>
      <c r="Y240" s="5" t="s">
        <v>63</v>
      </c>
      <c r="Z240" s="5" t="s">
        <v>63</v>
      </c>
      <c r="AA240" s="5" t="s">
        <v>63</v>
      </c>
      <c r="AB240" s="5" t="s">
        <v>63</v>
      </c>
      <c r="AC240" s="5" t="s">
        <v>63</v>
      </c>
      <c r="AD240" s="5" t="s">
        <v>63</v>
      </c>
      <c r="AE240" s="5" t="s">
        <v>63</v>
      </c>
      <c r="AF240" s="5" t="s">
        <v>63</v>
      </c>
      <c r="AG240" s="5" t="s">
        <v>63</v>
      </c>
      <c r="AH240" s="5" t="s">
        <v>63</v>
      </c>
      <c r="AI240" s="5" t="s">
        <v>63</v>
      </c>
      <c r="AJ240" s="14" t="s">
        <v>63</v>
      </c>
      <c r="AK240" s="5" t="s">
        <v>63</v>
      </c>
      <c r="AL240" s="5" t="s">
        <v>63</v>
      </c>
      <c r="AM240" s="5" t="s">
        <v>63</v>
      </c>
      <c r="AN240" s="5" t="s">
        <v>63</v>
      </c>
      <c r="AO240" s="5" t="s">
        <v>63</v>
      </c>
      <c r="AP240" s="5" t="s">
        <v>63</v>
      </c>
      <c r="AQ240" s="5" t="s">
        <v>63</v>
      </c>
      <c r="AR240" s="5" t="s">
        <v>63</v>
      </c>
      <c r="AS240" s="8" t="s">
        <v>63</v>
      </c>
      <c r="AT240" s="5" t="s">
        <v>63</v>
      </c>
      <c r="AU240" s="5" t="s">
        <v>63</v>
      </c>
      <c r="AV240" s="5" t="s">
        <v>63</v>
      </c>
      <c r="AW240" s="5" t="s">
        <v>64</v>
      </c>
      <c r="AX240" s="5" t="s">
        <v>63</v>
      </c>
      <c r="AY240" s="5" t="s">
        <v>64</v>
      </c>
      <c r="AZ240" s="5" t="s">
        <v>63</v>
      </c>
      <c r="BA240" s="5" t="s">
        <v>63</v>
      </c>
      <c r="BB240" s="5" t="s">
        <v>63</v>
      </c>
      <c r="BC240" s="5" t="s">
        <v>63</v>
      </c>
      <c r="BD240" s="5" t="s">
        <v>63</v>
      </c>
      <c r="BQ240" s="5" t="s">
        <v>64</v>
      </c>
      <c r="BR240" s="5" t="s">
        <v>64</v>
      </c>
    </row>
    <row r="241" spans="1:72">
      <c r="A241" s="1" t="str">
        <f t="shared" si="3"/>
        <v>Yes</v>
      </c>
      <c r="B241" s="1" t="s">
        <v>106</v>
      </c>
      <c r="C241" s="1" t="s">
        <v>526</v>
      </c>
      <c r="D241" s="11" t="s">
        <v>77</v>
      </c>
      <c r="E241" s="1" t="s">
        <v>527</v>
      </c>
      <c r="F241" s="2">
        <v>3</v>
      </c>
      <c r="G241" s="5" t="s">
        <v>63</v>
      </c>
      <c r="H241" s="5" t="s">
        <v>63</v>
      </c>
      <c r="I241" s="5" t="s">
        <v>63</v>
      </c>
      <c r="J241" s="5" t="s">
        <v>63</v>
      </c>
      <c r="K241" s="5" t="s">
        <v>63</v>
      </c>
      <c r="L241" s="5" t="s">
        <v>63</v>
      </c>
      <c r="M241" s="5" t="s">
        <v>63</v>
      </c>
      <c r="N241" s="5" t="s">
        <v>63</v>
      </c>
      <c r="O241" s="5" t="s">
        <v>63</v>
      </c>
      <c r="P241" s="5" t="s">
        <v>63</v>
      </c>
      <c r="Q241" s="5" t="s">
        <v>63</v>
      </c>
      <c r="R241" s="5" t="s">
        <v>63</v>
      </c>
      <c r="S241" s="5" t="s">
        <v>63</v>
      </c>
      <c r="T241" s="5" t="s">
        <v>63</v>
      </c>
      <c r="U241" s="5" t="s">
        <v>63</v>
      </c>
      <c r="V241" s="5" t="s">
        <v>63</v>
      </c>
      <c r="W241" s="5" t="s">
        <v>63</v>
      </c>
      <c r="X241" s="5" t="s">
        <v>63</v>
      </c>
      <c r="Y241" s="5" t="s">
        <v>63</v>
      </c>
      <c r="Z241" s="5" t="s">
        <v>63</v>
      </c>
      <c r="AA241" s="5" t="s">
        <v>63</v>
      </c>
      <c r="AB241" s="5" t="s">
        <v>63</v>
      </c>
      <c r="AC241" s="5" t="s">
        <v>63</v>
      </c>
      <c r="AD241" s="5" t="s">
        <v>63</v>
      </c>
      <c r="AE241" s="5" t="s">
        <v>63</v>
      </c>
      <c r="AF241" s="5" t="s">
        <v>63</v>
      </c>
      <c r="AG241" s="5" t="s">
        <v>63</v>
      </c>
      <c r="AH241" s="5" t="s">
        <v>63</v>
      </c>
      <c r="AI241" s="5" t="s">
        <v>63</v>
      </c>
      <c r="AJ241" s="14" t="s">
        <v>64</v>
      </c>
      <c r="AK241" s="5" t="s">
        <v>63</v>
      </c>
      <c r="AL241" s="5" t="s">
        <v>63</v>
      </c>
      <c r="AM241" s="5" t="s">
        <v>63</v>
      </c>
      <c r="AN241" s="5" t="s">
        <v>63</v>
      </c>
      <c r="AO241" s="5" t="s">
        <v>64</v>
      </c>
      <c r="AP241" s="5" t="s">
        <v>63</v>
      </c>
      <c r="AQ241" s="5" t="s">
        <v>63</v>
      </c>
      <c r="AR241" s="5" t="s">
        <v>63</v>
      </c>
      <c r="AS241" s="8" t="s">
        <v>63</v>
      </c>
      <c r="AT241" s="5" t="s">
        <v>63</v>
      </c>
      <c r="AU241" s="5" t="s">
        <v>63</v>
      </c>
      <c r="AV241" s="5" t="s">
        <v>63</v>
      </c>
      <c r="AW241" s="5" t="s">
        <v>63</v>
      </c>
      <c r="AX241" s="5" t="s">
        <v>63</v>
      </c>
      <c r="AY241" s="5" t="s">
        <v>63</v>
      </c>
      <c r="AZ241" s="5" t="s">
        <v>63</v>
      </c>
      <c r="BA241" s="5" t="s">
        <v>63</v>
      </c>
      <c r="BB241" s="5" t="s">
        <v>63</v>
      </c>
      <c r="BC241" s="5" t="s">
        <v>63</v>
      </c>
      <c r="BD241" s="5" t="s">
        <v>63</v>
      </c>
      <c r="BL241" s="5" t="s">
        <v>64</v>
      </c>
      <c r="BN241" s="5" t="s">
        <v>64</v>
      </c>
    </row>
    <row r="242" spans="1:72">
      <c r="A242" s="1" t="str">
        <f t="shared" si="3"/>
        <v>Yes</v>
      </c>
      <c r="B242" s="1" t="s">
        <v>106</v>
      </c>
      <c r="C242" s="1" t="s">
        <v>528</v>
      </c>
      <c r="E242" s="1" t="s">
        <v>529</v>
      </c>
      <c r="F242" s="2">
        <v>3</v>
      </c>
      <c r="G242" s="5" t="s">
        <v>63</v>
      </c>
      <c r="H242" s="5" t="s">
        <v>63</v>
      </c>
      <c r="I242" s="5" t="s">
        <v>63</v>
      </c>
      <c r="J242" s="5" t="s">
        <v>63</v>
      </c>
      <c r="K242" s="5" t="s">
        <v>63</v>
      </c>
      <c r="L242" s="5" t="s">
        <v>63</v>
      </c>
      <c r="M242" s="5" t="s">
        <v>63</v>
      </c>
      <c r="N242" s="5" t="s">
        <v>63</v>
      </c>
      <c r="O242" s="5" t="s">
        <v>63</v>
      </c>
      <c r="P242" s="5" t="s">
        <v>63</v>
      </c>
      <c r="Q242" s="5" t="s">
        <v>63</v>
      </c>
      <c r="R242" s="5" t="s">
        <v>63</v>
      </c>
      <c r="S242" s="5" t="s">
        <v>63</v>
      </c>
      <c r="T242" s="5" t="s">
        <v>63</v>
      </c>
      <c r="U242" s="5" t="s">
        <v>63</v>
      </c>
      <c r="V242" s="5" t="s">
        <v>63</v>
      </c>
      <c r="W242" s="5" t="s">
        <v>63</v>
      </c>
      <c r="X242" s="5" t="s">
        <v>63</v>
      </c>
      <c r="Y242" s="5" t="s">
        <v>63</v>
      </c>
      <c r="Z242" s="5" t="s">
        <v>63</v>
      </c>
      <c r="AA242" s="5" t="s">
        <v>63</v>
      </c>
      <c r="AB242" s="5" t="s">
        <v>63</v>
      </c>
      <c r="AC242" s="5" t="s">
        <v>63</v>
      </c>
      <c r="AD242" s="5" t="s">
        <v>63</v>
      </c>
      <c r="AE242" s="5" t="s">
        <v>63</v>
      </c>
      <c r="AF242" s="5" t="s">
        <v>63</v>
      </c>
      <c r="AG242" s="5" t="s">
        <v>63</v>
      </c>
      <c r="AH242" s="5" t="s">
        <v>63</v>
      </c>
      <c r="AI242" s="5" t="s">
        <v>63</v>
      </c>
      <c r="AJ242" s="14" t="s">
        <v>63</v>
      </c>
      <c r="AK242" s="5" t="s">
        <v>63</v>
      </c>
      <c r="AL242" s="5" t="s">
        <v>63</v>
      </c>
      <c r="AM242" s="5" t="s">
        <v>63</v>
      </c>
      <c r="AN242" s="5" t="s">
        <v>63</v>
      </c>
      <c r="AO242" s="5" t="s">
        <v>63</v>
      </c>
      <c r="AP242" s="5" t="s">
        <v>63</v>
      </c>
      <c r="AQ242" s="5" t="s">
        <v>63</v>
      </c>
      <c r="AR242" s="5" t="s">
        <v>63</v>
      </c>
      <c r="AS242" s="8" t="s">
        <v>63</v>
      </c>
      <c r="AT242" s="5" t="s">
        <v>63</v>
      </c>
      <c r="AU242" s="5" t="s">
        <v>63</v>
      </c>
      <c r="AV242" s="5" t="s">
        <v>63</v>
      </c>
      <c r="AW242" s="5" t="s">
        <v>63</v>
      </c>
      <c r="AX242" s="5" t="s">
        <v>63</v>
      </c>
      <c r="AY242" s="5" t="s">
        <v>63</v>
      </c>
      <c r="AZ242" s="5" t="s">
        <v>63</v>
      </c>
      <c r="BA242" s="5" t="s">
        <v>63</v>
      </c>
      <c r="BB242" s="5" t="s">
        <v>63</v>
      </c>
      <c r="BC242" s="5" t="s">
        <v>63</v>
      </c>
      <c r="BD242" s="5" t="s">
        <v>63</v>
      </c>
    </row>
    <row r="243" spans="1:72">
      <c r="A243" s="1" t="str">
        <f t="shared" si="3"/>
        <v>Yes</v>
      </c>
      <c r="B243" s="1" t="s">
        <v>106</v>
      </c>
      <c r="C243" s="1" t="s">
        <v>530</v>
      </c>
      <c r="D243" s="11" t="s">
        <v>77</v>
      </c>
      <c r="E243" s="1" t="s">
        <v>531</v>
      </c>
      <c r="F243" s="2">
        <v>3</v>
      </c>
      <c r="G243" s="5" t="s">
        <v>63</v>
      </c>
      <c r="H243" s="5" t="s">
        <v>63</v>
      </c>
      <c r="I243" s="5" t="s">
        <v>63</v>
      </c>
      <c r="J243" s="5" t="s">
        <v>63</v>
      </c>
      <c r="K243" s="5" t="s">
        <v>63</v>
      </c>
      <c r="L243" s="5" t="s">
        <v>63</v>
      </c>
      <c r="M243" s="5" t="s">
        <v>63</v>
      </c>
      <c r="N243" s="5" t="s">
        <v>63</v>
      </c>
      <c r="O243" s="5" t="s">
        <v>63</v>
      </c>
      <c r="P243" s="5" t="s">
        <v>63</v>
      </c>
      <c r="Q243" s="5" t="s">
        <v>63</v>
      </c>
      <c r="R243" s="5" t="s">
        <v>63</v>
      </c>
      <c r="S243" s="5" t="s">
        <v>63</v>
      </c>
      <c r="T243" s="5" t="s">
        <v>63</v>
      </c>
      <c r="U243" s="5" t="s">
        <v>63</v>
      </c>
      <c r="V243" s="5" t="s">
        <v>63</v>
      </c>
      <c r="W243" s="5" t="s">
        <v>63</v>
      </c>
      <c r="X243" s="5" t="s">
        <v>63</v>
      </c>
      <c r="Y243" s="5" t="s">
        <v>63</v>
      </c>
      <c r="Z243" s="5" t="s">
        <v>63</v>
      </c>
      <c r="AA243" s="5" t="s">
        <v>63</v>
      </c>
      <c r="AB243" s="5" t="s">
        <v>63</v>
      </c>
      <c r="AC243" s="5" t="s">
        <v>63</v>
      </c>
      <c r="AD243" s="5" t="s">
        <v>63</v>
      </c>
      <c r="AE243" s="5" t="s">
        <v>63</v>
      </c>
      <c r="AF243" s="5" t="s">
        <v>63</v>
      </c>
      <c r="AG243" s="5" t="s">
        <v>63</v>
      </c>
      <c r="AH243" s="5" t="s">
        <v>63</v>
      </c>
      <c r="AI243" s="5" t="s">
        <v>63</v>
      </c>
      <c r="AJ243" s="14" t="s">
        <v>64</v>
      </c>
      <c r="AK243" s="5" t="s">
        <v>63</v>
      </c>
      <c r="AL243" s="5" t="s">
        <v>63</v>
      </c>
      <c r="AM243" s="5" t="s">
        <v>63</v>
      </c>
      <c r="AN243" s="5" t="s">
        <v>63</v>
      </c>
      <c r="AO243" s="5" t="s">
        <v>64</v>
      </c>
      <c r="AP243" s="5" t="s">
        <v>63</v>
      </c>
      <c r="AQ243" s="5" t="s">
        <v>63</v>
      </c>
      <c r="AR243" s="5" t="s">
        <v>63</v>
      </c>
      <c r="AS243" s="8" t="s">
        <v>63</v>
      </c>
      <c r="AT243" s="5" t="s">
        <v>63</v>
      </c>
      <c r="AU243" s="5" t="s">
        <v>63</v>
      </c>
      <c r="AV243" s="5" t="s">
        <v>63</v>
      </c>
      <c r="AW243" s="5" t="s">
        <v>63</v>
      </c>
      <c r="AX243" s="5" t="s">
        <v>63</v>
      </c>
      <c r="AY243" s="5" t="s">
        <v>63</v>
      </c>
      <c r="AZ243" s="5" t="s">
        <v>63</v>
      </c>
      <c r="BA243" s="5" t="s">
        <v>63</v>
      </c>
      <c r="BB243" s="5" t="s">
        <v>63</v>
      </c>
      <c r="BC243" s="5" t="s">
        <v>63</v>
      </c>
      <c r="BD243" s="5" t="s">
        <v>63</v>
      </c>
      <c r="BL243" s="5" t="s">
        <v>64</v>
      </c>
      <c r="BN243" s="5" t="s">
        <v>64</v>
      </c>
    </row>
    <row r="244" spans="1:72">
      <c r="A244" s="1" t="str">
        <f t="shared" si="3"/>
        <v>Yes</v>
      </c>
      <c r="B244" s="1" t="s">
        <v>106</v>
      </c>
      <c r="C244" s="1" t="s">
        <v>532</v>
      </c>
      <c r="D244" s="11" t="s">
        <v>77</v>
      </c>
      <c r="E244" s="1" t="s">
        <v>533</v>
      </c>
      <c r="F244" s="2">
        <v>3</v>
      </c>
      <c r="G244" s="5" t="s">
        <v>63</v>
      </c>
      <c r="H244" s="5" t="s">
        <v>63</v>
      </c>
      <c r="I244" s="5" t="s">
        <v>63</v>
      </c>
      <c r="J244" s="5" t="s">
        <v>63</v>
      </c>
      <c r="K244" s="5" t="s">
        <v>63</v>
      </c>
      <c r="L244" s="5" t="s">
        <v>63</v>
      </c>
      <c r="M244" s="5" t="s">
        <v>63</v>
      </c>
      <c r="N244" s="5" t="s">
        <v>63</v>
      </c>
      <c r="O244" s="5" t="s">
        <v>63</v>
      </c>
      <c r="P244" s="5" t="s">
        <v>63</v>
      </c>
      <c r="Q244" s="5" t="s">
        <v>63</v>
      </c>
      <c r="R244" s="5" t="s">
        <v>63</v>
      </c>
      <c r="S244" s="5" t="s">
        <v>63</v>
      </c>
      <c r="T244" s="5" t="s">
        <v>63</v>
      </c>
      <c r="U244" s="5" t="s">
        <v>63</v>
      </c>
      <c r="V244" s="5" t="s">
        <v>63</v>
      </c>
      <c r="W244" s="5" t="s">
        <v>63</v>
      </c>
      <c r="X244" s="5" t="s">
        <v>63</v>
      </c>
      <c r="Y244" s="5" t="s">
        <v>63</v>
      </c>
      <c r="Z244" s="5" t="s">
        <v>63</v>
      </c>
      <c r="AA244" s="5" t="s">
        <v>63</v>
      </c>
      <c r="AB244" s="5" t="s">
        <v>63</v>
      </c>
      <c r="AC244" s="5" t="s">
        <v>63</v>
      </c>
      <c r="AD244" s="5" t="s">
        <v>63</v>
      </c>
      <c r="AE244" s="5" t="s">
        <v>64</v>
      </c>
      <c r="AF244" s="5" t="s">
        <v>63</v>
      </c>
      <c r="AG244" s="5" t="s">
        <v>63</v>
      </c>
      <c r="AH244" s="5" t="s">
        <v>63</v>
      </c>
      <c r="AI244" s="5" t="s">
        <v>63</v>
      </c>
      <c r="AJ244" s="14" t="s">
        <v>64</v>
      </c>
      <c r="AK244" s="5" t="s">
        <v>63</v>
      </c>
      <c r="AL244" s="5" t="s">
        <v>63</v>
      </c>
      <c r="AM244" s="5" t="s">
        <v>63</v>
      </c>
      <c r="AN244" s="5" t="s">
        <v>63</v>
      </c>
      <c r="AO244" s="5" t="s">
        <v>64</v>
      </c>
      <c r="AP244" s="5" t="s">
        <v>63</v>
      </c>
      <c r="AQ244" s="5" t="s">
        <v>63</v>
      </c>
      <c r="AR244" s="5" t="s">
        <v>63</v>
      </c>
      <c r="AS244" s="8" t="s">
        <v>63</v>
      </c>
      <c r="AT244" s="5" t="s">
        <v>63</v>
      </c>
      <c r="AU244" s="5" t="s">
        <v>63</v>
      </c>
      <c r="AV244" s="5" t="s">
        <v>63</v>
      </c>
      <c r="AW244" s="5" t="s">
        <v>63</v>
      </c>
      <c r="AX244" s="5" t="s">
        <v>63</v>
      </c>
      <c r="AY244" s="5" t="s">
        <v>63</v>
      </c>
      <c r="AZ244" s="5" t="s">
        <v>63</v>
      </c>
      <c r="BA244" s="5" t="s">
        <v>63</v>
      </c>
      <c r="BB244" s="5" t="s">
        <v>63</v>
      </c>
      <c r="BC244" s="5" t="s">
        <v>63</v>
      </c>
      <c r="BD244" s="5" t="s">
        <v>63</v>
      </c>
      <c r="BI244" s="5" t="s">
        <v>64</v>
      </c>
      <c r="BL244" s="5" t="s">
        <v>64</v>
      </c>
      <c r="BN244" s="5" t="s">
        <v>64</v>
      </c>
    </row>
    <row r="245" spans="1:72">
      <c r="A245" s="1" t="str">
        <f t="shared" si="3"/>
        <v>Yes</v>
      </c>
      <c r="B245" s="1" t="s">
        <v>106</v>
      </c>
      <c r="C245" s="1" t="s">
        <v>534</v>
      </c>
      <c r="E245" s="1" t="s">
        <v>535</v>
      </c>
      <c r="F245" s="2" t="s">
        <v>63</v>
      </c>
      <c r="G245" s="5" t="s">
        <v>63</v>
      </c>
      <c r="H245" s="5" t="s">
        <v>63</v>
      </c>
      <c r="I245" s="5" t="s">
        <v>63</v>
      </c>
      <c r="J245" s="5" t="s">
        <v>63</v>
      </c>
      <c r="K245" s="5" t="s">
        <v>63</v>
      </c>
      <c r="L245" s="5" t="s">
        <v>63</v>
      </c>
      <c r="M245" s="5" t="s">
        <v>63</v>
      </c>
      <c r="N245" s="5" t="s">
        <v>63</v>
      </c>
      <c r="O245" s="5" t="s">
        <v>63</v>
      </c>
      <c r="P245" s="5" t="s">
        <v>63</v>
      </c>
      <c r="Q245" s="5" t="s">
        <v>63</v>
      </c>
      <c r="R245" s="5" t="s">
        <v>63</v>
      </c>
      <c r="S245" s="5" t="s">
        <v>63</v>
      </c>
      <c r="T245" s="5" t="s">
        <v>63</v>
      </c>
      <c r="U245" s="5" t="s">
        <v>63</v>
      </c>
      <c r="V245" s="5" t="s">
        <v>63</v>
      </c>
      <c r="W245" s="5" t="s">
        <v>63</v>
      </c>
      <c r="X245" s="5" t="s">
        <v>63</v>
      </c>
      <c r="Y245" s="5" t="s">
        <v>63</v>
      </c>
      <c r="Z245" s="5" t="s">
        <v>63</v>
      </c>
      <c r="AA245" s="5" t="s">
        <v>63</v>
      </c>
      <c r="AB245" s="5" t="s">
        <v>63</v>
      </c>
      <c r="AC245" s="5" t="s">
        <v>63</v>
      </c>
      <c r="AD245" s="5" t="s">
        <v>63</v>
      </c>
      <c r="AE245" s="5" t="s">
        <v>63</v>
      </c>
      <c r="AF245" s="5" t="s">
        <v>63</v>
      </c>
      <c r="AG245" s="5" t="s">
        <v>63</v>
      </c>
      <c r="AH245" s="5" t="s">
        <v>63</v>
      </c>
      <c r="AI245" s="5" t="s">
        <v>63</v>
      </c>
      <c r="AJ245" s="14" t="s">
        <v>63</v>
      </c>
      <c r="AK245" s="5" t="s">
        <v>63</v>
      </c>
      <c r="AL245" s="5" t="s">
        <v>63</v>
      </c>
      <c r="AM245" s="5" t="s">
        <v>63</v>
      </c>
      <c r="AN245" s="5" t="s">
        <v>63</v>
      </c>
      <c r="AO245" s="5" t="s">
        <v>63</v>
      </c>
      <c r="AP245" s="5" t="s">
        <v>63</v>
      </c>
      <c r="AQ245" s="5" t="s">
        <v>63</v>
      </c>
      <c r="AR245" s="5" t="s">
        <v>63</v>
      </c>
      <c r="AS245" s="8" t="s">
        <v>63</v>
      </c>
      <c r="AT245" s="5" t="s">
        <v>63</v>
      </c>
      <c r="AU245" s="5" t="s">
        <v>63</v>
      </c>
      <c r="AV245" s="5" t="s">
        <v>63</v>
      </c>
      <c r="AW245" s="5" t="s">
        <v>63</v>
      </c>
      <c r="AX245" s="5" t="s">
        <v>63</v>
      </c>
      <c r="AY245" s="5" t="s">
        <v>63</v>
      </c>
      <c r="AZ245" s="5" t="s">
        <v>63</v>
      </c>
      <c r="BA245" s="5" t="s">
        <v>63</v>
      </c>
      <c r="BB245" s="5" t="s">
        <v>63</v>
      </c>
      <c r="BC245" s="5" t="s">
        <v>63</v>
      </c>
      <c r="BD245" s="5" t="s">
        <v>63</v>
      </c>
    </row>
    <row r="246" spans="1:72">
      <c r="A246" s="1" t="str">
        <f t="shared" si="3"/>
        <v>Yes</v>
      </c>
      <c r="B246" s="1" t="s">
        <v>106</v>
      </c>
      <c r="C246" s="1" t="s">
        <v>534</v>
      </c>
      <c r="E246" s="1" t="s">
        <v>536</v>
      </c>
      <c r="F246" s="2" t="s">
        <v>63</v>
      </c>
      <c r="G246" s="5" t="s">
        <v>63</v>
      </c>
      <c r="H246" s="5" t="s">
        <v>63</v>
      </c>
      <c r="I246" s="5" t="s">
        <v>63</v>
      </c>
      <c r="J246" s="5" t="s">
        <v>63</v>
      </c>
      <c r="K246" s="5" t="s">
        <v>63</v>
      </c>
      <c r="L246" s="5" t="s">
        <v>63</v>
      </c>
      <c r="M246" s="5" t="s">
        <v>63</v>
      </c>
      <c r="N246" s="5" t="s">
        <v>63</v>
      </c>
      <c r="O246" s="5" t="s">
        <v>63</v>
      </c>
      <c r="P246" s="5" t="s">
        <v>63</v>
      </c>
      <c r="Q246" s="5" t="s">
        <v>63</v>
      </c>
      <c r="R246" s="5" t="s">
        <v>63</v>
      </c>
      <c r="S246" s="5" t="s">
        <v>63</v>
      </c>
      <c r="T246" s="5" t="s">
        <v>63</v>
      </c>
      <c r="U246" s="5" t="s">
        <v>63</v>
      </c>
      <c r="V246" s="5" t="s">
        <v>63</v>
      </c>
      <c r="W246" s="5" t="s">
        <v>63</v>
      </c>
      <c r="X246" s="5" t="s">
        <v>63</v>
      </c>
      <c r="Y246" s="5" t="s">
        <v>63</v>
      </c>
      <c r="Z246" s="5" t="s">
        <v>63</v>
      </c>
      <c r="AA246" s="5" t="s">
        <v>63</v>
      </c>
      <c r="AB246" s="5" t="s">
        <v>63</v>
      </c>
      <c r="AC246" s="5" t="s">
        <v>63</v>
      </c>
      <c r="AD246" s="5" t="s">
        <v>63</v>
      </c>
      <c r="AE246" s="5" t="s">
        <v>63</v>
      </c>
      <c r="AF246" s="5" t="s">
        <v>63</v>
      </c>
      <c r="AG246" s="5" t="s">
        <v>63</v>
      </c>
      <c r="AH246" s="5" t="s">
        <v>63</v>
      </c>
      <c r="AI246" s="5" t="s">
        <v>63</v>
      </c>
      <c r="AJ246" s="14" t="s">
        <v>63</v>
      </c>
      <c r="AK246" s="5" t="s">
        <v>63</v>
      </c>
      <c r="AL246" s="5" t="s">
        <v>63</v>
      </c>
      <c r="AM246" s="5" t="s">
        <v>63</v>
      </c>
      <c r="AN246" s="5" t="s">
        <v>63</v>
      </c>
      <c r="AO246" s="5" t="s">
        <v>63</v>
      </c>
      <c r="AP246" s="5" t="s">
        <v>63</v>
      </c>
      <c r="AQ246" s="5" t="s">
        <v>63</v>
      </c>
      <c r="AR246" s="5" t="s">
        <v>63</v>
      </c>
      <c r="AS246" s="8" t="s">
        <v>63</v>
      </c>
      <c r="AT246" s="5" t="s">
        <v>63</v>
      </c>
      <c r="AU246" s="5" t="s">
        <v>63</v>
      </c>
      <c r="AV246" s="5" t="s">
        <v>63</v>
      </c>
      <c r="AW246" s="5" t="s">
        <v>63</v>
      </c>
      <c r="AX246" s="5" t="s">
        <v>63</v>
      </c>
      <c r="AY246" s="5" t="s">
        <v>63</v>
      </c>
      <c r="AZ246" s="5" t="s">
        <v>63</v>
      </c>
      <c r="BA246" s="5" t="s">
        <v>63</v>
      </c>
      <c r="BB246" s="5" t="s">
        <v>63</v>
      </c>
      <c r="BC246" s="5" t="s">
        <v>63</v>
      </c>
      <c r="BD246" s="5" t="s">
        <v>63</v>
      </c>
    </row>
    <row r="247" spans="1:72">
      <c r="A247" s="1" t="str">
        <f t="shared" si="3"/>
        <v>Yes</v>
      </c>
      <c r="B247" s="1" t="s">
        <v>106</v>
      </c>
      <c r="C247" s="1" t="s">
        <v>534</v>
      </c>
      <c r="E247" s="1" t="s">
        <v>537</v>
      </c>
      <c r="F247" s="2" t="s">
        <v>63</v>
      </c>
      <c r="G247" s="5" t="s">
        <v>63</v>
      </c>
      <c r="H247" s="5" t="s">
        <v>63</v>
      </c>
      <c r="I247" s="5" t="s">
        <v>63</v>
      </c>
      <c r="J247" s="5" t="s">
        <v>63</v>
      </c>
      <c r="K247" s="5" t="s">
        <v>63</v>
      </c>
      <c r="L247" s="5" t="s">
        <v>63</v>
      </c>
      <c r="M247" s="5" t="s">
        <v>63</v>
      </c>
      <c r="N247" s="5" t="s">
        <v>63</v>
      </c>
      <c r="O247" s="5" t="s">
        <v>63</v>
      </c>
      <c r="P247" s="5" t="s">
        <v>63</v>
      </c>
      <c r="Q247" s="5" t="s">
        <v>63</v>
      </c>
      <c r="R247" s="5" t="s">
        <v>63</v>
      </c>
      <c r="S247" s="5" t="s">
        <v>63</v>
      </c>
      <c r="T247" s="5" t="s">
        <v>63</v>
      </c>
      <c r="U247" s="5" t="s">
        <v>63</v>
      </c>
      <c r="V247" s="5" t="s">
        <v>63</v>
      </c>
      <c r="W247" s="5" t="s">
        <v>63</v>
      </c>
      <c r="X247" s="5" t="s">
        <v>63</v>
      </c>
      <c r="Y247" s="5" t="s">
        <v>63</v>
      </c>
      <c r="Z247" s="5" t="s">
        <v>63</v>
      </c>
      <c r="AA247" s="5" t="s">
        <v>63</v>
      </c>
      <c r="AB247" s="5" t="s">
        <v>63</v>
      </c>
      <c r="AC247" s="5" t="s">
        <v>63</v>
      </c>
      <c r="AD247" s="5" t="s">
        <v>63</v>
      </c>
      <c r="AE247" s="5" t="s">
        <v>63</v>
      </c>
      <c r="AF247" s="5" t="s">
        <v>63</v>
      </c>
      <c r="AG247" s="5" t="s">
        <v>63</v>
      </c>
      <c r="AH247" s="5" t="s">
        <v>63</v>
      </c>
      <c r="AI247" s="5" t="s">
        <v>63</v>
      </c>
      <c r="AJ247" s="14" t="s">
        <v>63</v>
      </c>
      <c r="AK247" s="5" t="s">
        <v>63</v>
      </c>
      <c r="AL247" s="5" t="s">
        <v>63</v>
      </c>
      <c r="AM247" s="5" t="s">
        <v>63</v>
      </c>
      <c r="AN247" s="5" t="s">
        <v>63</v>
      </c>
      <c r="AO247" s="5" t="s">
        <v>63</v>
      </c>
      <c r="AP247" s="5" t="s">
        <v>63</v>
      </c>
      <c r="AQ247" s="5" t="s">
        <v>63</v>
      </c>
      <c r="AR247" s="5" t="s">
        <v>63</v>
      </c>
      <c r="AS247" s="8" t="s">
        <v>63</v>
      </c>
      <c r="AT247" s="5" t="s">
        <v>63</v>
      </c>
      <c r="AU247" s="5" t="s">
        <v>63</v>
      </c>
      <c r="AV247" s="5" t="s">
        <v>63</v>
      </c>
      <c r="AW247" s="5" t="s">
        <v>63</v>
      </c>
      <c r="AX247" s="5" t="s">
        <v>63</v>
      </c>
      <c r="AY247" s="5" t="s">
        <v>63</v>
      </c>
      <c r="AZ247" s="5" t="s">
        <v>63</v>
      </c>
      <c r="BA247" s="5" t="s">
        <v>63</v>
      </c>
      <c r="BB247" s="5" t="s">
        <v>63</v>
      </c>
      <c r="BC247" s="5" t="s">
        <v>63</v>
      </c>
      <c r="BD247" s="5" t="s">
        <v>63</v>
      </c>
    </row>
    <row r="248" spans="1:72">
      <c r="A248" s="1" t="str">
        <f t="shared" si="3"/>
        <v>No</v>
      </c>
      <c r="B248" s="1" t="s">
        <v>59</v>
      </c>
      <c r="C248" s="1" t="s">
        <v>538</v>
      </c>
      <c r="D248" s="11" t="s">
        <v>286</v>
      </c>
      <c r="E248" s="1" t="s">
        <v>539</v>
      </c>
      <c r="F248" s="2">
        <v>3</v>
      </c>
      <c r="G248" s="5" t="s">
        <v>63</v>
      </c>
      <c r="H248" s="5" t="s">
        <v>63</v>
      </c>
      <c r="I248" s="5" t="s">
        <v>63</v>
      </c>
      <c r="J248" s="5" t="s">
        <v>63</v>
      </c>
      <c r="K248" s="5" t="s">
        <v>63</v>
      </c>
      <c r="L248" s="5" t="s">
        <v>63</v>
      </c>
      <c r="M248" s="5" t="s">
        <v>63</v>
      </c>
      <c r="N248" s="5" t="s">
        <v>63</v>
      </c>
      <c r="O248" s="5" t="s">
        <v>63</v>
      </c>
      <c r="P248" s="5" t="s">
        <v>63</v>
      </c>
      <c r="Q248" s="5" t="s">
        <v>63</v>
      </c>
      <c r="R248" s="5" t="s">
        <v>63</v>
      </c>
      <c r="S248" s="5" t="s">
        <v>63</v>
      </c>
      <c r="T248" s="5" t="s">
        <v>63</v>
      </c>
      <c r="U248" s="5" t="s">
        <v>63</v>
      </c>
      <c r="V248" s="5" t="s">
        <v>63</v>
      </c>
      <c r="W248" s="5" t="s">
        <v>63</v>
      </c>
      <c r="X248" s="5" t="s">
        <v>63</v>
      </c>
      <c r="Y248" s="5" t="s">
        <v>64</v>
      </c>
      <c r="Z248" s="5" t="s">
        <v>63</v>
      </c>
      <c r="AA248" s="5" t="s">
        <v>63</v>
      </c>
      <c r="AB248" s="5" t="s">
        <v>63</v>
      </c>
      <c r="AC248" s="5" t="s">
        <v>63</v>
      </c>
      <c r="AD248" s="5" t="s">
        <v>63</v>
      </c>
      <c r="AE248" s="5" t="s">
        <v>63</v>
      </c>
      <c r="AF248" s="5" t="s">
        <v>63</v>
      </c>
      <c r="AG248" s="5" t="s">
        <v>63</v>
      </c>
      <c r="AH248" s="5" t="s">
        <v>63</v>
      </c>
      <c r="AI248" s="5" t="s">
        <v>63</v>
      </c>
      <c r="AJ248" s="14" t="s">
        <v>63</v>
      </c>
      <c r="AK248" s="5" t="s">
        <v>63</v>
      </c>
      <c r="AL248" s="5" t="s">
        <v>63</v>
      </c>
      <c r="AM248" s="5" t="s">
        <v>63</v>
      </c>
      <c r="AN248" s="5" t="s">
        <v>63</v>
      </c>
      <c r="AO248" s="5" t="s">
        <v>63</v>
      </c>
      <c r="AP248" s="5" t="s">
        <v>63</v>
      </c>
      <c r="AQ248" s="5" t="s">
        <v>63</v>
      </c>
      <c r="AR248" s="5" t="s">
        <v>63</v>
      </c>
      <c r="AS248" s="8" t="s">
        <v>63</v>
      </c>
      <c r="AT248" s="5" t="s">
        <v>63</v>
      </c>
      <c r="AU248" s="5" t="s">
        <v>63</v>
      </c>
      <c r="AV248" s="5" t="s">
        <v>63</v>
      </c>
      <c r="AW248" s="5" t="s">
        <v>63</v>
      </c>
      <c r="AX248" s="5" t="s">
        <v>64</v>
      </c>
      <c r="AY248" s="5" t="s">
        <v>63</v>
      </c>
      <c r="AZ248" s="5" t="s">
        <v>63</v>
      </c>
      <c r="BA248" s="5" t="s">
        <v>63</v>
      </c>
      <c r="BB248" s="5" t="s">
        <v>63</v>
      </c>
      <c r="BC248" s="5" t="s">
        <v>63</v>
      </c>
      <c r="BD248" s="5" t="s">
        <v>63</v>
      </c>
      <c r="BE248" s="5" t="s">
        <v>64</v>
      </c>
      <c r="BR248" s="5" t="s">
        <v>64</v>
      </c>
    </row>
    <row r="249" spans="1:72">
      <c r="A249" s="1" t="str">
        <f t="shared" si="3"/>
        <v>No</v>
      </c>
      <c r="B249" s="1" t="s">
        <v>59</v>
      </c>
      <c r="C249" s="1" t="s">
        <v>540</v>
      </c>
      <c r="D249" s="11" t="s">
        <v>286</v>
      </c>
      <c r="E249" s="1" t="s">
        <v>541</v>
      </c>
      <c r="F249" s="2">
        <v>3</v>
      </c>
      <c r="G249" s="5" t="s">
        <v>63</v>
      </c>
      <c r="H249" s="5" t="s">
        <v>63</v>
      </c>
      <c r="I249" s="5" t="s">
        <v>63</v>
      </c>
      <c r="J249" s="5" t="s">
        <v>63</v>
      </c>
      <c r="K249" s="5" t="s">
        <v>63</v>
      </c>
      <c r="L249" s="5" t="s">
        <v>63</v>
      </c>
      <c r="M249" s="5" t="s">
        <v>63</v>
      </c>
      <c r="N249" s="5" t="s">
        <v>63</v>
      </c>
      <c r="O249" s="5" t="s">
        <v>63</v>
      </c>
      <c r="P249" s="5" t="s">
        <v>63</v>
      </c>
      <c r="Q249" s="5" t="s">
        <v>63</v>
      </c>
      <c r="R249" s="5" t="s">
        <v>63</v>
      </c>
      <c r="S249" s="5" t="s">
        <v>63</v>
      </c>
      <c r="T249" s="5" t="s">
        <v>63</v>
      </c>
      <c r="U249" s="5" t="s">
        <v>63</v>
      </c>
      <c r="V249" s="5" t="s">
        <v>64</v>
      </c>
      <c r="W249" s="5" t="s">
        <v>63</v>
      </c>
      <c r="X249" s="5" t="s">
        <v>63</v>
      </c>
      <c r="Y249" s="5" t="s">
        <v>63</v>
      </c>
      <c r="Z249" s="5" t="s">
        <v>63</v>
      </c>
      <c r="AA249" s="5" t="s">
        <v>63</v>
      </c>
      <c r="AB249" s="5" t="s">
        <v>63</v>
      </c>
      <c r="AC249" s="5" t="s">
        <v>63</v>
      </c>
      <c r="AD249" s="5" t="s">
        <v>63</v>
      </c>
      <c r="AE249" s="5" t="s">
        <v>63</v>
      </c>
      <c r="AF249" s="5" t="s">
        <v>63</v>
      </c>
      <c r="AG249" s="5" t="s">
        <v>63</v>
      </c>
      <c r="AH249" s="5" t="s">
        <v>63</v>
      </c>
      <c r="AI249" s="5" t="s">
        <v>63</v>
      </c>
      <c r="AJ249" s="14" t="s">
        <v>63</v>
      </c>
      <c r="AK249" s="5" t="s">
        <v>63</v>
      </c>
      <c r="AL249" s="5" t="s">
        <v>63</v>
      </c>
      <c r="AM249" s="5" t="s">
        <v>64</v>
      </c>
      <c r="AN249" s="5" t="s">
        <v>63</v>
      </c>
      <c r="AO249" s="5" t="s">
        <v>64</v>
      </c>
      <c r="AP249" s="5" t="s">
        <v>63</v>
      </c>
      <c r="AQ249" s="5" t="s">
        <v>63</v>
      </c>
      <c r="AR249" s="5" t="s">
        <v>63</v>
      </c>
      <c r="AS249" s="8" t="s">
        <v>63</v>
      </c>
      <c r="AT249" s="5" t="s">
        <v>63</v>
      </c>
      <c r="AU249" s="5" t="s">
        <v>63</v>
      </c>
      <c r="AV249" s="5" t="s">
        <v>63</v>
      </c>
      <c r="AW249" s="5" t="s">
        <v>63</v>
      </c>
      <c r="AX249" s="5" t="s">
        <v>63</v>
      </c>
      <c r="AY249" s="5" t="s">
        <v>63</v>
      </c>
      <c r="AZ249" s="5" t="s">
        <v>63</v>
      </c>
      <c r="BA249" s="5" t="s">
        <v>63</v>
      </c>
      <c r="BB249" s="5" t="s">
        <v>63</v>
      </c>
      <c r="BC249" s="5" t="s">
        <v>63</v>
      </c>
      <c r="BD249" s="5" t="s">
        <v>63</v>
      </c>
      <c r="BE249" s="5" t="s">
        <v>64</v>
      </c>
      <c r="BN249" s="5" t="s">
        <v>64</v>
      </c>
    </row>
    <row r="250" spans="1:72">
      <c r="A250" s="1" t="str">
        <f t="shared" si="3"/>
        <v>Yes</v>
      </c>
      <c r="B250" s="1" t="s">
        <v>106</v>
      </c>
      <c r="C250" s="1" t="s">
        <v>542</v>
      </c>
      <c r="D250" s="11" t="s">
        <v>77</v>
      </c>
      <c r="E250" s="1" t="s">
        <v>543</v>
      </c>
      <c r="F250" s="2">
        <v>3</v>
      </c>
      <c r="G250" s="5" t="s">
        <v>63</v>
      </c>
      <c r="H250" s="5" t="s">
        <v>63</v>
      </c>
      <c r="I250" s="5" t="s">
        <v>63</v>
      </c>
      <c r="J250" s="5" t="s">
        <v>63</v>
      </c>
      <c r="K250" s="5" t="s">
        <v>63</v>
      </c>
      <c r="L250" s="5" t="s">
        <v>63</v>
      </c>
      <c r="M250" s="5" t="s">
        <v>63</v>
      </c>
      <c r="N250" s="5" t="s">
        <v>63</v>
      </c>
      <c r="O250" s="5" t="s">
        <v>63</v>
      </c>
      <c r="P250" s="5" t="s">
        <v>63</v>
      </c>
      <c r="Q250" s="5" t="s">
        <v>63</v>
      </c>
      <c r="R250" s="5" t="s">
        <v>63</v>
      </c>
      <c r="S250" s="5" t="s">
        <v>63</v>
      </c>
      <c r="T250" s="5" t="s">
        <v>63</v>
      </c>
      <c r="U250" s="5" t="s">
        <v>63</v>
      </c>
      <c r="V250" s="5" t="s">
        <v>63</v>
      </c>
      <c r="W250" s="5" t="s">
        <v>63</v>
      </c>
      <c r="X250" s="5" t="s">
        <v>63</v>
      </c>
      <c r="Y250" s="5" t="s">
        <v>63</v>
      </c>
      <c r="Z250" s="5" t="s">
        <v>63</v>
      </c>
      <c r="AA250" s="5" t="s">
        <v>64</v>
      </c>
      <c r="AB250" s="5" t="s">
        <v>63</v>
      </c>
      <c r="AC250" s="5" t="s">
        <v>63</v>
      </c>
      <c r="AD250" s="5" t="s">
        <v>63</v>
      </c>
      <c r="AE250" s="5" t="s">
        <v>63</v>
      </c>
      <c r="AF250" s="5" t="s">
        <v>63</v>
      </c>
      <c r="AG250" s="5" t="s">
        <v>63</v>
      </c>
      <c r="AH250" s="5" t="s">
        <v>63</v>
      </c>
      <c r="AI250" s="5" t="s">
        <v>63</v>
      </c>
      <c r="AJ250" s="14" t="s">
        <v>63</v>
      </c>
      <c r="AK250" s="5" t="s">
        <v>63</v>
      </c>
      <c r="AL250" s="5" t="s">
        <v>63</v>
      </c>
      <c r="AM250" s="5" t="s">
        <v>63</v>
      </c>
      <c r="AN250" s="5" t="s">
        <v>63</v>
      </c>
      <c r="AO250" s="5" t="s">
        <v>63</v>
      </c>
      <c r="AP250" s="5" t="s">
        <v>63</v>
      </c>
      <c r="AQ250" s="5" t="s">
        <v>63</v>
      </c>
      <c r="AR250" s="5" t="s">
        <v>63</v>
      </c>
      <c r="AS250" s="8" t="s">
        <v>63</v>
      </c>
      <c r="AT250" s="5" t="s">
        <v>63</v>
      </c>
      <c r="AU250" s="5" t="s">
        <v>63</v>
      </c>
      <c r="AV250" s="5" t="s">
        <v>63</v>
      </c>
      <c r="AW250" s="5" t="s">
        <v>63</v>
      </c>
      <c r="AX250" s="5" t="s">
        <v>63</v>
      </c>
      <c r="AY250" s="5" t="s">
        <v>63</v>
      </c>
      <c r="AZ250" s="5" t="s">
        <v>63</v>
      </c>
      <c r="BA250" s="5" t="s">
        <v>63</v>
      </c>
      <c r="BB250" s="5" t="s">
        <v>63</v>
      </c>
      <c r="BC250" s="5" t="s">
        <v>63</v>
      </c>
      <c r="BD250" s="5" t="s">
        <v>63</v>
      </c>
      <c r="BF250" s="5" t="s">
        <v>64</v>
      </c>
    </row>
    <row r="251" spans="1:72">
      <c r="A251" s="1" t="str">
        <f t="shared" si="3"/>
        <v>No</v>
      </c>
      <c r="B251" s="1" t="s">
        <v>59</v>
      </c>
      <c r="C251" s="1" t="s">
        <v>544</v>
      </c>
      <c r="D251" s="11" t="s">
        <v>286</v>
      </c>
      <c r="E251" s="1" t="s">
        <v>545</v>
      </c>
      <c r="F251" s="2">
        <v>3</v>
      </c>
      <c r="G251" s="5" t="s">
        <v>63</v>
      </c>
      <c r="H251" s="5" t="s">
        <v>63</v>
      </c>
      <c r="I251" s="5" t="s">
        <v>63</v>
      </c>
      <c r="J251" s="5" t="s">
        <v>63</v>
      </c>
      <c r="K251" s="5" t="s">
        <v>63</v>
      </c>
      <c r="L251" s="5" t="s">
        <v>63</v>
      </c>
      <c r="M251" s="5" t="s">
        <v>63</v>
      </c>
      <c r="N251" s="5" t="s">
        <v>63</v>
      </c>
      <c r="O251" s="5" t="s">
        <v>63</v>
      </c>
      <c r="P251" s="5" t="s">
        <v>63</v>
      </c>
      <c r="Q251" s="5" t="s">
        <v>63</v>
      </c>
      <c r="R251" s="5" t="s">
        <v>63</v>
      </c>
      <c r="S251" s="5" t="s">
        <v>63</v>
      </c>
      <c r="T251" s="5" t="s">
        <v>63</v>
      </c>
      <c r="U251" s="5" t="s">
        <v>63</v>
      </c>
      <c r="V251" s="5" t="s">
        <v>63</v>
      </c>
      <c r="W251" s="5" t="s">
        <v>63</v>
      </c>
      <c r="X251" s="5" t="s">
        <v>63</v>
      </c>
      <c r="Y251" s="5" t="s">
        <v>63</v>
      </c>
      <c r="Z251" s="5" t="s">
        <v>63</v>
      </c>
      <c r="AA251" s="5" t="s">
        <v>63</v>
      </c>
      <c r="AB251" s="5" t="s">
        <v>63</v>
      </c>
      <c r="AC251" s="5" t="s">
        <v>63</v>
      </c>
      <c r="AD251" s="5" t="s">
        <v>63</v>
      </c>
      <c r="AE251" s="5" t="s">
        <v>63</v>
      </c>
      <c r="AF251" s="5" t="s">
        <v>63</v>
      </c>
      <c r="AG251" s="5" t="s">
        <v>63</v>
      </c>
      <c r="AH251" s="5" t="s">
        <v>63</v>
      </c>
      <c r="AI251" s="5" t="s">
        <v>63</v>
      </c>
      <c r="AJ251" s="14" t="s">
        <v>63</v>
      </c>
      <c r="AK251" s="5" t="s">
        <v>63</v>
      </c>
      <c r="AL251" s="5" t="s">
        <v>63</v>
      </c>
      <c r="AM251" s="5" t="s">
        <v>63</v>
      </c>
      <c r="AN251" s="5" t="s">
        <v>63</v>
      </c>
      <c r="AO251" s="5" t="s">
        <v>63</v>
      </c>
      <c r="AP251" s="5" t="s">
        <v>63</v>
      </c>
      <c r="AQ251" s="5" t="s">
        <v>63</v>
      </c>
      <c r="AR251" s="5" t="s">
        <v>63</v>
      </c>
      <c r="AS251" s="8" t="s">
        <v>63</v>
      </c>
      <c r="AT251" s="5" t="s">
        <v>63</v>
      </c>
      <c r="AU251" s="5" t="s">
        <v>63</v>
      </c>
      <c r="AV251" s="5" t="s">
        <v>63</v>
      </c>
      <c r="AW251" s="5" t="s">
        <v>63</v>
      </c>
      <c r="AX251" s="5" t="s">
        <v>63</v>
      </c>
      <c r="AY251" s="5" t="s">
        <v>64</v>
      </c>
      <c r="AZ251" s="5" t="s">
        <v>63</v>
      </c>
      <c r="BA251" s="5" t="s">
        <v>63</v>
      </c>
      <c r="BB251" s="5" t="s">
        <v>63</v>
      </c>
      <c r="BC251" s="5" t="s">
        <v>63</v>
      </c>
      <c r="BD251" s="5" t="s">
        <v>63</v>
      </c>
      <c r="BR251" s="5" t="s">
        <v>64</v>
      </c>
    </row>
    <row r="252" spans="1:72">
      <c r="A252" s="1" t="str">
        <f t="shared" si="3"/>
        <v>No</v>
      </c>
      <c r="B252" s="1" t="s">
        <v>59</v>
      </c>
      <c r="C252" s="1" t="s">
        <v>546</v>
      </c>
      <c r="D252" s="11" t="s">
        <v>353</v>
      </c>
      <c r="E252" s="1" t="s">
        <v>547</v>
      </c>
      <c r="F252" s="2">
        <v>3</v>
      </c>
      <c r="G252" s="5" t="s">
        <v>63</v>
      </c>
      <c r="H252" s="5" t="s">
        <v>63</v>
      </c>
      <c r="I252" s="5" t="s">
        <v>63</v>
      </c>
      <c r="J252" s="5" t="s">
        <v>63</v>
      </c>
      <c r="K252" s="5" t="s">
        <v>63</v>
      </c>
      <c r="L252" s="5" t="s">
        <v>63</v>
      </c>
      <c r="M252" s="5" t="s">
        <v>63</v>
      </c>
      <c r="N252" s="5" t="s">
        <v>63</v>
      </c>
      <c r="O252" s="5" t="s">
        <v>63</v>
      </c>
      <c r="P252" s="5" t="s">
        <v>63</v>
      </c>
      <c r="Q252" s="5" t="s">
        <v>63</v>
      </c>
      <c r="R252" s="5" t="s">
        <v>63</v>
      </c>
      <c r="S252" s="5" t="s">
        <v>63</v>
      </c>
      <c r="T252" s="5" t="s">
        <v>63</v>
      </c>
      <c r="U252" s="5" t="s">
        <v>63</v>
      </c>
      <c r="V252" s="5" t="s">
        <v>63</v>
      </c>
      <c r="W252" s="5" t="s">
        <v>63</v>
      </c>
      <c r="X252" s="5" t="s">
        <v>63</v>
      </c>
      <c r="Y252" s="5" t="s">
        <v>63</v>
      </c>
      <c r="Z252" s="5" t="s">
        <v>63</v>
      </c>
      <c r="AA252" s="5" t="s">
        <v>63</v>
      </c>
      <c r="AB252" s="5" t="s">
        <v>63</v>
      </c>
      <c r="AC252" s="5" t="s">
        <v>63</v>
      </c>
      <c r="AD252" s="5" t="s">
        <v>63</v>
      </c>
      <c r="AE252" s="5" t="s">
        <v>63</v>
      </c>
      <c r="AF252" s="5" t="s">
        <v>63</v>
      </c>
      <c r="AG252" s="5" t="s">
        <v>63</v>
      </c>
      <c r="AH252" s="5" t="s">
        <v>63</v>
      </c>
      <c r="AI252" s="5" t="s">
        <v>63</v>
      </c>
      <c r="AJ252" s="14" t="s">
        <v>63</v>
      </c>
      <c r="AK252" s="5" t="s">
        <v>63</v>
      </c>
      <c r="AL252" s="5" t="s">
        <v>63</v>
      </c>
      <c r="AM252" s="5" t="s">
        <v>63</v>
      </c>
      <c r="AN252" s="5" t="s">
        <v>63</v>
      </c>
      <c r="AO252" s="5" t="s">
        <v>63</v>
      </c>
      <c r="AP252" s="5" t="s">
        <v>63</v>
      </c>
      <c r="AQ252" s="5" t="s">
        <v>63</v>
      </c>
      <c r="AR252" s="5" t="s">
        <v>63</v>
      </c>
      <c r="AS252" s="8" t="s">
        <v>63</v>
      </c>
      <c r="AT252" s="5" t="s">
        <v>63</v>
      </c>
      <c r="AU252" s="5" t="s">
        <v>63</v>
      </c>
      <c r="AV252" s="5" t="s">
        <v>63</v>
      </c>
      <c r="AW252" s="5" t="s">
        <v>63</v>
      </c>
      <c r="AX252" s="5" t="s">
        <v>63</v>
      </c>
      <c r="AY252" s="5" t="s">
        <v>64</v>
      </c>
      <c r="AZ252" s="5" t="s">
        <v>63</v>
      </c>
      <c r="BA252" s="5" t="s">
        <v>63</v>
      </c>
      <c r="BB252" s="5" t="s">
        <v>63</v>
      </c>
      <c r="BC252" s="5" t="s">
        <v>64</v>
      </c>
      <c r="BD252" s="5" t="s">
        <v>63</v>
      </c>
      <c r="BR252" s="5" t="s">
        <v>64</v>
      </c>
      <c r="BT252" s="5" t="s">
        <v>64</v>
      </c>
    </row>
    <row r="253" spans="1:72">
      <c r="A253" s="1" t="str">
        <f t="shared" si="3"/>
        <v>Yes</v>
      </c>
      <c r="B253" s="1" t="s">
        <v>106</v>
      </c>
      <c r="C253" s="1" t="s">
        <v>548</v>
      </c>
      <c r="E253" s="1" t="s">
        <v>549</v>
      </c>
      <c r="F253" s="2">
        <v>3</v>
      </c>
      <c r="G253" s="5" t="s">
        <v>63</v>
      </c>
      <c r="H253" s="5" t="s">
        <v>63</v>
      </c>
      <c r="I253" s="5" t="s">
        <v>63</v>
      </c>
      <c r="J253" s="5" t="s">
        <v>63</v>
      </c>
      <c r="K253" s="5" t="s">
        <v>63</v>
      </c>
      <c r="L253" s="5" t="s">
        <v>63</v>
      </c>
      <c r="M253" s="5" t="s">
        <v>63</v>
      </c>
      <c r="N253" s="5" t="s">
        <v>63</v>
      </c>
      <c r="O253" s="5" t="s">
        <v>63</v>
      </c>
      <c r="P253" s="5" t="s">
        <v>63</v>
      </c>
      <c r="Q253" s="5" t="s">
        <v>63</v>
      </c>
      <c r="R253" s="5" t="s">
        <v>63</v>
      </c>
      <c r="S253" s="5" t="s">
        <v>63</v>
      </c>
      <c r="T253" s="5" t="s">
        <v>63</v>
      </c>
      <c r="U253" s="5" t="s">
        <v>63</v>
      </c>
      <c r="V253" s="5" t="s">
        <v>63</v>
      </c>
      <c r="W253" s="5" t="s">
        <v>63</v>
      </c>
      <c r="X253" s="5" t="s">
        <v>63</v>
      </c>
      <c r="Y253" s="5" t="s">
        <v>63</v>
      </c>
      <c r="Z253" s="5" t="s">
        <v>63</v>
      </c>
      <c r="AA253" s="5" t="s">
        <v>63</v>
      </c>
      <c r="AB253" s="5" t="s">
        <v>63</v>
      </c>
      <c r="AC253" s="5" t="s">
        <v>63</v>
      </c>
      <c r="AD253" s="5" t="s">
        <v>63</v>
      </c>
      <c r="AE253" s="5" t="s">
        <v>63</v>
      </c>
      <c r="AF253" s="5" t="s">
        <v>63</v>
      </c>
      <c r="AG253" s="5" t="s">
        <v>63</v>
      </c>
      <c r="AH253" s="5" t="s">
        <v>63</v>
      </c>
      <c r="AI253" s="5" t="s">
        <v>63</v>
      </c>
      <c r="AJ253" s="14" t="s">
        <v>63</v>
      </c>
      <c r="AK253" s="5" t="s">
        <v>63</v>
      </c>
      <c r="AL253" s="5" t="s">
        <v>63</v>
      </c>
      <c r="AM253" s="5" t="s">
        <v>63</v>
      </c>
      <c r="AN253" s="5" t="s">
        <v>63</v>
      </c>
      <c r="AO253" s="5" t="s">
        <v>63</v>
      </c>
      <c r="AP253" s="5" t="s">
        <v>63</v>
      </c>
      <c r="AQ253" s="5" t="s">
        <v>63</v>
      </c>
      <c r="AR253" s="5" t="s">
        <v>63</v>
      </c>
      <c r="AS253" s="8" t="s">
        <v>63</v>
      </c>
      <c r="AT253" s="5" t="s">
        <v>63</v>
      </c>
      <c r="AU253" s="5" t="s">
        <v>63</v>
      </c>
      <c r="AV253" s="5" t="s">
        <v>63</v>
      </c>
      <c r="AW253" s="5" t="s">
        <v>63</v>
      </c>
      <c r="AX253" s="5" t="s">
        <v>63</v>
      </c>
      <c r="AY253" s="5" t="s">
        <v>63</v>
      </c>
      <c r="AZ253" s="5" t="s">
        <v>63</v>
      </c>
      <c r="BA253" s="5" t="s">
        <v>63</v>
      </c>
      <c r="BB253" s="5" t="s">
        <v>63</v>
      </c>
      <c r="BC253" s="5" t="s">
        <v>63</v>
      </c>
      <c r="BD253" s="5" t="s">
        <v>63</v>
      </c>
    </row>
    <row r="254" spans="1:72">
      <c r="A254" s="1" t="str">
        <f t="shared" si="3"/>
        <v>Yes</v>
      </c>
      <c r="B254" s="1" t="s">
        <v>106</v>
      </c>
      <c r="C254" s="1" t="s">
        <v>550</v>
      </c>
      <c r="E254" s="1" t="s">
        <v>551</v>
      </c>
      <c r="F254" s="2">
        <v>3</v>
      </c>
      <c r="G254" s="5" t="s">
        <v>63</v>
      </c>
      <c r="H254" s="5" t="s">
        <v>63</v>
      </c>
      <c r="I254" s="5" t="s">
        <v>63</v>
      </c>
      <c r="J254" s="5" t="s">
        <v>63</v>
      </c>
      <c r="K254" s="5" t="s">
        <v>63</v>
      </c>
      <c r="L254" s="5" t="s">
        <v>63</v>
      </c>
      <c r="M254" s="5" t="s">
        <v>63</v>
      </c>
      <c r="N254" s="5" t="s">
        <v>63</v>
      </c>
      <c r="O254" s="5" t="s">
        <v>63</v>
      </c>
      <c r="P254" s="5" t="s">
        <v>63</v>
      </c>
      <c r="Q254" s="5" t="s">
        <v>63</v>
      </c>
      <c r="R254" s="5" t="s">
        <v>63</v>
      </c>
      <c r="S254" s="5" t="s">
        <v>63</v>
      </c>
      <c r="T254" s="5" t="s">
        <v>63</v>
      </c>
      <c r="U254" s="5" t="s">
        <v>63</v>
      </c>
      <c r="V254" s="5" t="s">
        <v>63</v>
      </c>
      <c r="W254" s="5" t="s">
        <v>63</v>
      </c>
      <c r="X254" s="5" t="s">
        <v>63</v>
      </c>
      <c r="Y254" s="5" t="s">
        <v>63</v>
      </c>
      <c r="Z254" s="5" t="s">
        <v>63</v>
      </c>
      <c r="AA254" s="5" t="s">
        <v>63</v>
      </c>
      <c r="AB254" s="5" t="s">
        <v>63</v>
      </c>
      <c r="AC254" s="5" t="s">
        <v>63</v>
      </c>
      <c r="AD254" s="5" t="s">
        <v>63</v>
      </c>
      <c r="AE254" s="5" t="s">
        <v>63</v>
      </c>
      <c r="AF254" s="5" t="s">
        <v>63</v>
      </c>
      <c r="AG254" s="5" t="s">
        <v>63</v>
      </c>
      <c r="AH254" s="5" t="s">
        <v>63</v>
      </c>
      <c r="AI254" s="5" t="s">
        <v>63</v>
      </c>
      <c r="AJ254" s="14" t="s">
        <v>63</v>
      </c>
      <c r="AK254" s="5" t="s">
        <v>63</v>
      </c>
      <c r="AL254" s="5" t="s">
        <v>63</v>
      </c>
      <c r="AM254" s="5" t="s">
        <v>63</v>
      </c>
      <c r="AN254" s="5" t="s">
        <v>63</v>
      </c>
      <c r="AO254" s="5" t="s">
        <v>63</v>
      </c>
      <c r="AP254" s="5" t="s">
        <v>63</v>
      </c>
      <c r="AQ254" s="5" t="s">
        <v>63</v>
      </c>
      <c r="AR254" s="5" t="s">
        <v>63</v>
      </c>
      <c r="AS254" s="8" t="s">
        <v>63</v>
      </c>
      <c r="AT254" s="5" t="s">
        <v>63</v>
      </c>
      <c r="AU254" s="5" t="s">
        <v>63</v>
      </c>
      <c r="AV254" s="5" t="s">
        <v>63</v>
      </c>
      <c r="AW254" s="5" t="s">
        <v>63</v>
      </c>
      <c r="AX254" s="5" t="s">
        <v>63</v>
      </c>
      <c r="AY254" s="5" t="s">
        <v>63</v>
      </c>
      <c r="AZ254" s="5" t="s">
        <v>63</v>
      </c>
      <c r="BA254" s="5" t="s">
        <v>63</v>
      </c>
      <c r="BB254" s="5" t="s">
        <v>63</v>
      </c>
      <c r="BC254" s="5" t="s">
        <v>63</v>
      </c>
      <c r="BD254" s="5" t="s">
        <v>63</v>
      </c>
    </row>
    <row r="255" spans="1:72">
      <c r="A255" s="1" t="str">
        <f t="shared" si="3"/>
        <v>Yes</v>
      </c>
      <c r="B255" s="1" t="s">
        <v>106</v>
      </c>
      <c r="C255" s="1" t="s">
        <v>552</v>
      </c>
      <c r="D255" s="11" t="s">
        <v>286</v>
      </c>
      <c r="E255" s="1" t="s">
        <v>553</v>
      </c>
      <c r="F255" s="2">
        <v>3</v>
      </c>
      <c r="G255" s="5" t="s">
        <v>63</v>
      </c>
      <c r="H255" s="5" t="s">
        <v>63</v>
      </c>
      <c r="I255" s="5" t="s">
        <v>63</v>
      </c>
      <c r="J255" s="5" t="s">
        <v>63</v>
      </c>
      <c r="K255" s="5" t="s">
        <v>63</v>
      </c>
      <c r="L255" s="5" t="s">
        <v>63</v>
      </c>
      <c r="M255" s="5" t="s">
        <v>63</v>
      </c>
      <c r="N255" s="5" t="s">
        <v>63</v>
      </c>
      <c r="O255" s="5" t="s">
        <v>63</v>
      </c>
      <c r="P255" s="5" t="s">
        <v>63</v>
      </c>
      <c r="Q255" s="5" t="s">
        <v>63</v>
      </c>
      <c r="R255" s="5" t="s">
        <v>63</v>
      </c>
      <c r="S255" s="5" t="s">
        <v>63</v>
      </c>
      <c r="T255" s="5" t="s">
        <v>63</v>
      </c>
      <c r="U255" s="5" t="s">
        <v>63</v>
      </c>
      <c r="V255" s="5" t="s">
        <v>64</v>
      </c>
      <c r="W255" s="5" t="s">
        <v>63</v>
      </c>
      <c r="X255" s="5" t="s">
        <v>63</v>
      </c>
      <c r="Y255" s="5" t="s">
        <v>63</v>
      </c>
      <c r="Z255" s="5" t="s">
        <v>63</v>
      </c>
      <c r="AA255" s="5" t="s">
        <v>63</v>
      </c>
      <c r="AB255" s="5" t="s">
        <v>63</v>
      </c>
      <c r="AC255" s="5" t="s">
        <v>63</v>
      </c>
      <c r="AD255" s="5" t="s">
        <v>63</v>
      </c>
      <c r="AE255" s="5" t="s">
        <v>63</v>
      </c>
      <c r="AF255" s="5" t="s">
        <v>63</v>
      </c>
      <c r="AG255" s="5" t="s">
        <v>63</v>
      </c>
      <c r="AH255" s="5" t="s">
        <v>63</v>
      </c>
      <c r="AI255" s="5" t="s">
        <v>63</v>
      </c>
      <c r="AJ255" s="14" t="s">
        <v>63</v>
      </c>
      <c r="AK255" s="5" t="s">
        <v>63</v>
      </c>
      <c r="AL255" s="5" t="s">
        <v>63</v>
      </c>
      <c r="AM255" s="5" t="s">
        <v>64</v>
      </c>
      <c r="AN255" s="5" t="s">
        <v>63</v>
      </c>
      <c r="AO255" s="5" t="s">
        <v>64</v>
      </c>
      <c r="AP255" s="5" t="s">
        <v>63</v>
      </c>
      <c r="AQ255" s="5" t="s">
        <v>63</v>
      </c>
      <c r="AR255" s="5" t="s">
        <v>63</v>
      </c>
      <c r="AS255" s="8" t="s">
        <v>63</v>
      </c>
      <c r="AT255" s="5" t="s">
        <v>63</v>
      </c>
      <c r="AU255" s="5" t="s">
        <v>63</v>
      </c>
      <c r="AV255" s="5" t="s">
        <v>63</v>
      </c>
      <c r="AW255" s="5" t="s">
        <v>63</v>
      </c>
      <c r="AX255" s="5" t="s">
        <v>63</v>
      </c>
      <c r="AY255" s="5" t="s">
        <v>63</v>
      </c>
      <c r="AZ255" s="5" t="s">
        <v>63</v>
      </c>
      <c r="BA255" s="5" t="s">
        <v>63</v>
      </c>
      <c r="BB255" s="5" t="s">
        <v>63</v>
      </c>
      <c r="BC255" s="5" t="s">
        <v>63</v>
      </c>
      <c r="BD255" s="5" t="s">
        <v>63</v>
      </c>
      <c r="BE255" s="5" t="s">
        <v>64</v>
      </c>
      <c r="BN255" s="5" t="s">
        <v>64</v>
      </c>
    </row>
  </sheetData>
  <mergeCells count="2">
    <mergeCell ref="G2:BD2"/>
    <mergeCell ref="BE2:BU2"/>
  </mergeCells>
  <conditionalFormatting sqref="G3:BZ255">
    <cfRule type="expression" dxfId="2" priority="1" stopIfTrue="1">
      <formula>EXACT(G3, "x")</formula>
    </cfRule>
    <cfRule type="expression" dxfId="1" priority="2">
      <formula>EXACT(G3, "?")</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Updated</vt:lpstr>
      <vt:lpstr>Official Courses</vt:lpstr>
      <vt:lpstr>Data</vt:lpstr>
      <vt:lpstr>Categories</vt:lpstr>
      <vt:lpstr>Sheet3</vt:lpstr>
      <vt:lpstr>Pre-reqs</vt:lpstr>
      <vt:lpstr>changes tracked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Pavkovich, JD</dc:creator>
  <cp:lastModifiedBy>Amy Marconnet</cp:lastModifiedBy>
  <dcterms:created xsi:type="dcterms:W3CDTF">2026-07-22T00:44:15Z</dcterms:created>
  <dcterms:modified xsi:type="dcterms:W3CDTF">2026-09-24T21:20:51Z</dcterms:modified>
</cp:coreProperties>
</file>